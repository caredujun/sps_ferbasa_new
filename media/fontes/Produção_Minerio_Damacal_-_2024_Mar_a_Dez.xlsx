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iretoria Presidente\Gerencia de Controladoria\Coordenação de Orcamento\3 - Execução Orçamentária\2024\Modelagem - SPS\1.Abr-Dez.24\BD\"/>
    </mc:Choice>
  </mc:AlternateContent>
  <xr:revisionPtr revIDLastSave="0" documentId="13_ncr:1_{6696AF81-C2E0-4E39-A0E1-39DE7E8278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ção DAMAC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1" l="1"/>
  <c r="G22" i="1"/>
  <c r="H22" i="1"/>
  <c r="I22" i="1"/>
  <c r="J22" i="1"/>
  <c r="K22" i="1"/>
  <c r="L22" i="1"/>
  <c r="M22" i="1"/>
  <c r="N22" i="1"/>
  <c r="F22" i="1"/>
  <c r="H16" i="1"/>
  <c r="I16" i="1"/>
  <c r="J16" i="1"/>
  <c r="K16" i="1"/>
  <c r="L16" i="1"/>
  <c r="M16" i="1"/>
  <c r="N16" i="1"/>
  <c r="O16" i="1"/>
  <c r="K6" i="1" l="1"/>
  <c r="P7" i="1"/>
  <c r="P8" i="1" l="1"/>
  <c r="O6" i="1"/>
  <c r="N6" i="1"/>
  <c r="M6" i="1"/>
  <c r="L6" i="1"/>
  <c r="J6" i="1"/>
  <c r="I6" i="1"/>
  <c r="H6" i="1"/>
  <c r="G6" i="1"/>
  <c r="F6" i="1"/>
  <c r="E6" i="1"/>
  <c r="D6" i="1"/>
  <c r="P18" i="1"/>
  <c r="P17" i="1"/>
  <c r="G16" i="1"/>
  <c r="F16" i="1"/>
  <c r="E16" i="1"/>
  <c r="D16" i="1"/>
  <c r="P6" i="1" l="1"/>
  <c r="P16" i="1"/>
</calcChain>
</file>

<file path=xl/sharedStrings.xml><?xml version="1.0" encoding="utf-8"?>
<sst xmlns="http://schemas.openxmlformats.org/spreadsheetml/2006/main" count="46" uniqueCount="23">
  <si>
    <t>Unid</t>
  </si>
  <si>
    <t>Jan</t>
  </si>
  <si>
    <t>Fev</t>
  </si>
  <si>
    <t>Mar</t>
  </si>
  <si>
    <t>Abr</t>
  </si>
  <si>
    <t>Mai</t>
  </si>
  <si>
    <t>Jun</t>
  </si>
  <si>
    <t>Jul</t>
  </si>
  <si>
    <t>Set</t>
  </si>
  <si>
    <t>Out</t>
  </si>
  <si>
    <t>Nov</t>
  </si>
  <si>
    <t>Total</t>
  </si>
  <si>
    <t>t</t>
  </si>
  <si>
    <t>Dez</t>
  </si>
  <si>
    <t>Ago</t>
  </si>
  <si>
    <t>Mineração DAMACAL
(t mil) ORÇAMENTO 2024</t>
  </si>
  <si>
    <t>Mineração DAMACAL
(t mil) Forecast 2024</t>
  </si>
  <si>
    <t>Calcário</t>
  </si>
  <si>
    <t>Cal Britada</t>
  </si>
  <si>
    <t xml:space="preserve">Total </t>
  </si>
  <si>
    <t>Horas Totais</t>
  </si>
  <si>
    <t>h</t>
  </si>
  <si>
    <t>t/h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</si>
</sst>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 ;[Red]\-#,##0\ "/>
    <numFmt numFmtId="166" formatCode="#,##0.00_ ;[Red]\-#,##0.00\ 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0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tted">
        <color theme="0" tint="-0.2499465926084170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</borders>
  <cellStyleXfs count="4">
    <xf numFmtId="0" fontId="0" fillId="0" borderId="0"/>
    <xf numFmtId="0" fontId="2" fillId="0" borderId="0" applyNumberFormat="0" applyFont="0" applyFill="0" applyBorder="0" applyAlignment="0" applyProtection="0">
      <alignment vertical="top"/>
      <protection locked="0"/>
    </xf>
    <xf numFmtId="0" fontId="3" fillId="0" borderId="0"/>
    <xf numFmtId="43" fontId="8" fillId="0" borderId="0" applyFont="0" applyFill="0" applyBorder="0" applyAlignment="0" applyProtection="0"/>
  </cellStyleXfs>
  <cellXfs count="27">
    <xf numFmtId="0" fontId="0" fillId="0" borderId="0" xfId="0"/>
    <xf numFmtId="0" fontId="1" fillId="2" borderId="1" xfId="1" applyFont="1" applyFill="1" applyBorder="1" applyAlignment="1" applyProtection="1">
      <alignment vertical="center" wrapText="1"/>
    </xf>
    <xf numFmtId="0" fontId="1" fillId="2" borderId="3" xfId="1" applyFont="1" applyFill="1" applyBorder="1" applyAlignment="1" applyProtection="1">
      <alignment vertical="center"/>
    </xf>
    <xf numFmtId="0" fontId="1" fillId="2" borderId="4" xfId="1" applyFont="1" applyFill="1" applyBorder="1" applyAlignment="1" applyProtection="1">
      <alignment vertical="center"/>
    </xf>
    <xf numFmtId="0" fontId="4" fillId="3" borderId="5" xfId="2" applyFont="1" applyFill="1" applyBorder="1"/>
    <xf numFmtId="0" fontId="0" fillId="0" borderId="6" xfId="0" applyBorder="1"/>
    <xf numFmtId="164" fontId="0" fillId="0" borderId="6" xfId="0" applyNumberFormat="1" applyBorder="1"/>
    <xf numFmtId="0" fontId="5" fillId="4" borderId="5" xfId="2" applyFont="1" applyFill="1" applyBorder="1" applyAlignment="1">
      <alignment vertical="center"/>
    </xf>
    <xf numFmtId="164" fontId="5" fillId="3" borderId="7" xfId="2" applyNumberFormat="1" applyFont="1" applyFill="1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6" fillId="4" borderId="5" xfId="2" applyFont="1" applyFill="1" applyBorder="1" applyAlignment="1">
      <alignment vertical="center"/>
    </xf>
    <xf numFmtId="164" fontId="6" fillId="3" borderId="7" xfId="2" applyNumberFormat="1" applyFont="1" applyFill="1" applyBorder="1" applyAlignment="1">
      <alignment vertical="center"/>
    </xf>
    <xf numFmtId="164" fontId="7" fillId="0" borderId="6" xfId="0" applyNumberFormat="1" applyFont="1" applyBorder="1"/>
    <xf numFmtId="0" fontId="1" fillId="2" borderId="1" xfId="1" applyFont="1" applyFill="1" applyBorder="1" applyAlignment="1" applyProtection="1">
      <alignment horizontal="center" vertical="center" wrapText="1"/>
    </xf>
    <xf numFmtId="0" fontId="1" fillId="2" borderId="2" xfId="1" applyFont="1" applyFill="1" applyBorder="1" applyAlignment="1" applyProtection="1">
      <alignment horizontal="center" vertical="center" wrapText="1"/>
    </xf>
    <xf numFmtId="0" fontId="0" fillId="0" borderId="3" xfId="0" applyBorder="1"/>
    <xf numFmtId="0" fontId="1" fillId="2" borderId="1" xfId="1" quotePrefix="1" applyFont="1" applyFill="1" applyBorder="1" applyAlignment="1" applyProtection="1">
      <alignment horizontal="center" vertical="center" wrapText="1"/>
    </xf>
    <xf numFmtId="164" fontId="6" fillId="3" borderId="10" xfId="2" applyNumberFormat="1" applyFont="1" applyFill="1" applyBorder="1" applyAlignment="1">
      <alignment vertical="center"/>
    </xf>
    <xf numFmtId="164" fontId="5" fillId="3" borderId="10" xfId="2" applyNumberFormat="1" applyFont="1" applyFill="1" applyBorder="1" applyAlignment="1">
      <alignment vertical="center"/>
    </xf>
    <xf numFmtId="0" fontId="0" fillId="0" borderId="1" xfId="0" applyBorder="1"/>
    <xf numFmtId="164" fontId="6" fillId="3" borderId="5" xfId="2" applyNumberFormat="1" applyFont="1" applyFill="1" applyBorder="1" applyAlignment="1">
      <alignment vertical="center"/>
    </xf>
    <xf numFmtId="164" fontId="5" fillId="3" borderId="5" xfId="2" applyNumberFormat="1" applyFont="1" applyFill="1" applyBorder="1" applyAlignment="1">
      <alignment vertical="center"/>
    </xf>
    <xf numFmtId="0" fontId="5" fillId="4" borderId="0" xfId="2" applyFont="1" applyFill="1" applyBorder="1" applyAlignment="1">
      <alignment vertical="center"/>
    </xf>
    <xf numFmtId="0" fontId="0" fillId="0" borderId="0" xfId="0" applyBorder="1"/>
    <xf numFmtId="164" fontId="5" fillId="3" borderId="0" xfId="2" applyNumberFormat="1" applyFont="1" applyFill="1" applyBorder="1" applyAlignment="1">
      <alignment vertical="center"/>
    </xf>
    <xf numFmtId="166" fontId="5" fillId="3" borderId="0" xfId="2" applyNumberFormat="1" applyFont="1" applyFill="1" applyBorder="1" applyAlignment="1">
      <alignment vertical="center"/>
    </xf>
  </cellXfs>
  <cellStyles count="4">
    <cellStyle name="Hiperlink" xfId="1" builtinId="8"/>
    <cellStyle name="Normal" xfId="0" builtinId="0"/>
    <cellStyle name="Normal 2 2 6 5" xfId="2" xr:uid="{00000000-0005-0000-0000-000002000000}"/>
    <cellStyle name="Vírgula 10 10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2"/>
  <sheetViews>
    <sheetView showGridLines="0" tabSelected="1" topLeftCell="A3" zoomScaleNormal="100" workbookViewId="0">
      <selection activeCell="G22" sqref="G22"/>
    </sheetView>
  </sheetViews>
  <sheetFormatPr defaultRowHeight="14.4" outlineLevelCol="1" x14ac:dyDescent="0.3"/>
  <cols>
    <col min="1" max="1" width="1.5546875" customWidth="1"/>
    <col min="2" max="2" width="26.109375" customWidth="1"/>
    <col min="3" max="3" width="5.6640625" customWidth="1"/>
    <col min="4" max="5" width="9.109375" hidden="1" customWidth="1" outlineLevel="1"/>
    <col min="6" max="6" width="9.109375" customWidth="1" collapsed="1"/>
    <col min="7" max="16" width="9.109375" customWidth="1"/>
    <col min="18" max="19" width="9.109375" customWidth="1"/>
    <col min="20" max="20" width="9.6640625" customWidth="1"/>
    <col min="21" max="33" width="9.109375" customWidth="1"/>
  </cols>
  <sheetData>
    <row r="2" spans="2:16" ht="15" thickBot="1" x14ac:dyDescent="0.35"/>
    <row r="3" spans="2:16" ht="28.8" x14ac:dyDescent="0.3">
      <c r="B3" s="1" t="s">
        <v>15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14</v>
      </c>
      <c r="L3" s="14" t="s">
        <v>8</v>
      </c>
      <c r="M3" s="14" t="s">
        <v>9</v>
      </c>
      <c r="N3" s="14" t="s">
        <v>10</v>
      </c>
      <c r="O3" s="17" t="s">
        <v>13</v>
      </c>
      <c r="P3" s="15" t="s">
        <v>11</v>
      </c>
    </row>
    <row r="4" spans="2:16" ht="15" thickBot="1" x14ac:dyDescent="0.3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</row>
    <row r="5" spans="2:16" x14ac:dyDescent="0.3">
      <c r="B5" s="4"/>
      <c r="D5" s="20"/>
      <c r="P5" s="5"/>
    </row>
    <row r="6" spans="2:16" x14ac:dyDescent="0.3">
      <c r="B6" s="11" t="s">
        <v>19</v>
      </c>
      <c r="C6" t="s">
        <v>12</v>
      </c>
      <c r="D6" s="21">
        <f t="shared" ref="D6:O6" si="0">SUM(D7:D8)</f>
        <v>12003</v>
      </c>
      <c r="E6" s="12">
        <f t="shared" si="0"/>
        <v>12582</v>
      </c>
      <c r="F6" s="18">
        <f t="shared" si="0"/>
        <v>17635</v>
      </c>
      <c r="G6" s="12">
        <f t="shared" si="0"/>
        <v>18557</v>
      </c>
      <c r="H6" s="12">
        <f t="shared" si="0"/>
        <v>18676</v>
      </c>
      <c r="I6" s="18">
        <f t="shared" si="0"/>
        <v>18557</v>
      </c>
      <c r="J6" s="12">
        <f t="shared" si="0"/>
        <v>18676</v>
      </c>
      <c r="K6" s="12">
        <f t="shared" si="0"/>
        <v>18676</v>
      </c>
      <c r="L6" s="12">
        <f t="shared" si="0"/>
        <v>18557</v>
      </c>
      <c r="M6" s="12">
        <f t="shared" si="0"/>
        <v>18676</v>
      </c>
      <c r="N6" s="12">
        <f t="shared" si="0"/>
        <v>18557</v>
      </c>
      <c r="O6" s="18">
        <f t="shared" si="0"/>
        <v>18676</v>
      </c>
      <c r="P6" s="13">
        <f>SUM(D6:O6)</f>
        <v>209828</v>
      </c>
    </row>
    <row r="7" spans="2:16" x14ac:dyDescent="0.3">
      <c r="B7" s="7" t="s">
        <v>17</v>
      </c>
      <c r="C7" t="s">
        <v>12</v>
      </c>
      <c r="D7" s="22">
        <v>10800</v>
      </c>
      <c r="E7" s="8">
        <v>12000</v>
      </c>
      <c r="F7" s="19">
        <v>15000</v>
      </c>
      <c r="G7" s="8">
        <v>15000</v>
      </c>
      <c r="H7" s="8">
        <v>15000</v>
      </c>
      <c r="I7" s="19">
        <v>15000</v>
      </c>
      <c r="J7" s="8">
        <v>15000</v>
      </c>
      <c r="K7" s="8">
        <v>15000</v>
      </c>
      <c r="L7" s="8">
        <v>15000</v>
      </c>
      <c r="M7" s="8">
        <v>15000</v>
      </c>
      <c r="N7" s="8">
        <v>15000</v>
      </c>
      <c r="O7" s="19">
        <v>15000</v>
      </c>
      <c r="P7" s="6">
        <f>SUM(D7:O7)</f>
        <v>172800</v>
      </c>
    </row>
    <row r="8" spans="2:16" x14ac:dyDescent="0.3">
      <c r="B8" s="7" t="s">
        <v>18</v>
      </c>
      <c r="C8" t="s">
        <v>12</v>
      </c>
      <c r="D8" s="22">
        <v>1203</v>
      </c>
      <c r="E8" s="8">
        <v>582</v>
      </c>
      <c r="F8" s="19">
        <v>2635</v>
      </c>
      <c r="G8" s="8">
        <v>3557</v>
      </c>
      <c r="H8" s="8">
        <v>3676</v>
      </c>
      <c r="I8" s="19">
        <v>3557</v>
      </c>
      <c r="J8" s="8">
        <v>3676</v>
      </c>
      <c r="K8" s="8">
        <v>3676</v>
      </c>
      <c r="L8" s="8">
        <v>3557</v>
      </c>
      <c r="M8" s="8">
        <v>3676</v>
      </c>
      <c r="N8" s="8">
        <v>3557</v>
      </c>
      <c r="O8" s="19">
        <v>3676</v>
      </c>
      <c r="P8" s="6">
        <f>SUM(D8:O8)</f>
        <v>37028</v>
      </c>
    </row>
    <row r="9" spans="2:16" ht="15" thickBot="1" x14ac:dyDescent="0.35">
      <c r="B9" s="16"/>
      <c r="C9" s="9"/>
      <c r="D9" s="16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0"/>
    </row>
    <row r="12" spans="2:16" ht="15" thickBot="1" x14ac:dyDescent="0.35"/>
    <row r="13" spans="2:16" ht="28.8" x14ac:dyDescent="0.3">
      <c r="B13" s="1" t="s">
        <v>16</v>
      </c>
      <c r="C13" s="1" t="s">
        <v>0</v>
      </c>
      <c r="D13" s="1" t="s">
        <v>1</v>
      </c>
      <c r="E13" s="1" t="s">
        <v>2</v>
      </c>
      <c r="F13" s="1" t="s">
        <v>3</v>
      </c>
      <c r="G13" s="1" t="s">
        <v>4</v>
      </c>
      <c r="H13" s="1" t="s">
        <v>5</v>
      </c>
      <c r="I13" s="1" t="s">
        <v>6</v>
      </c>
      <c r="J13" s="1" t="s">
        <v>7</v>
      </c>
      <c r="K13" s="1" t="s">
        <v>14</v>
      </c>
      <c r="L13" s="14" t="s">
        <v>8</v>
      </c>
      <c r="M13" s="14" t="s">
        <v>9</v>
      </c>
      <c r="N13" s="14" t="s">
        <v>10</v>
      </c>
      <c r="O13" s="17" t="s">
        <v>13</v>
      </c>
      <c r="P13" s="15" t="s">
        <v>11</v>
      </c>
    </row>
    <row r="14" spans="2:16" ht="15" thickBot="1" x14ac:dyDescent="0.3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"/>
    </row>
    <row r="15" spans="2:16" x14ac:dyDescent="0.3">
      <c r="B15" s="4"/>
      <c r="D15" s="20"/>
      <c r="P15" s="5"/>
    </row>
    <row r="16" spans="2:16" x14ac:dyDescent="0.3">
      <c r="B16" s="11" t="s">
        <v>19</v>
      </c>
      <c r="C16" t="s">
        <v>12</v>
      </c>
      <c r="D16" s="21">
        <f t="shared" ref="D16:O16" si="1">SUM(D17:D18)</f>
        <v>0</v>
      </c>
      <c r="E16" s="12">
        <f t="shared" si="1"/>
        <v>0</v>
      </c>
      <c r="F16" s="18">
        <f t="shared" si="1"/>
        <v>4240</v>
      </c>
      <c r="G16" s="12">
        <f t="shared" si="1"/>
        <v>8557</v>
      </c>
      <c r="H16" s="12">
        <f t="shared" si="1"/>
        <v>13676</v>
      </c>
      <c r="I16" s="18">
        <f t="shared" si="1"/>
        <v>18557</v>
      </c>
      <c r="J16" s="12">
        <f t="shared" si="1"/>
        <v>18676</v>
      </c>
      <c r="K16" s="12">
        <f t="shared" si="1"/>
        <v>18676</v>
      </c>
      <c r="L16" s="12">
        <f t="shared" si="1"/>
        <v>18557</v>
      </c>
      <c r="M16" s="12">
        <f t="shared" si="1"/>
        <v>18676</v>
      </c>
      <c r="N16" s="12">
        <f t="shared" si="1"/>
        <v>18557</v>
      </c>
      <c r="O16" s="18">
        <f t="shared" si="1"/>
        <v>18676</v>
      </c>
      <c r="P16" s="13">
        <f>SUM(D16:O16)</f>
        <v>156848</v>
      </c>
    </row>
    <row r="17" spans="2:16" x14ac:dyDescent="0.3">
      <c r="B17" s="7" t="s">
        <v>17</v>
      </c>
      <c r="C17" t="s">
        <v>12</v>
      </c>
      <c r="D17" s="22"/>
      <c r="E17" s="8"/>
      <c r="F17" s="19">
        <v>3000</v>
      </c>
      <c r="G17" s="8">
        <v>5000</v>
      </c>
      <c r="H17" s="8">
        <v>10000</v>
      </c>
      <c r="I17" s="19">
        <v>15000</v>
      </c>
      <c r="J17" s="8">
        <v>15000</v>
      </c>
      <c r="K17" s="8">
        <v>15000</v>
      </c>
      <c r="L17" s="8">
        <v>15000</v>
      </c>
      <c r="M17" s="8">
        <v>15000</v>
      </c>
      <c r="N17" s="8">
        <v>15000</v>
      </c>
      <c r="O17" s="19">
        <v>15000</v>
      </c>
      <c r="P17" s="6">
        <f>SUM(D17:O17)</f>
        <v>123000</v>
      </c>
    </row>
    <row r="18" spans="2:16" x14ac:dyDescent="0.3">
      <c r="B18" s="7" t="s">
        <v>18</v>
      </c>
      <c r="C18" t="s">
        <v>12</v>
      </c>
      <c r="D18" s="22"/>
      <c r="E18" s="8"/>
      <c r="F18" s="19">
        <v>1240</v>
      </c>
      <c r="G18" s="8">
        <v>3557</v>
      </c>
      <c r="H18" s="8">
        <v>3676</v>
      </c>
      <c r="I18" s="19">
        <v>3557</v>
      </c>
      <c r="J18" s="8">
        <v>3676</v>
      </c>
      <c r="K18" s="8">
        <v>3676</v>
      </c>
      <c r="L18" s="8">
        <v>3557</v>
      </c>
      <c r="M18" s="8">
        <v>3676</v>
      </c>
      <c r="N18" s="8">
        <v>3557</v>
      </c>
      <c r="O18" s="19">
        <v>3676</v>
      </c>
      <c r="P18" s="6">
        <f>SUM(D18:O18)</f>
        <v>33848</v>
      </c>
    </row>
    <row r="19" spans="2:16" ht="15" thickBot="1" x14ac:dyDescent="0.35">
      <c r="B19" s="16"/>
      <c r="C19" s="9"/>
      <c r="D19" s="1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0"/>
    </row>
    <row r="21" spans="2:16" x14ac:dyDescent="0.3">
      <c r="B21" s="23" t="s">
        <v>20</v>
      </c>
      <c r="C21" s="24" t="s">
        <v>21</v>
      </c>
      <c r="D21" s="25">
        <v>744</v>
      </c>
      <c r="E21" s="25">
        <v>696</v>
      </c>
      <c r="F21" s="25">
        <v>744</v>
      </c>
      <c r="G21" s="25">
        <v>720</v>
      </c>
      <c r="H21" s="25">
        <v>744</v>
      </c>
      <c r="I21" s="25">
        <v>720</v>
      </c>
      <c r="J21" s="25">
        <v>744</v>
      </c>
      <c r="K21" s="25">
        <v>744</v>
      </c>
      <c r="L21" s="25">
        <v>720</v>
      </c>
      <c r="M21" s="25">
        <v>744</v>
      </c>
      <c r="N21" s="25">
        <v>720</v>
      </c>
      <c r="O21" s="25">
        <v>744</v>
      </c>
    </row>
    <row r="22" spans="2:16" x14ac:dyDescent="0.3">
      <c r="B22" s="23" t="s">
        <v>18</v>
      </c>
      <c r="C22" s="24" t="s">
        <v>22</v>
      </c>
      <c r="D22" s="25"/>
      <c r="E22" s="25"/>
      <c r="F22" s="26">
        <f>F18/F21</f>
        <v>1.6666666666666667</v>
      </c>
      <c r="G22" s="26">
        <f t="shared" ref="G22:P22" si="2">G18/G21</f>
        <v>4.9402777777777782</v>
      </c>
      <c r="H22" s="26">
        <f t="shared" si="2"/>
        <v>4.940860215053763</v>
      </c>
      <c r="I22" s="26">
        <f t="shared" si="2"/>
        <v>4.9402777777777782</v>
      </c>
      <c r="J22" s="26">
        <f t="shared" si="2"/>
        <v>4.940860215053763</v>
      </c>
      <c r="K22" s="26">
        <f t="shared" si="2"/>
        <v>4.940860215053763</v>
      </c>
      <c r="L22" s="26">
        <f t="shared" si="2"/>
        <v>4.9402777777777782</v>
      </c>
      <c r="M22" s="26">
        <f t="shared" si="2"/>
        <v>4.940860215053763</v>
      </c>
      <c r="N22" s="26">
        <f t="shared" si="2"/>
        <v>4.9402777777777782</v>
      </c>
      <c r="O22" s="26">
        <f>O18/O21</f>
        <v>4.940860215053763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Produção DAMACAL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Guimarães Carmanini</dc:creator>
  <cp:lastModifiedBy>Rubem Fernando Argolo Lima</cp:lastModifiedBy>
  <cp:lastPrinted>2023-10-20T11:07:56Z</cp:lastPrinted>
  <dcterms:created xsi:type="dcterms:W3CDTF">2023-08-08T11:48:20Z</dcterms:created>
  <dcterms:modified xsi:type="dcterms:W3CDTF">2024-04-02T16:29:03Z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