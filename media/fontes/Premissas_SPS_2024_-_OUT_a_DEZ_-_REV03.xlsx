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6" windowWidth="22986" windowHeight="9088" firstSheet="1" activeTab="1"/>
  </bookViews>
  <sheets>
    <sheet name="Premissas SPS 2024 - Trimestral" sheetId="5" state="hidden" r:id="rId1"/>
    <sheet name="Premissas SPS 2024 - Mensal" sheetId="1" r:id="rId2"/>
    <sheet name="Volumes Ajustados" sheetId="2" state="hidden" r:id="rId3"/>
    <sheet name="Energia Aux - Met" sheetId="4" state="hidden" r:id="rId4"/>
    <sheet name="Energia Aux - Min" sheetId="3" state="hidden" r:id="rId5"/>
    <sheet name="Plan1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calcPr calcId="145621"/>
</workbook>
</file>

<file path=xl/calcChain.xml><?xml version="1.0" encoding="utf-8"?>
<calcChain xmlns="http://schemas.openxmlformats.org/spreadsheetml/2006/main">
  <c r="M7" i="1" l="1"/>
  <c r="N7" i="1"/>
  <c r="L7" i="1"/>
  <c r="M41" i="1" l="1"/>
  <c r="N41" i="1"/>
  <c r="L41" i="1"/>
  <c r="M27" i="1"/>
  <c r="N27" i="1"/>
  <c r="L27" i="1"/>
  <c r="E30" i="6"/>
  <c r="F30" i="6"/>
  <c r="D30" i="6"/>
  <c r="M18" i="1"/>
  <c r="N18" i="1"/>
  <c r="L18" i="1"/>
  <c r="N4" i="2"/>
  <c r="O4" i="2"/>
  <c r="M4" i="2"/>
  <c r="E31" i="6"/>
  <c r="F31" i="6"/>
  <c r="E32" i="6"/>
  <c r="F32" i="6"/>
  <c r="D32" i="6"/>
  <c r="D31" i="6"/>
  <c r="F24" i="6" l="1"/>
  <c r="E24" i="6"/>
  <c r="D24" i="6"/>
  <c r="D13" i="6"/>
  <c r="E13" i="6"/>
  <c r="F13" i="6"/>
  <c r="D14" i="6"/>
  <c r="E14" i="6"/>
  <c r="F14" i="6"/>
  <c r="D15" i="6"/>
  <c r="E15" i="6"/>
  <c r="F15" i="6"/>
  <c r="D16" i="6"/>
  <c r="E16" i="6"/>
  <c r="F16" i="6"/>
  <c r="D17" i="6"/>
  <c r="E17" i="6"/>
  <c r="F17" i="6"/>
  <c r="F12" i="6"/>
  <c r="E12" i="6"/>
  <c r="D12" i="6"/>
  <c r="F49" i="5" l="1"/>
  <c r="G49" i="5"/>
  <c r="H49" i="5"/>
  <c r="I49" i="5"/>
  <c r="J49" i="5"/>
  <c r="K49" i="5"/>
  <c r="L49" i="5"/>
  <c r="M49" i="5"/>
  <c r="N49" i="5"/>
  <c r="O49" i="5"/>
  <c r="P49" i="5"/>
  <c r="Q49" i="5"/>
  <c r="R49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R41" i="5"/>
  <c r="N41" i="5"/>
  <c r="J41" i="5"/>
  <c r="F41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R17" i="5"/>
  <c r="N17" i="5"/>
  <c r="J17" i="5"/>
  <c r="F17" i="5"/>
  <c r="R12" i="5"/>
  <c r="R11" i="5"/>
  <c r="R10" i="5"/>
  <c r="N12" i="5"/>
  <c r="N11" i="5"/>
  <c r="N10" i="5"/>
  <c r="J12" i="5"/>
  <c r="J11" i="5"/>
  <c r="J10" i="5"/>
  <c r="F12" i="5"/>
  <c r="F11" i="5"/>
  <c r="F10" i="5"/>
  <c r="E49" i="5"/>
  <c r="D49" i="5"/>
  <c r="C49" i="5"/>
  <c r="E45" i="5"/>
  <c r="D45" i="5"/>
  <c r="C45" i="5"/>
  <c r="Q41" i="5"/>
  <c r="P41" i="5"/>
  <c r="O41" i="5"/>
  <c r="M41" i="5"/>
  <c r="L41" i="5"/>
  <c r="K41" i="5"/>
  <c r="I41" i="5"/>
  <c r="H41" i="5"/>
  <c r="G41" i="5"/>
  <c r="E41" i="5"/>
  <c r="D41" i="5"/>
  <c r="C41" i="5"/>
  <c r="E40" i="5"/>
  <c r="D40" i="5"/>
  <c r="C40" i="5"/>
  <c r="E26" i="5"/>
  <c r="D26" i="5"/>
  <c r="C26" i="5"/>
  <c r="Q17" i="5"/>
  <c r="P17" i="5"/>
  <c r="O17" i="5"/>
  <c r="M17" i="5"/>
  <c r="L17" i="5"/>
  <c r="K17" i="5"/>
  <c r="I17" i="5"/>
  <c r="H17" i="5"/>
  <c r="G17" i="5"/>
  <c r="E17" i="5"/>
  <c r="D17" i="5"/>
  <c r="C17" i="5"/>
  <c r="Q10" i="5"/>
  <c r="P10" i="5"/>
  <c r="O10" i="5"/>
  <c r="M10" i="5"/>
  <c r="L10" i="5"/>
  <c r="K10" i="5"/>
  <c r="I10" i="5"/>
  <c r="H10" i="5"/>
  <c r="G10" i="5"/>
  <c r="E10" i="5"/>
  <c r="D10" i="5"/>
  <c r="C10" i="5"/>
  <c r="D49" i="1"/>
  <c r="E49" i="1"/>
  <c r="F49" i="1"/>
  <c r="G49" i="1"/>
  <c r="H49" i="1"/>
  <c r="I49" i="1"/>
  <c r="J49" i="1"/>
  <c r="K49" i="1"/>
  <c r="L49" i="1"/>
  <c r="M49" i="1"/>
  <c r="N49" i="1"/>
  <c r="C49" i="1"/>
  <c r="D40" i="1"/>
  <c r="H40" i="1"/>
  <c r="L40" i="1"/>
  <c r="D45" i="1"/>
  <c r="E45" i="1"/>
  <c r="F45" i="1"/>
  <c r="G45" i="1"/>
  <c r="H45" i="1"/>
  <c r="I45" i="1"/>
  <c r="J45" i="1"/>
  <c r="K45" i="1"/>
  <c r="L45" i="1"/>
  <c r="M45" i="1"/>
  <c r="N45" i="1"/>
  <c r="D41" i="1"/>
  <c r="E41" i="1"/>
  <c r="E40" i="1" s="1"/>
  <c r="F41" i="1"/>
  <c r="F40" i="1" s="1"/>
  <c r="G41" i="1"/>
  <c r="G40" i="1" s="1"/>
  <c r="H41" i="1"/>
  <c r="I41" i="1"/>
  <c r="I40" i="1" s="1"/>
  <c r="J41" i="1"/>
  <c r="J40" i="1" s="1"/>
  <c r="K41" i="1"/>
  <c r="K40" i="1" s="1"/>
  <c r="M40" i="1"/>
  <c r="N40" i="1"/>
  <c r="C45" i="1"/>
  <c r="C41" i="1"/>
  <c r="C40" i="1" s="1"/>
  <c r="D26" i="1"/>
  <c r="E26" i="1"/>
  <c r="F26" i="1"/>
  <c r="G26" i="1"/>
  <c r="H26" i="1"/>
  <c r="I26" i="1"/>
  <c r="J26" i="1"/>
  <c r="K26" i="1"/>
  <c r="L26" i="1"/>
  <c r="M26" i="1"/>
  <c r="N26" i="1"/>
  <c r="C26" i="1"/>
  <c r="D17" i="1"/>
  <c r="E17" i="1"/>
  <c r="F17" i="1"/>
  <c r="G17" i="1"/>
  <c r="H17" i="1"/>
  <c r="I17" i="1"/>
  <c r="J17" i="1"/>
  <c r="K17" i="1"/>
  <c r="L17" i="1"/>
  <c r="M17" i="1"/>
  <c r="N17" i="1"/>
  <c r="C17" i="1"/>
  <c r="Q19" i="3"/>
  <c r="Q18" i="3"/>
  <c r="Q17" i="3"/>
  <c r="Q16" i="3"/>
  <c r="Q15" i="3"/>
  <c r="Q14" i="3"/>
  <c r="Q13" i="3"/>
  <c r="Q12" i="3"/>
  <c r="Q11" i="3"/>
  <c r="Q10" i="3"/>
  <c r="Q9" i="3"/>
  <c r="Q3" i="3"/>
  <c r="Q21" i="3" s="1"/>
  <c r="Q8" i="3"/>
  <c r="Q7" i="3"/>
  <c r="Q6" i="3"/>
  <c r="Q5" i="3"/>
  <c r="Q4" i="3"/>
  <c r="D6" i="3" l="1"/>
  <c r="H6" i="3"/>
  <c r="L6" i="3"/>
  <c r="F6" i="3"/>
  <c r="N6" i="3"/>
  <c r="K6" i="3"/>
  <c r="E6" i="3"/>
  <c r="I6" i="3"/>
  <c r="M6" i="3"/>
  <c r="J6" i="3"/>
  <c r="G6" i="3"/>
  <c r="C6" i="3"/>
  <c r="C14" i="3" s="1"/>
  <c r="D5" i="3"/>
  <c r="E5" i="3"/>
  <c r="F5" i="3"/>
  <c r="G5" i="3"/>
  <c r="H5" i="3"/>
  <c r="I5" i="3"/>
  <c r="J5" i="3"/>
  <c r="K5" i="3"/>
  <c r="L5" i="3"/>
  <c r="M5" i="3"/>
  <c r="N5" i="3"/>
  <c r="C5" i="3"/>
  <c r="C80" i="4"/>
  <c r="P56" i="4"/>
  <c r="O56" i="4"/>
  <c r="L56" i="4"/>
  <c r="K56" i="4"/>
  <c r="M56" i="4" s="1"/>
  <c r="D56" i="4"/>
  <c r="C56" i="4"/>
  <c r="E56" i="4" s="1"/>
  <c r="P55" i="4"/>
  <c r="O55" i="4"/>
  <c r="Q55" i="4" s="1"/>
  <c r="L55" i="4"/>
  <c r="K55" i="4"/>
  <c r="D55" i="4"/>
  <c r="C55" i="4"/>
  <c r="P54" i="4"/>
  <c r="O54" i="4"/>
  <c r="L54" i="4"/>
  <c r="K54" i="4"/>
  <c r="M54" i="4" s="1"/>
  <c r="D54" i="4"/>
  <c r="C54" i="4"/>
  <c r="G54" i="4" s="1"/>
  <c r="P53" i="4"/>
  <c r="O53" i="4"/>
  <c r="L53" i="4"/>
  <c r="K53" i="4"/>
  <c r="D53" i="4"/>
  <c r="C53" i="4"/>
  <c r="P52" i="4"/>
  <c r="O52" i="4"/>
  <c r="L52" i="4"/>
  <c r="K52" i="4"/>
  <c r="M52" i="4" s="1"/>
  <c r="D52" i="4"/>
  <c r="C52" i="4"/>
  <c r="E52" i="4" s="1"/>
  <c r="P51" i="4"/>
  <c r="O51" i="4"/>
  <c r="Q51" i="4" s="1"/>
  <c r="L51" i="4"/>
  <c r="K51" i="4"/>
  <c r="M51" i="4" s="1"/>
  <c r="D51" i="4"/>
  <c r="C51" i="4"/>
  <c r="H54" i="4"/>
  <c r="P50" i="4"/>
  <c r="O50" i="4"/>
  <c r="Q50" i="4" s="1"/>
  <c r="L50" i="4"/>
  <c r="K50" i="4"/>
  <c r="M50" i="4" s="1"/>
  <c r="D50" i="4"/>
  <c r="C50" i="4"/>
  <c r="E50" i="4" s="1"/>
  <c r="G53" i="4" l="1"/>
  <c r="Y51" i="4"/>
  <c r="Y50" i="4"/>
  <c r="Y55" i="4"/>
  <c r="H51" i="4"/>
  <c r="H55" i="4"/>
  <c r="Q53" i="4"/>
  <c r="Y53" i="4" s="1"/>
  <c r="T50" i="4"/>
  <c r="H56" i="4"/>
  <c r="W56" i="4" s="1"/>
  <c r="F14" i="3"/>
  <c r="H52" i="4"/>
  <c r="W51" i="4"/>
  <c r="L14" i="3"/>
  <c r="I14" i="3"/>
  <c r="Q54" i="4"/>
  <c r="W54" i="4" s="1"/>
  <c r="X51" i="4"/>
  <c r="T51" i="4"/>
  <c r="V55" i="4"/>
  <c r="T56" i="4"/>
  <c r="X55" i="4"/>
  <c r="T52" i="4"/>
  <c r="V53" i="4"/>
  <c r="W55" i="4"/>
  <c r="Q56" i="4"/>
  <c r="E53" i="4"/>
  <c r="X50" i="4"/>
  <c r="E54" i="4"/>
  <c r="G51" i="4"/>
  <c r="I51" i="4" s="1"/>
  <c r="G56" i="4"/>
  <c r="E51" i="4"/>
  <c r="V56" i="4"/>
  <c r="V52" i="4"/>
  <c r="M53" i="4"/>
  <c r="T53" i="4" s="1"/>
  <c r="H53" i="4"/>
  <c r="I53" i="4" s="1"/>
  <c r="Q52" i="4"/>
  <c r="G55" i="4"/>
  <c r="E55" i="4"/>
  <c r="G52" i="4"/>
  <c r="M55" i="4"/>
  <c r="T55" i="4" s="1"/>
  <c r="H50" i="4"/>
  <c r="W50" i="4" s="1"/>
  <c r="K11" i="3"/>
  <c r="K7" i="3"/>
  <c r="K9" i="3" s="1"/>
  <c r="M11" i="3"/>
  <c r="M7" i="3"/>
  <c r="M9" i="3" s="1"/>
  <c r="D11" i="3"/>
  <c r="D7" i="3"/>
  <c r="D9" i="3" s="1"/>
  <c r="C11" i="3"/>
  <c r="C7" i="3"/>
  <c r="C9" i="3" s="1"/>
  <c r="I11" i="3"/>
  <c r="I7" i="3"/>
  <c r="I9" i="3" s="1"/>
  <c r="F7" i="3"/>
  <c r="F9" i="3" s="1"/>
  <c r="F11" i="3"/>
  <c r="J11" i="3"/>
  <c r="J7" i="3"/>
  <c r="J9" i="3" s="1"/>
  <c r="H11" i="3"/>
  <c r="H7" i="3"/>
  <c r="H9" i="3" s="1"/>
  <c r="N11" i="3"/>
  <c r="N7" i="3"/>
  <c r="N9" i="3" s="1"/>
  <c r="G11" i="3"/>
  <c r="G7" i="3"/>
  <c r="G9" i="3" s="1"/>
  <c r="E11" i="3"/>
  <c r="E7" i="3"/>
  <c r="E9" i="3" s="1"/>
  <c r="L11" i="3"/>
  <c r="L7" i="3"/>
  <c r="L9" i="3" s="1"/>
  <c r="I54" i="4"/>
  <c r="G50" i="4"/>
  <c r="V50" i="4" s="1"/>
  <c r="I56" i="4" l="1"/>
  <c r="S56" i="4" s="1"/>
  <c r="W53" i="4"/>
  <c r="I55" i="4"/>
  <c r="X53" i="4"/>
  <c r="X54" i="4"/>
  <c r="M6" i="5"/>
  <c r="K6" i="1"/>
  <c r="F6" i="1"/>
  <c r="G6" i="5"/>
  <c r="I52" i="4"/>
  <c r="S52" i="4" s="1"/>
  <c r="K6" i="5"/>
  <c r="I6" i="1"/>
  <c r="C6" i="1"/>
  <c r="C6" i="5"/>
  <c r="V54" i="4"/>
  <c r="M6" i="1"/>
  <c r="P6" i="5"/>
  <c r="Y54" i="4"/>
  <c r="E6" i="1"/>
  <c r="E6" i="5"/>
  <c r="G6" i="1"/>
  <c r="H6" i="5"/>
  <c r="T54" i="4"/>
  <c r="O6" i="5"/>
  <c r="L6" i="1"/>
  <c r="I6" i="5"/>
  <c r="H6" i="1"/>
  <c r="L6" i="5"/>
  <c r="J6" i="1"/>
  <c r="Q6" i="5"/>
  <c r="N6" i="1"/>
  <c r="D6" i="1"/>
  <c r="D6" i="5"/>
  <c r="S51" i="4"/>
  <c r="I50" i="4"/>
  <c r="S50" i="4" s="1"/>
  <c r="S55" i="4"/>
  <c r="S54" i="4"/>
  <c r="V51" i="4"/>
  <c r="S53" i="4"/>
  <c r="Y52" i="4"/>
  <c r="X52" i="4"/>
  <c r="Y56" i="4"/>
  <c r="X56" i="4"/>
  <c r="W52" i="4"/>
  <c r="P49" i="4"/>
  <c r="O49" i="4"/>
  <c r="L49" i="4"/>
  <c r="K49" i="4"/>
  <c r="M49" i="4" s="1"/>
  <c r="D49" i="4"/>
  <c r="C49" i="4"/>
  <c r="E49" i="4" s="1"/>
  <c r="P48" i="4"/>
  <c r="O48" i="4"/>
  <c r="Q48" i="4" s="1"/>
  <c r="L48" i="4"/>
  <c r="K48" i="4"/>
  <c r="D48" i="4"/>
  <c r="C48" i="4"/>
  <c r="P47" i="4"/>
  <c r="H47" i="4" s="1"/>
  <c r="O47" i="4"/>
  <c r="G47" i="4" s="1"/>
  <c r="L47" i="4"/>
  <c r="K47" i="4"/>
  <c r="M47" i="4" s="1"/>
  <c r="D47" i="4"/>
  <c r="C47" i="4"/>
  <c r="E47" i="4" s="1"/>
  <c r="P46" i="4"/>
  <c r="O46" i="4"/>
  <c r="Q46" i="4" s="1"/>
  <c r="L46" i="4"/>
  <c r="K46" i="4"/>
  <c r="D46" i="4"/>
  <c r="C46" i="4"/>
  <c r="P45" i="4"/>
  <c r="O45" i="4"/>
  <c r="L45" i="4"/>
  <c r="K45" i="4"/>
  <c r="D45" i="4"/>
  <c r="C45" i="4"/>
  <c r="P44" i="4"/>
  <c r="O44" i="4"/>
  <c r="Q44" i="4" s="1"/>
  <c r="L44" i="4"/>
  <c r="K44" i="4"/>
  <c r="D44" i="4"/>
  <c r="C44" i="4"/>
  <c r="P43" i="4"/>
  <c r="O43" i="4"/>
  <c r="L43" i="4"/>
  <c r="K43" i="4"/>
  <c r="M43" i="4" s="1"/>
  <c r="D43" i="4"/>
  <c r="C43" i="4"/>
  <c r="P42" i="4"/>
  <c r="O42" i="4"/>
  <c r="Q42" i="4" s="1"/>
  <c r="L42" i="4"/>
  <c r="K42" i="4"/>
  <c r="D42" i="4"/>
  <c r="C42" i="4"/>
  <c r="E42" i="4" s="1"/>
  <c r="P41" i="4"/>
  <c r="O41" i="4"/>
  <c r="L41" i="4"/>
  <c r="K41" i="4"/>
  <c r="M41" i="4" s="1"/>
  <c r="D41" i="4"/>
  <c r="C41" i="4"/>
  <c r="P40" i="4"/>
  <c r="O40" i="4"/>
  <c r="Q40" i="4" s="1"/>
  <c r="L40" i="4"/>
  <c r="K40" i="4"/>
  <c r="D40" i="4"/>
  <c r="C40" i="4"/>
  <c r="P39" i="4"/>
  <c r="O39" i="4"/>
  <c r="L39" i="4"/>
  <c r="K39" i="4"/>
  <c r="D39" i="4"/>
  <c r="C39" i="4"/>
  <c r="E39" i="4" s="1"/>
  <c r="M40" i="4"/>
  <c r="M42" i="4"/>
  <c r="M48" i="4"/>
  <c r="L38" i="4"/>
  <c r="K38" i="4"/>
  <c r="P38" i="4"/>
  <c r="H38" i="4" s="1"/>
  <c r="O38" i="4"/>
  <c r="Q38" i="4" s="1"/>
  <c r="D38" i="4"/>
  <c r="C38" i="4"/>
  <c r="H42" i="4" l="1"/>
  <c r="H48" i="4"/>
  <c r="G43" i="4"/>
  <c r="G45" i="4"/>
  <c r="V45" i="4" s="1"/>
  <c r="G40" i="4"/>
  <c r="H43" i="4"/>
  <c r="I43" i="4" s="1"/>
  <c r="H49" i="4"/>
  <c r="G38" i="4"/>
  <c r="V38" i="4" s="1"/>
  <c r="E45" i="4"/>
  <c r="H41" i="4"/>
  <c r="W41" i="4" s="1"/>
  <c r="Q47" i="4"/>
  <c r="W47" i="4" s="1"/>
  <c r="X46" i="4"/>
  <c r="X38" i="4"/>
  <c r="Y38" i="4"/>
  <c r="H39" i="4"/>
  <c r="H45" i="4"/>
  <c r="Q49" i="4"/>
  <c r="Y49" i="4" s="1"/>
  <c r="V40" i="4"/>
  <c r="V46" i="4"/>
  <c r="V48" i="4"/>
  <c r="T42" i="4"/>
  <c r="E40" i="4"/>
  <c r="W42" i="4"/>
  <c r="W48" i="4"/>
  <c r="H44" i="4"/>
  <c r="W44" i="4" s="1"/>
  <c r="G42" i="4"/>
  <c r="V42" i="4" s="1"/>
  <c r="Q39" i="4"/>
  <c r="X40" i="4"/>
  <c r="X42" i="4"/>
  <c r="X44" i="4"/>
  <c r="X48" i="4"/>
  <c r="W38" i="4"/>
  <c r="G49" i="4"/>
  <c r="V49" i="4" s="1"/>
  <c r="M44" i="4"/>
  <c r="T44" i="4" s="1"/>
  <c r="Y40" i="4"/>
  <c r="Y42" i="4"/>
  <c r="Y44" i="4"/>
  <c r="Y46" i="4"/>
  <c r="Y48" i="4"/>
  <c r="H46" i="4"/>
  <c r="W46" i="4" s="1"/>
  <c r="G44" i="4"/>
  <c r="Q41" i="4"/>
  <c r="T41" i="4" s="1"/>
  <c r="G39" i="4"/>
  <c r="M46" i="4"/>
  <c r="T46" i="4" s="1"/>
  <c r="E44" i="4"/>
  <c r="T47" i="4"/>
  <c r="Q43" i="4"/>
  <c r="T48" i="4"/>
  <c r="G48" i="4"/>
  <c r="I48" i="4" s="1"/>
  <c r="E41" i="4"/>
  <c r="M39" i="4"/>
  <c r="X49" i="4"/>
  <c r="E48" i="4"/>
  <c r="Y47" i="4"/>
  <c r="T40" i="4"/>
  <c r="G46" i="4"/>
  <c r="E46" i="4"/>
  <c r="G41" i="4"/>
  <c r="Q45" i="4"/>
  <c r="X41" i="4"/>
  <c r="X45" i="4"/>
  <c r="M38" i="4"/>
  <c r="T38" i="4" s="1"/>
  <c r="Y41" i="4"/>
  <c r="M45" i="4"/>
  <c r="T45" i="4" s="1"/>
  <c r="E43" i="4"/>
  <c r="H40" i="4"/>
  <c r="W40" i="4" s="1"/>
  <c r="I47" i="4"/>
  <c r="S48" i="4" l="1"/>
  <c r="V47" i="4"/>
  <c r="X47" i="4"/>
  <c r="I38" i="4"/>
  <c r="I45" i="4"/>
  <c r="S45" i="4" s="1"/>
  <c r="I39" i="4"/>
  <c r="T49" i="4"/>
  <c r="W43" i="4"/>
  <c r="W45" i="4"/>
  <c r="I49" i="4"/>
  <c r="S49" i="4" s="1"/>
  <c r="X43" i="4"/>
  <c r="I41" i="4"/>
  <c r="S41" i="4" s="1"/>
  <c r="S47" i="4"/>
  <c r="I44" i="4"/>
  <c r="V43" i="4"/>
  <c r="S43" i="4"/>
  <c r="I46" i="4"/>
  <c r="S46" i="4" s="1"/>
  <c r="W39" i="4"/>
  <c r="W49" i="4"/>
  <c r="V41" i="4"/>
  <c r="X39" i="4"/>
  <c r="V44" i="4"/>
  <c r="I42" i="4"/>
  <c r="S42" i="4" s="1"/>
  <c r="Y43" i="4"/>
  <c r="I40" i="4"/>
  <c r="S40" i="4" s="1"/>
  <c r="V39" i="4"/>
  <c r="T39" i="4"/>
  <c r="T43" i="4"/>
  <c r="S44" i="4"/>
  <c r="Y45" i="4"/>
  <c r="S39" i="4"/>
  <c r="Y39" i="4"/>
  <c r="E38" i="4"/>
  <c r="S38" i="4" s="1"/>
  <c r="D80" i="4"/>
  <c r="E80" i="4"/>
  <c r="E81" i="4" s="1"/>
  <c r="C81" i="4" s="1"/>
  <c r="B81" i="4" s="1"/>
  <c r="Q37" i="4"/>
  <c r="M37" i="4"/>
  <c r="T37" i="4" s="1"/>
  <c r="H37" i="4"/>
  <c r="W37" i="4" s="1"/>
  <c r="G37" i="4"/>
  <c r="E37" i="4"/>
  <c r="Q36" i="4"/>
  <c r="M36" i="4"/>
  <c r="T36" i="4" s="1"/>
  <c r="H36" i="4"/>
  <c r="G36" i="4"/>
  <c r="E36" i="4"/>
  <c r="G30" i="4" s="1"/>
  <c r="M25" i="4" s="1"/>
  <c r="G24" i="4" s="1"/>
  <c r="P23" i="4"/>
  <c r="O23" i="4"/>
  <c r="L23" i="4"/>
  <c r="K23" i="4"/>
  <c r="M23" i="4" s="1"/>
  <c r="D23" i="4"/>
  <c r="C23" i="4"/>
  <c r="P22" i="4"/>
  <c r="O22" i="4"/>
  <c r="L22" i="4"/>
  <c r="K22" i="4"/>
  <c r="D22" i="4"/>
  <c r="C22" i="4"/>
  <c r="G22" i="4" s="1"/>
  <c r="P21" i="4"/>
  <c r="O21" i="4"/>
  <c r="L21" i="4"/>
  <c r="K21" i="4"/>
  <c r="D21" i="4"/>
  <c r="C21" i="4"/>
  <c r="P20" i="4"/>
  <c r="O20" i="4"/>
  <c r="L20" i="4"/>
  <c r="K20" i="4"/>
  <c r="D20" i="4"/>
  <c r="C20" i="4"/>
  <c r="P19" i="4"/>
  <c r="O19" i="4"/>
  <c r="L19" i="4"/>
  <c r="K19" i="4"/>
  <c r="D19" i="4"/>
  <c r="C19" i="4"/>
  <c r="P18" i="4"/>
  <c r="O18" i="4"/>
  <c r="L18" i="4"/>
  <c r="K18" i="4"/>
  <c r="D18" i="4"/>
  <c r="C18" i="4"/>
  <c r="P17" i="4"/>
  <c r="O17" i="4"/>
  <c r="L17" i="4"/>
  <c r="K17" i="4"/>
  <c r="D17" i="4"/>
  <c r="C17" i="4"/>
  <c r="P16" i="4"/>
  <c r="O16" i="4"/>
  <c r="L16" i="4"/>
  <c r="K16" i="4"/>
  <c r="D16" i="4"/>
  <c r="C16" i="4"/>
  <c r="P15" i="4"/>
  <c r="O15" i="4"/>
  <c r="L15" i="4"/>
  <c r="K15" i="4"/>
  <c r="D15" i="4"/>
  <c r="C15" i="4"/>
  <c r="P14" i="4"/>
  <c r="O14" i="4"/>
  <c r="L14" i="4"/>
  <c r="K14" i="4"/>
  <c r="D14" i="4"/>
  <c r="C14" i="4"/>
  <c r="P13" i="4"/>
  <c r="O13" i="4"/>
  <c r="L13" i="4"/>
  <c r="K13" i="4"/>
  <c r="D13" i="4"/>
  <c r="C13" i="4"/>
  <c r="P12" i="4"/>
  <c r="O12" i="4"/>
  <c r="L12" i="4"/>
  <c r="K12" i="4"/>
  <c r="D12" i="4"/>
  <c r="C12" i="4"/>
  <c r="P11" i="4"/>
  <c r="O11" i="4"/>
  <c r="L11" i="4"/>
  <c r="K11" i="4"/>
  <c r="D11" i="4"/>
  <c r="C11" i="4"/>
  <c r="P10" i="4"/>
  <c r="O10" i="4"/>
  <c r="L10" i="4"/>
  <c r="K10" i="4"/>
  <c r="D10" i="4"/>
  <c r="C10" i="4"/>
  <c r="P9" i="4"/>
  <c r="O9" i="4"/>
  <c r="L9" i="4"/>
  <c r="K9" i="4"/>
  <c r="D9" i="4"/>
  <c r="C9" i="4"/>
  <c r="P8" i="4"/>
  <c r="O8" i="4"/>
  <c r="Q8" i="4" s="1"/>
  <c r="L8" i="4"/>
  <c r="K8" i="4"/>
  <c r="D8" i="4"/>
  <c r="C8" i="4"/>
  <c r="P7" i="4"/>
  <c r="O7" i="4"/>
  <c r="L7" i="4"/>
  <c r="K7" i="4"/>
  <c r="M7" i="4" s="1"/>
  <c r="D7" i="4"/>
  <c r="C7" i="4"/>
  <c r="P6" i="4"/>
  <c r="O6" i="4"/>
  <c r="Q6" i="4" s="1"/>
  <c r="L6" i="4"/>
  <c r="K6" i="4"/>
  <c r="D6" i="4"/>
  <c r="C6" i="4"/>
  <c r="E6" i="4" s="1"/>
  <c r="P5" i="4"/>
  <c r="O5" i="4"/>
  <c r="L5" i="4"/>
  <c r="K5" i="4"/>
  <c r="D5" i="4"/>
  <c r="C5" i="4"/>
  <c r="P4" i="4"/>
  <c r="O4" i="4"/>
  <c r="L4" i="4"/>
  <c r="K4" i="4"/>
  <c r="D4" i="4"/>
  <c r="C4" i="4"/>
  <c r="E4" i="4" s="1"/>
  <c r="X37" i="4" l="1"/>
  <c r="Y37" i="4"/>
  <c r="I36" i="4"/>
  <c r="S36" i="4" s="1"/>
  <c r="V36" i="4"/>
  <c r="W36" i="4"/>
  <c r="I37" i="4"/>
  <c r="S37" i="4" s="1"/>
  <c r="X36" i="4"/>
  <c r="Y36" i="4"/>
  <c r="V37" i="4"/>
  <c r="M27" i="4"/>
  <c r="E28" i="4"/>
  <c r="H28" i="4"/>
  <c r="G20" i="4"/>
  <c r="E20" i="4"/>
  <c r="H11" i="4"/>
  <c r="W11" i="4" s="1"/>
  <c r="H13" i="4"/>
  <c r="H15" i="4"/>
  <c r="H17" i="4"/>
  <c r="H19" i="4"/>
  <c r="M15" i="4"/>
  <c r="E16" i="4"/>
  <c r="M19" i="4"/>
  <c r="M11" i="4"/>
  <c r="E12" i="4"/>
  <c r="H20" i="4"/>
  <c r="I20" i="4" s="1"/>
  <c r="Q28" i="4"/>
  <c r="M29" i="4"/>
  <c r="Q30" i="4"/>
  <c r="X30" i="4" s="1"/>
  <c r="M31" i="4"/>
  <c r="E32" i="4"/>
  <c r="Q32" i="4"/>
  <c r="X32" i="4" s="1"/>
  <c r="M33" i="4"/>
  <c r="Q34" i="4"/>
  <c r="Y34" i="4" s="1"/>
  <c r="M35" i="4"/>
  <c r="Q5" i="4"/>
  <c r="Y5" i="4" s="1"/>
  <c r="E18" i="4"/>
  <c r="E14" i="4"/>
  <c r="G18" i="4"/>
  <c r="E24" i="4"/>
  <c r="G26" i="4"/>
  <c r="G34" i="4"/>
  <c r="V34" i="4" s="1"/>
  <c r="H5" i="4"/>
  <c r="H7" i="4"/>
  <c r="H9" i="4"/>
  <c r="H24" i="4"/>
  <c r="I24" i="4" s="1"/>
  <c r="G32" i="4"/>
  <c r="V32" i="4" s="1"/>
  <c r="H32" i="4"/>
  <c r="W32" i="4" s="1"/>
  <c r="G10" i="4"/>
  <c r="I10" i="4" s="1"/>
  <c r="E10" i="4"/>
  <c r="G14" i="4"/>
  <c r="G28" i="4"/>
  <c r="I28" i="4" s="1"/>
  <c r="H10" i="4"/>
  <c r="Y8" i="4"/>
  <c r="G12" i="4"/>
  <c r="G16" i="4"/>
  <c r="H18" i="4"/>
  <c r="I18" i="4" s="1"/>
  <c r="E22" i="4"/>
  <c r="E26" i="4"/>
  <c r="E30" i="4"/>
  <c r="E34" i="4"/>
  <c r="K58" i="4"/>
  <c r="G5" i="4"/>
  <c r="E8" i="4"/>
  <c r="M9" i="4"/>
  <c r="H12" i="4"/>
  <c r="M13" i="4"/>
  <c r="H16" i="4"/>
  <c r="M17" i="4"/>
  <c r="H21" i="4"/>
  <c r="H22" i="4"/>
  <c r="I22" i="4" s="1"/>
  <c r="H25" i="4"/>
  <c r="W25" i="4" s="1"/>
  <c r="H26" i="4"/>
  <c r="H30" i="4"/>
  <c r="I30" i="4" s="1"/>
  <c r="H34" i="4"/>
  <c r="M21" i="4"/>
  <c r="H14" i="4"/>
  <c r="H23" i="4"/>
  <c r="H27" i="4"/>
  <c r="W7" i="4"/>
  <c r="Y6" i="4"/>
  <c r="H8" i="4"/>
  <c r="W8" i="4" s="1"/>
  <c r="D58" i="4"/>
  <c r="O58" i="4"/>
  <c r="H6" i="4"/>
  <c r="W6" i="4" s="1"/>
  <c r="Q7" i="4"/>
  <c r="X7" i="4" s="1"/>
  <c r="G9" i="4"/>
  <c r="I9" i="4" s="1"/>
  <c r="X28" i="4"/>
  <c r="L58" i="4"/>
  <c r="P58" i="4"/>
  <c r="G7" i="4"/>
  <c r="I7" i="4" s="1"/>
  <c r="Y7" i="4"/>
  <c r="Y28" i="4"/>
  <c r="Y32" i="4"/>
  <c r="I5" i="4"/>
  <c r="M5" i="4"/>
  <c r="Q9" i="4"/>
  <c r="Y9" i="4" s="1"/>
  <c r="X8" i="4"/>
  <c r="X6" i="4"/>
  <c r="C58" i="4"/>
  <c r="E5" i="4"/>
  <c r="M6" i="4"/>
  <c r="T6" i="4" s="1"/>
  <c r="E7" i="4"/>
  <c r="M8" i="4"/>
  <c r="T8" i="4" s="1"/>
  <c r="E9" i="4"/>
  <c r="H4" i="4"/>
  <c r="M4" i="4"/>
  <c r="Q11" i="4"/>
  <c r="G11" i="4"/>
  <c r="I11" i="4" s="1"/>
  <c r="Q13" i="4"/>
  <c r="T13" i="4" s="1"/>
  <c r="G13" i="4"/>
  <c r="Q15" i="4"/>
  <c r="G15" i="4"/>
  <c r="V15" i="4" s="1"/>
  <c r="Q17" i="4"/>
  <c r="W17" i="4" s="1"/>
  <c r="G17" i="4"/>
  <c r="I17" i="4" s="1"/>
  <c r="Q19" i="4"/>
  <c r="W19" i="4" s="1"/>
  <c r="G19" i="4"/>
  <c r="Q21" i="4"/>
  <c r="G21" i="4"/>
  <c r="Q23" i="4"/>
  <c r="W23" i="4" s="1"/>
  <c r="G23" i="4"/>
  <c r="I23" i="4" s="1"/>
  <c r="Q25" i="4"/>
  <c r="G25" i="4"/>
  <c r="Q27" i="4"/>
  <c r="G27" i="4"/>
  <c r="E11" i="4"/>
  <c r="E13" i="4"/>
  <c r="E15" i="4"/>
  <c r="E17" i="4"/>
  <c r="E19" i="4"/>
  <c r="E21" i="4"/>
  <c r="E23" i="4"/>
  <c r="E25" i="4"/>
  <c r="E27" i="4"/>
  <c r="V28" i="4"/>
  <c r="H29" i="4"/>
  <c r="H31" i="4"/>
  <c r="H33" i="4"/>
  <c r="H35" i="4"/>
  <c r="G4" i="4"/>
  <c r="Q4" i="4"/>
  <c r="X4" i="4" s="1"/>
  <c r="G6" i="4"/>
  <c r="G8" i="4"/>
  <c r="M10" i="4"/>
  <c r="Q10" i="4"/>
  <c r="M12" i="4"/>
  <c r="Q12" i="4"/>
  <c r="V12" i="4" s="1"/>
  <c r="M14" i="4"/>
  <c r="Q14" i="4"/>
  <c r="X14" i="4" s="1"/>
  <c r="M16" i="4"/>
  <c r="Q16" i="4"/>
  <c r="M18" i="4"/>
  <c r="Q18" i="4"/>
  <c r="M20" i="4"/>
  <c r="Q20" i="4"/>
  <c r="M22" i="4"/>
  <c r="Q22" i="4"/>
  <c r="M24" i="4"/>
  <c r="Q24" i="4"/>
  <c r="V24" i="4" s="1"/>
  <c r="M26" i="4"/>
  <c r="Q26" i="4"/>
  <c r="W27" i="4"/>
  <c r="Q29" i="4"/>
  <c r="G29" i="4"/>
  <c r="Q31" i="4"/>
  <c r="G31" i="4"/>
  <c r="Q33" i="4"/>
  <c r="G33" i="4"/>
  <c r="Q35" i="4"/>
  <c r="G35" i="4"/>
  <c r="M28" i="4"/>
  <c r="T28" i="4" s="1"/>
  <c r="E29" i="4"/>
  <c r="M30" i="4"/>
  <c r="E31" i="4"/>
  <c r="M32" i="4"/>
  <c r="T32" i="4" s="1"/>
  <c r="E33" i="4"/>
  <c r="M34" i="4"/>
  <c r="E35" i="4"/>
  <c r="E6" i="2"/>
  <c r="E9" i="2" s="1"/>
  <c r="F6" i="2"/>
  <c r="F9" i="2" s="1"/>
  <c r="G6" i="2"/>
  <c r="G8" i="2" s="1"/>
  <c r="H6" i="2"/>
  <c r="H8" i="2" s="1"/>
  <c r="I6" i="2"/>
  <c r="I9" i="2" s="1"/>
  <c r="J6" i="2"/>
  <c r="J9" i="2" s="1"/>
  <c r="K6" i="2"/>
  <c r="K11" i="2" s="1"/>
  <c r="L6" i="2"/>
  <c r="L8" i="2" s="1"/>
  <c r="M6" i="2"/>
  <c r="M9" i="2" s="1"/>
  <c r="N6" i="2"/>
  <c r="N9" i="2" s="1"/>
  <c r="O6" i="2"/>
  <c r="O8" i="2" s="1"/>
  <c r="D6" i="2"/>
  <c r="D11" i="2" s="1"/>
  <c r="D10" i="1"/>
  <c r="E10" i="1"/>
  <c r="F10" i="1"/>
  <c r="G10" i="1"/>
  <c r="H10" i="1"/>
  <c r="I10" i="1"/>
  <c r="J10" i="1"/>
  <c r="K10" i="1"/>
  <c r="L10" i="1"/>
  <c r="M10" i="1"/>
  <c r="N10" i="1"/>
  <c r="C10" i="1"/>
  <c r="X5" i="4" l="1"/>
  <c r="I21" i="4"/>
  <c r="V5" i="4"/>
  <c r="W30" i="4"/>
  <c r="V16" i="4"/>
  <c r="T7" i="4"/>
  <c r="I19" i="4"/>
  <c r="S19" i="4" s="1"/>
  <c r="T5" i="4"/>
  <c r="I14" i="4"/>
  <c r="W5" i="4"/>
  <c r="I32" i="4"/>
  <c r="S32" i="4" s="1"/>
  <c r="W28" i="4"/>
  <c r="Y30" i="4"/>
  <c r="W22" i="4"/>
  <c r="I26" i="4"/>
  <c r="O11" i="2"/>
  <c r="G11" i="2"/>
  <c r="K9" i="2"/>
  <c r="N8" i="2"/>
  <c r="F8" i="2"/>
  <c r="N11" i="2"/>
  <c r="F11" i="2"/>
  <c r="H9" i="2"/>
  <c r="K8" i="2"/>
  <c r="O9" i="2"/>
  <c r="G9" i="2"/>
  <c r="J8" i="2"/>
  <c r="J11" i="2"/>
  <c r="L9" i="2"/>
  <c r="D8" i="2"/>
  <c r="D9" i="2"/>
  <c r="M11" i="2"/>
  <c r="I11" i="2"/>
  <c r="E11" i="2"/>
  <c r="M8" i="2"/>
  <c r="I8" i="2"/>
  <c r="E8" i="2"/>
  <c r="L11" i="2"/>
  <c r="H11" i="2"/>
  <c r="I33" i="4"/>
  <c r="S28" i="4"/>
  <c r="T34" i="4"/>
  <c r="T30" i="4"/>
  <c r="W20" i="4"/>
  <c r="W15" i="4"/>
  <c r="I15" i="4"/>
  <c r="S15" i="4" s="1"/>
  <c r="X34" i="4"/>
  <c r="V30" i="4"/>
  <c r="I25" i="4"/>
  <c r="S25" i="4" s="1"/>
  <c r="I13" i="4"/>
  <c r="S13" i="4" s="1"/>
  <c r="W34" i="4"/>
  <c r="T9" i="4"/>
  <c r="I34" i="4"/>
  <c r="S34" i="4" s="1"/>
  <c r="T21" i="4"/>
  <c r="V7" i="4"/>
  <c r="T24" i="4"/>
  <c r="W21" i="4"/>
  <c r="T16" i="4"/>
  <c r="W13" i="4"/>
  <c r="S10" i="4"/>
  <c r="I27" i="4"/>
  <c r="S27" i="4" s="1"/>
  <c r="S7" i="4"/>
  <c r="X9" i="4"/>
  <c r="S17" i="4"/>
  <c r="S30" i="4"/>
  <c r="S21" i="4"/>
  <c r="S26" i="4"/>
  <c r="V23" i="4"/>
  <c r="I16" i="4"/>
  <c r="S16" i="4" s="1"/>
  <c r="V27" i="4"/>
  <c r="V11" i="4"/>
  <c r="W9" i="4"/>
  <c r="I12" i="4"/>
  <c r="S12" i="4" s="1"/>
  <c r="S18" i="4"/>
  <c r="I29" i="4"/>
  <c r="S29" i="4" s="1"/>
  <c r="T26" i="4"/>
  <c r="T18" i="4"/>
  <c r="V19" i="4"/>
  <c r="I35" i="4"/>
  <c r="S35" i="4" s="1"/>
  <c r="I31" i="4"/>
  <c r="S31" i="4" s="1"/>
  <c r="T22" i="4"/>
  <c r="V9" i="4"/>
  <c r="W33" i="4"/>
  <c r="V25" i="4"/>
  <c r="V21" i="4"/>
  <c r="V17" i="4"/>
  <c r="V13" i="4"/>
  <c r="S9" i="4"/>
  <c r="W4" i="4"/>
  <c r="W35" i="4"/>
  <c r="S23" i="4"/>
  <c r="S11" i="4"/>
  <c r="S5" i="4"/>
  <c r="T20" i="4"/>
  <c r="V8" i="4"/>
  <c r="I8" i="4"/>
  <c r="S8" i="4" s="1"/>
  <c r="V4" i="4"/>
  <c r="G58" i="4"/>
  <c r="I4" i="4"/>
  <c r="Y23" i="4"/>
  <c r="X23" i="4"/>
  <c r="S20" i="4"/>
  <c r="Y15" i="4"/>
  <c r="X15" i="4"/>
  <c r="Y4" i="4"/>
  <c r="H58" i="4"/>
  <c r="Y24" i="4"/>
  <c r="Y20" i="4"/>
  <c r="Y16" i="4"/>
  <c r="Y12" i="4"/>
  <c r="T23" i="4"/>
  <c r="T15" i="4"/>
  <c r="W16" i="4"/>
  <c r="W18" i="4"/>
  <c r="X35" i="4"/>
  <c r="Y35" i="4"/>
  <c r="T35" i="4"/>
  <c r="X31" i="4"/>
  <c r="Y31" i="4"/>
  <c r="T31" i="4"/>
  <c r="I6" i="4"/>
  <c r="S6" i="4" s="1"/>
  <c r="V6" i="4"/>
  <c r="V35" i="4"/>
  <c r="V31" i="4"/>
  <c r="Y25" i="4"/>
  <c r="X25" i="4"/>
  <c r="S22" i="4"/>
  <c r="Y17" i="4"/>
  <c r="X17" i="4"/>
  <c r="S14" i="4"/>
  <c r="V26" i="4"/>
  <c r="V22" i="4"/>
  <c r="V18" i="4"/>
  <c r="V14" i="4"/>
  <c r="V10" i="4"/>
  <c r="W12" i="4"/>
  <c r="W14" i="4"/>
  <c r="S33" i="4"/>
  <c r="T14" i="4"/>
  <c r="T12" i="4"/>
  <c r="T10" i="4"/>
  <c r="E58" i="4"/>
  <c r="Y27" i="4"/>
  <c r="X27" i="4"/>
  <c r="S24" i="4"/>
  <c r="Y19" i="4"/>
  <c r="X19" i="4"/>
  <c r="Y11" i="4"/>
  <c r="X11" i="4"/>
  <c r="Y26" i="4"/>
  <c r="Y22" i="4"/>
  <c r="Y18" i="4"/>
  <c r="Y14" i="4"/>
  <c r="Y10" i="4"/>
  <c r="T27" i="4"/>
  <c r="T19" i="4"/>
  <c r="T11" i="4"/>
  <c r="W24" i="4"/>
  <c r="W26" i="4"/>
  <c r="W10" i="4"/>
  <c r="X33" i="4"/>
  <c r="Y33" i="4"/>
  <c r="T33" i="4"/>
  <c r="X29" i="4"/>
  <c r="Y29" i="4"/>
  <c r="T29" i="4"/>
  <c r="X26" i="4"/>
  <c r="X24" i="4"/>
  <c r="X22" i="4"/>
  <c r="X20" i="4"/>
  <c r="X18" i="4"/>
  <c r="X16" i="4"/>
  <c r="X12" i="4"/>
  <c r="X10" i="4"/>
  <c r="Q58" i="4"/>
  <c r="W31" i="4"/>
  <c r="W29" i="4"/>
  <c r="V33" i="4"/>
  <c r="V29" i="4"/>
  <c r="Y21" i="4"/>
  <c r="X21" i="4"/>
  <c r="Y13" i="4"/>
  <c r="X13" i="4"/>
  <c r="M58" i="4"/>
  <c r="T4" i="4"/>
  <c r="V20" i="4"/>
  <c r="T25" i="4"/>
  <c r="T17" i="4"/>
  <c r="T58" i="4" l="1"/>
  <c r="C15" i="2" s="1"/>
  <c r="D18" i="2" s="1"/>
  <c r="D21" i="2" s="1"/>
  <c r="E10" i="2"/>
  <c r="L10" i="2"/>
  <c r="M10" i="2"/>
  <c r="J10" i="2"/>
  <c r="H10" i="2"/>
  <c r="N10" i="2"/>
  <c r="O10" i="2"/>
  <c r="I10" i="2"/>
  <c r="F10" i="2"/>
  <c r="G10" i="2"/>
  <c r="D10" i="2"/>
  <c r="K10" i="2"/>
  <c r="X58" i="4"/>
  <c r="W58" i="4"/>
  <c r="V58" i="4"/>
  <c r="I58" i="4"/>
  <c r="S4" i="4"/>
  <c r="S58" i="4" s="1"/>
  <c r="C14" i="2" s="1"/>
  <c r="Y58" i="4"/>
  <c r="N17" i="2" l="1"/>
  <c r="N20" i="2" s="1"/>
  <c r="K18" i="2"/>
  <c r="K21" i="2" s="1"/>
  <c r="D17" i="2"/>
  <c r="D20" i="2" s="1"/>
  <c r="D22" i="2" s="1"/>
  <c r="H18" i="2"/>
  <c r="H21" i="2" s="1"/>
  <c r="M18" i="2"/>
  <c r="I18" i="2"/>
  <c r="E18" i="2"/>
  <c r="L17" i="2"/>
  <c r="H17" i="2"/>
  <c r="O17" i="2"/>
  <c r="G17" i="2"/>
  <c r="N18" i="2"/>
  <c r="F18" i="2"/>
  <c r="J18" i="2"/>
  <c r="K17" i="2"/>
  <c r="K20" i="2" s="1"/>
  <c r="G18" i="2"/>
  <c r="G21" i="2" s="1"/>
  <c r="J17" i="2"/>
  <c r="J20" i="2" s="1"/>
  <c r="J25" i="2" s="1"/>
  <c r="F17" i="2"/>
  <c r="F20" i="2" s="1"/>
  <c r="M17" i="2"/>
  <c r="M20" i="2" s="1"/>
  <c r="I17" i="2"/>
  <c r="I20" i="2" s="1"/>
  <c r="L18" i="2"/>
  <c r="L21" i="2" s="1"/>
  <c r="O18" i="2"/>
  <c r="O21" i="2" s="1"/>
  <c r="E17" i="2"/>
  <c r="E20" i="2" s="1"/>
  <c r="N25" i="2"/>
  <c r="K26" i="2"/>
  <c r="D26" i="2"/>
  <c r="K22" i="2"/>
  <c r="O26" i="2" l="1"/>
  <c r="E25" i="2"/>
  <c r="I25" i="2"/>
  <c r="F25" i="2"/>
  <c r="E4" i="1" s="1"/>
  <c r="I4" i="1"/>
  <c r="K4" i="5"/>
  <c r="M21" i="2"/>
  <c r="M22" i="2" s="1"/>
  <c r="M26" i="2"/>
  <c r="N5" i="1"/>
  <c r="Q5" i="5"/>
  <c r="N5" i="5"/>
  <c r="M4" i="1"/>
  <c r="P4" i="5"/>
  <c r="F21" i="2"/>
  <c r="F26" i="2"/>
  <c r="D25" i="2"/>
  <c r="K25" i="2"/>
  <c r="D4" i="1"/>
  <c r="D4" i="5"/>
  <c r="G20" i="2"/>
  <c r="G22" i="2" s="1"/>
  <c r="G25" i="2"/>
  <c r="C5" i="1"/>
  <c r="C5" i="5"/>
  <c r="O20" i="2"/>
  <c r="O22" i="2" s="1"/>
  <c r="G26" i="2"/>
  <c r="H4" i="1"/>
  <c r="I4" i="5"/>
  <c r="L20" i="2"/>
  <c r="L22" i="2" s="1"/>
  <c r="L26" i="2"/>
  <c r="E21" i="2"/>
  <c r="E22" i="2" s="1"/>
  <c r="E26" i="2"/>
  <c r="J5" i="1"/>
  <c r="L5" i="5"/>
  <c r="J5" i="5"/>
  <c r="J21" i="2"/>
  <c r="J22" i="2" s="1"/>
  <c r="J26" i="2"/>
  <c r="N21" i="2"/>
  <c r="N22" i="2" s="1"/>
  <c r="H20" i="2"/>
  <c r="H25" i="2" s="1"/>
  <c r="F22" i="2"/>
  <c r="I21" i="2"/>
  <c r="I22" i="2" s="1"/>
  <c r="I26" i="2"/>
  <c r="M25" i="2"/>
  <c r="H26" i="2"/>
  <c r="H22" i="2" l="1"/>
  <c r="N26" i="2"/>
  <c r="E4" i="5"/>
  <c r="G4" i="1"/>
  <c r="H4" i="5"/>
  <c r="H5" i="1"/>
  <c r="I5" i="5"/>
  <c r="E5" i="1"/>
  <c r="E5" i="5"/>
  <c r="O25" i="2"/>
  <c r="G5" i="1"/>
  <c r="H5" i="5"/>
  <c r="I5" i="1"/>
  <c r="K5" i="5"/>
  <c r="L5" i="1"/>
  <c r="O5" i="5"/>
  <c r="L4" i="1"/>
  <c r="O4" i="5"/>
  <c r="J4" i="1"/>
  <c r="L4" i="5"/>
  <c r="J4" i="5"/>
  <c r="C4" i="1"/>
  <c r="C4" i="5"/>
  <c r="F5" i="1"/>
  <c r="G5" i="5"/>
  <c r="F5" i="5"/>
  <c r="D5" i="1"/>
  <c r="D5" i="5"/>
  <c r="M5" i="1"/>
  <c r="P5" i="5"/>
  <c r="F4" i="1"/>
  <c r="G4" i="5"/>
  <c r="F4" i="5"/>
  <c r="K5" i="1"/>
  <c r="M5" i="5"/>
  <c r="L25" i="2"/>
  <c r="K4" i="1" l="1"/>
  <c r="M4" i="5"/>
  <c r="N4" i="1"/>
  <c r="N4" i="5"/>
  <c r="Q4" i="5"/>
</calcChain>
</file>

<file path=xl/sharedStrings.xml><?xml version="1.0" encoding="utf-8"?>
<sst xmlns="http://schemas.openxmlformats.org/spreadsheetml/2006/main" count="325" uniqueCount="102">
  <si>
    <t>Volumes energia (Produtividade) MWh/h</t>
  </si>
  <si>
    <t>CHESF - Consumo</t>
  </si>
  <si>
    <t>ML - Consumo - Venda</t>
  </si>
  <si>
    <t>Horas Totais</t>
  </si>
  <si>
    <t>Horas FP</t>
  </si>
  <si>
    <t>Horas HP</t>
  </si>
  <si>
    <t>Custo Consumo de Energia Metalurgia - Pojuca R$/MWh</t>
  </si>
  <si>
    <t>Transmissão</t>
  </si>
  <si>
    <t xml:space="preserve">Conexão </t>
  </si>
  <si>
    <t>CDE</t>
  </si>
  <si>
    <t>PROINFA</t>
  </si>
  <si>
    <t>ML POJUCA - Consumo</t>
  </si>
  <si>
    <t>Custo Contratos ML POJUCA</t>
  </si>
  <si>
    <t>Custo Consumo de Energia Mineração - Andorinha R$/MWh</t>
  </si>
  <si>
    <t>Custo Consumo Mineração</t>
  </si>
  <si>
    <t>Encargos</t>
  </si>
  <si>
    <t>Custo Contratos ML Andorinha</t>
  </si>
  <si>
    <t>Custo Consumo Mercado SPOT - Metalurgia Pojuca R$/MWh</t>
  </si>
  <si>
    <t>Compra SPOT para consumo</t>
  </si>
  <si>
    <t>Venda SPOT</t>
  </si>
  <si>
    <t>ML - Mineração - Consumo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</si>
  <si>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</si>
  <si>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</si>
  <si>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</si>
  <si>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</si>
  <si>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</si>
  <si>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</si>
  <si>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</si>
  <si>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</si>
  <si>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</si>
  <si>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</si>
  <si>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</si>
  <si>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</si>
  <si>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Pojuca</t>
  </si>
  <si>
    <t>Produtividade MWh/h</t>
  </si>
  <si>
    <t>CHESF</t>
  </si>
  <si>
    <t>ML</t>
  </si>
  <si>
    <t>Volume MWh</t>
  </si>
  <si>
    <t>Produtividade MWh/h Ajustada</t>
  </si>
  <si>
    <t>ML - Consumo (AES, CPFL, PROINFA)</t>
  </si>
  <si>
    <t>ML - Mineração - Venda</t>
  </si>
  <si>
    <t>ML - POJUCA</t>
  </si>
  <si>
    <t>ML - Mineração</t>
  </si>
  <si>
    <t>Total - Metalurgia</t>
  </si>
  <si>
    <t>Ajuste- Retira Energia Auxiliar</t>
  </si>
  <si>
    <t>Mês</t>
  </si>
  <si>
    <t>Energia Fornos Fora Ponta
(717007)</t>
  </si>
  <si>
    <t>Energia Fornos Hora Ponta
(717008)</t>
  </si>
  <si>
    <t>Subtotal FORNOS</t>
  </si>
  <si>
    <t>Sinterização + Aux Fornos FP (Direto)</t>
  </si>
  <si>
    <t>Sinterização + Aux Fornos HP (Direto)</t>
  </si>
  <si>
    <t xml:space="preserve">Subtotal </t>
  </si>
  <si>
    <t>Auxiliar Fora Ponta
(Sem Sinterização e Forno)
(717003)</t>
  </si>
  <si>
    <t>Auxiliar Hora Ponta
(Sem Sinterização e Forno)
(717004)</t>
  </si>
  <si>
    <t>Subtotal Aux</t>
  </si>
  <si>
    <t>Medidor SMART1 FP</t>
  </si>
  <si>
    <t>Medidor SMART1 HP</t>
  </si>
  <si>
    <t>TOTAL Medidor SMART1</t>
  </si>
  <si>
    <t>Forno</t>
  </si>
  <si>
    <t>Auxiliar</t>
  </si>
  <si>
    <t>Média</t>
  </si>
  <si>
    <t>Ajuste Produtividade Andorinha</t>
  </si>
  <si>
    <t>Atual</t>
  </si>
  <si>
    <t>Capacidade</t>
  </si>
  <si>
    <t>Sobra</t>
  </si>
  <si>
    <t>Uso</t>
  </si>
  <si>
    <t>Ajustada</t>
  </si>
  <si>
    <t>Informação Wiclef</t>
  </si>
  <si>
    <t>Fator Participação</t>
  </si>
  <si>
    <t>Perdas</t>
  </si>
  <si>
    <t>Total</t>
  </si>
  <si>
    <t>Energia</t>
  </si>
  <si>
    <t>Contrato</t>
  </si>
  <si>
    <t>Horas</t>
  </si>
  <si>
    <t>Capacidade - MWh</t>
  </si>
  <si>
    <t>Consumo Histórico</t>
  </si>
  <si>
    <t>Consumo Histórico Ipueira</t>
  </si>
  <si>
    <t>Sobras</t>
  </si>
  <si>
    <t>Ajuste Energia (Mwmed)</t>
  </si>
  <si>
    <t>ESS</t>
  </si>
  <si>
    <t>EER</t>
  </si>
  <si>
    <t>1T-2024</t>
  </si>
  <si>
    <t>2T-2024</t>
  </si>
  <si>
    <t>3T-2024</t>
  </si>
  <si>
    <t>4T-2024</t>
  </si>
  <si>
    <t>1T</t>
  </si>
  <si>
    <t>2T</t>
  </si>
  <si>
    <t>3T</t>
  </si>
  <si>
    <t>4T</t>
  </si>
  <si>
    <t>CPFL</t>
  </si>
  <si>
    <t>AES</t>
  </si>
  <si>
    <t>SPOT</t>
  </si>
  <si>
    <t>PRIME</t>
  </si>
  <si>
    <t>Neoenergia</t>
  </si>
  <si>
    <t>Mineração</t>
  </si>
  <si>
    <t>Metalurgia</t>
  </si>
  <si>
    <t>Volume MWmed</t>
  </si>
  <si>
    <t>Preço R$/MWh</t>
  </si>
  <si>
    <t>Preço Médio R$/MWh</t>
  </si>
  <si>
    <t>Mineração - IPUEIRA</t>
  </si>
  <si>
    <t>Mineração - Pedrinhas e Coitez.</t>
  </si>
  <si>
    <t>Metalurgia-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</si>
</sst>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0"/>
      <name val="Arial"/>
      <family val="2"/>
    </font>
    <font>
      <sz val="11"/>
      <color rgb="FF000000"/>
      <name val="Calibri"/>
      <family val="2"/>
    </font>
    <font>
      <b/>
      <i/>
      <sz val="10"/>
      <color rgb="FFFF0000"/>
      <name val="Arial"/>
      <family val="2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0" tint="-0.249977111117893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1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1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0" fillId="7" borderId="1" applyNumberFormat="0" applyAlignment="0" applyProtection="0"/>
    <xf numFmtId="0" fontId="9" fillId="0" borderId="3" applyNumberFormat="0" applyFill="0" applyAlignment="0" applyProtection="0"/>
    <xf numFmtId="0" fontId="12" fillId="22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4" fillId="23" borderId="7" applyNumberFormat="0" applyFont="0" applyAlignment="0" applyProtection="0"/>
    <xf numFmtId="0" fontId="13" fillId="20" borderId="8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0"/>
    <xf numFmtId="164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43" fontId="34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1" applyBorder="1"/>
    <xf numFmtId="0" fontId="1" fillId="0" borderId="0" xfId="1" applyBorder="1" applyAlignment="1">
      <alignment horizontal="center"/>
    </xf>
    <xf numFmtId="0" fontId="1" fillId="0" borderId="11" xfId="1" applyBorder="1"/>
    <xf numFmtId="2" fontId="1" fillId="0" borderId="11" xfId="1" applyNumberFormat="1" applyBorder="1"/>
    <xf numFmtId="4" fontId="1" fillId="0" borderId="11" xfId="1" applyNumberFormat="1" applyBorder="1"/>
    <xf numFmtId="0" fontId="1" fillId="0" borderId="11" xfId="1" applyBorder="1" applyAlignment="1">
      <alignment horizontal="center"/>
    </xf>
    <xf numFmtId="0" fontId="1" fillId="0" borderId="11" xfId="1" applyFont="1" applyBorder="1"/>
    <xf numFmtId="0" fontId="1" fillId="0" borderId="11" xfId="1" applyFill="1" applyBorder="1"/>
    <xf numFmtId="0" fontId="1" fillId="27" borderId="11" xfId="1" applyFill="1" applyBorder="1"/>
    <xf numFmtId="2" fontId="22" fillId="27" borderId="11" xfId="1" applyNumberFormat="1" applyFont="1" applyFill="1" applyBorder="1"/>
    <xf numFmtId="0" fontId="20" fillId="27" borderId="11" xfId="1" applyFont="1" applyFill="1" applyBorder="1"/>
    <xf numFmtId="0" fontId="1" fillId="26" borderId="11" xfId="1" applyFont="1" applyFill="1" applyBorder="1"/>
    <xf numFmtId="0" fontId="2" fillId="24" borderId="11" xfId="1" applyFont="1" applyFill="1" applyBorder="1"/>
    <xf numFmtId="0" fontId="2" fillId="24" borderId="11" xfId="1" applyFont="1" applyFill="1" applyBorder="1" applyAlignment="1">
      <alignment horizontal="center"/>
    </xf>
    <xf numFmtId="0" fontId="1" fillId="25" borderId="11" xfId="1" applyFill="1" applyBorder="1" applyAlignment="1">
      <alignment horizontal="center"/>
    </xf>
    <xf numFmtId="0" fontId="0" fillId="0" borderId="0" xfId="0" applyAlignment="1">
      <alignment horizontal="center"/>
    </xf>
    <xf numFmtId="2" fontId="1" fillId="0" borderId="11" xfId="39" applyNumberFormat="1" applyBorder="1" applyAlignment="1">
      <alignment horizontal="center"/>
    </xf>
    <xf numFmtId="164" fontId="1" fillId="0" borderId="11" xfId="48" applyFont="1" applyBorder="1" applyAlignment="1">
      <alignment horizontal="center"/>
    </xf>
    <xf numFmtId="0" fontId="22" fillId="24" borderId="11" xfId="39" applyFont="1" applyFill="1" applyBorder="1"/>
    <xf numFmtId="43" fontId="25" fillId="24" borderId="11" xfId="0" applyNumberFormat="1" applyFont="1" applyFill="1" applyBorder="1" applyAlignment="1">
      <alignment horizontal="center"/>
    </xf>
    <xf numFmtId="0" fontId="1" fillId="0" borderId="0" xfId="39"/>
    <xf numFmtId="0" fontId="1" fillId="0" borderId="11" xfId="39" applyBorder="1"/>
    <xf numFmtId="0" fontId="23" fillId="27" borderId="11" xfId="39" applyFont="1" applyFill="1" applyBorder="1" applyAlignment="1">
      <alignment horizontal="center" vertical="center"/>
    </xf>
    <xf numFmtId="0" fontId="23" fillId="27" borderId="11" xfId="39" applyFont="1" applyFill="1" applyBorder="1" applyAlignment="1">
      <alignment horizontal="center"/>
    </xf>
    <xf numFmtId="0" fontId="1" fillId="0" borderId="0" xfId="39" applyAlignment="1">
      <alignment vertical="center"/>
    </xf>
    <xf numFmtId="43" fontId="1" fillId="0" borderId="11" xfId="39" applyNumberFormat="1" applyBorder="1"/>
    <xf numFmtId="0" fontId="23" fillId="24" borderId="11" xfId="39" applyFont="1" applyFill="1" applyBorder="1"/>
    <xf numFmtId="43" fontId="25" fillId="24" borderId="11" xfId="39" applyNumberFormat="1" applyFont="1" applyFill="1" applyBorder="1" applyAlignment="1">
      <alignment horizontal="center"/>
    </xf>
    <xf numFmtId="0" fontId="1" fillId="0" borderId="11" xfId="39" applyBorder="1"/>
    <xf numFmtId="0" fontId="1" fillId="0" borderId="11" xfId="39" applyBorder="1" applyAlignment="1">
      <alignment horizontal="center"/>
    </xf>
    <xf numFmtId="0" fontId="1" fillId="0" borderId="0" xfId="39" applyAlignment="1">
      <alignment horizontal="center"/>
    </xf>
    <xf numFmtId="0" fontId="28" fillId="0" borderId="0" xfId="51"/>
    <xf numFmtId="0" fontId="29" fillId="28" borderId="11" xfId="51" applyFont="1" applyFill="1" applyBorder="1" applyAlignment="1">
      <alignment horizontal="center" vertical="center" wrapText="1"/>
    </xf>
    <xf numFmtId="0" fontId="30" fillId="28" borderId="11" xfId="51" applyFont="1" applyFill="1" applyBorder="1" applyAlignment="1">
      <alignment horizontal="center" vertical="center" wrapText="1"/>
    </xf>
    <xf numFmtId="0" fontId="30" fillId="28" borderId="0" xfId="51" applyFont="1" applyFill="1" applyBorder="1" applyAlignment="1">
      <alignment horizontal="center" vertical="center" wrapText="1"/>
    </xf>
    <xf numFmtId="17" fontId="28" fillId="0" borderId="11" xfId="51" applyNumberFormat="1" applyBorder="1" applyAlignment="1">
      <alignment horizontal="center"/>
    </xf>
    <xf numFmtId="4" fontId="28" fillId="0" borderId="11" xfId="51" applyNumberFormat="1" applyBorder="1" applyAlignment="1">
      <alignment horizontal="center"/>
    </xf>
    <xf numFmtId="4" fontId="28" fillId="0" borderId="11" xfId="51" applyNumberFormat="1" applyBorder="1" applyAlignment="1">
      <alignment horizontal="center" vertical="center"/>
    </xf>
    <xf numFmtId="4" fontId="0" fillId="0" borderId="11" xfId="52" applyNumberFormat="1" applyFont="1" applyBorder="1" applyAlignment="1">
      <alignment horizontal="center"/>
    </xf>
    <xf numFmtId="10" fontId="0" fillId="0" borderId="11" xfId="53" applyNumberFormat="1" applyFont="1" applyBorder="1" applyAlignment="1">
      <alignment horizontal="center"/>
    </xf>
    <xf numFmtId="17" fontId="28" fillId="0" borderId="13" xfId="51" applyNumberFormat="1" applyFill="1" applyBorder="1" applyAlignment="1">
      <alignment horizontal="center"/>
    </xf>
    <xf numFmtId="10" fontId="31" fillId="29" borderId="0" xfId="51" applyNumberFormat="1" applyFont="1" applyFill="1"/>
    <xf numFmtId="164" fontId="31" fillId="29" borderId="0" xfId="52" applyFont="1" applyFill="1"/>
    <xf numFmtId="10" fontId="32" fillId="24" borderId="0" xfId="53" applyNumberFormat="1" applyFont="1" applyFill="1" applyAlignment="1">
      <alignment horizontal="center"/>
    </xf>
    <xf numFmtId="0" fontId="26" fillId="0" borderId="0" xfId="51" applyFont="1"/>
    <xf numFmtId="165" fontId="0" fillId="0" borderId="0" xfId="52" applyNumberFormat="1" applyFont="1"/>
    <xf numFmtId="164" fontId="0" fillId="0" borderId="0" xfId="52" applyFont="1"/>
    <xf numFmtId="3" fontId="28" fillId="0" borderId="0" xfId="51" applyNumberFormat="1"/>
    <xf numFmtId="43" fontId="28" fillId="0" borderId="0" xfId="51" applyNumberFormat="1"/>
    <xf numFmtId="0" fontId="28" fillId="0" borderId="0" xfId="51" applyAlignment="1">
      <alignment horizontal="center"/>
    </xf>
    <xf numFmtId="0" fontId="28" fillId="0" borderId="0" xfId="51" applyFill="1"/>
    <xf numFmtId="4" fontId="28" fillId="0" borderId="0" xfId="51" applyNumberFormat="1" applyFill="1" applyAlignment="1">
      <alignment horizontal="center"/>
    </xf>
    <xf numFmtId="4" fontId="28" fillId="0" borderId="0" xfId="51" applyNumberFormat="1" applyFill="1" applyBorder="1" applyAlignment="1">
      <alignment horizontal="center"/>
    </xf>
    <xf numFmtId="4" fontId="0" fillId="0" borderId="0" xfId="52" applyNumberFormat="1" applyFont="1" applyFill="1" applyBorder="1" applyAlignment="1">
      <alignment horizontal="center"/>
    </xf>
    <xf numFmtId="17" fontId="28" fillId="0" borderId="11" xfId="51" applyNumberFormat="1" applyFill="1" applyBorder="1" applyAlignment="1">
      <alignment horizontal="center"/>
    </xf>
    <xf numFmtId="4" fontId="28" fillId="0" borderId="11" xfId="51" applyNumberFormat="1" applyFill="1" applyBorder="1" applyAlignment="1">
      <alignment horizontal="center"/>
    </xf>
    <xf numFmtId="4" fontId="28" fillId="0" borderId="11" xfId="51" applyNumberFormat="1" applyFill="1" applyBorder="1" applyAlignment="1">
      <alignment horizontal="center" vertical="center"/>
    </xf>
    <xf numFmtId="4" fontId="0" fillId="0" borderId="11" xfId="52" applyNumberFormat="1" applyFont="1" applyFill="1" applyBorder="1" applyAlignment="1">
      <alignment horizontal="center"/>
    </xf>
    <xf numFmtId="0" fontId="28" fillId="0" borderId="0" xfId="51" applyAlignment="1">
      <alignment vertical="center"/>
    </xf>
    <xf numFmtId="0" fontId="24" fillId="27" borderId="11" xfId="39" applyFont="1" applyFill="1" applyBorder="1" applyAlignment="1">
      <alignment vertical="center" wrapText="1"/>
    </xf>
    <xf numFmtId="10" fontId="0" fillId="0" borderId="11" xfId="0" applyNumberFormat="1" applyBorder="1"/>
    <xf numFmtId="0" fontId="24" fillId="0" borderId="0" xfId="39" applyFont="1" applyFill="1" applyBorder="1" applyAlignment="1">
      <alignment vertical="center" wrapText="1"/>
    </xf>
    <xf numFmtId="43" fontId="1" fillId="0" borderId="0" xfId="39" applyNumberFormat="1" applyBorder="1"/>
    <xf numFmtId="9" fontId="33" fillId="27" borderId="11" xfId="39" applyNumberFormat="1" applyFont="1" applyFill="1" applyBorder="1" applyAlignment="1">
      <alignment horizontal="center" vertical="center" wrapText="1"/>
    </xf>
    <xf numFmtId="43" fontId="0" fillId="0" borderId="11" xfId="0" applyNumberFormat="1" applyBorder="1"/>
    <xf numFmtId="43" fontId="1" fillId="0" borderId="11" xfId="1" applyNumberFormat="1" applyBorder="1" applyAlignment="1">
      <alignment horizontal="center"/>
    </xf>
    <xf numFmtId="2" fontId="1" fillId="0" borderId="11" xfId="1" applyNumberFormat="1" applyBorder="1" applyAlignment="1">
      <alignment horizontal="center"/>
    </xf>
    <xf numFmtId="164" fontId="0" fillId="0" borderId="0" xfId="52" applyFont="1" applyAlignment="1">
      <alignment horizontal="center"/>
    </xf>
    <xf numFmtId="43" fontId="28" fillId="0" borderId="0" xfId="51" applyNumberFormat="1" applyAlignment="1">
      <alignment horizontal="center"/>
    </xf>
    <xf numFmtId="17" fontId="0" fillId="0" borderId="0" xfId="0" applyNumberFormat="1" applyAlignment="1">
      <alignment horizontal="center"/>
    </xf>
    <xf numFmtId="0" fontId="27" fillId="24" borderId="0" xfId="0" applyFont="1" applyFill="1" applyAlignment="1">
      <alignment horizontal="center"/>
    </xf>
    <xf numFmtId="0" fontId="22" fillId="24" borderId="0" xfId="51" applyFont="1" applyFill="1" applyAlignment="1">
      <alignment horizontal="center"/>
    </xf>
    <xf numFmtId="2" fontId="25" fillId="24" borderId="0" xfId="0" applyNumberFormat="1" applyFont="1" applyFill="1" applyAlignment="1">
      <alignment horizontal="center"/>
    </xf>
    <xf numFmtId="0" fontId="1" fillId="26" borderId="0" xfId="51" applyFont="1" applyFill="1" applyAlignment="1">
      <alignment horizontal="center"/>
    </xf>
    <xf numFmtId="0" fontId="0" fillId="26" borderId="0" xfId="0" applyFill="1" applyAlignment="1">
      <alignment horizontal="center"/>
    </xf>
    <xf numFmtId="2" fontId="0" fillId="26" borderId="0" xfId="0" applyNumberFormat="1" applyFill="1" applyAlignment="1">
      <alignment horizontal="center"/>
    </xf>
    <xf numFmtId="0" fontId="0" fillId="0" borderId="11" xfId="0" applyBorder="1"/>
    <xf numFmtId="2" fontId="0" fillId="0" borderId="11" xfId="0" applyNumberFormat="1" applyBorder="1"/>
    <xf numFmtId="43" fontId="0" fillId="0" borderId="0" xfId="0" applyNumberFormat="1" applyAlignment="1"/>
    <xf numFmtId="2" fontId="1" fillId="30" borderId="11" xfId="1" applyNumberFormat="1" applyFill="1" applyBorder="1" applyAlignment="1">
      <alignment horizontal="center"/>
    </xf>
    <xf numFmtId="43" fontId="1" fillId="30" borderId="11" xfId="1" applyNumberFormat="1" applyFill="1" applyBorder="1" applyAlignment="1">
      <alignment horizontal="center"/>
    </xf>
    <xf numFmtId="0" fontId="1" fillId="30" borderId="11" xfId="1" applyFill="1" applyBorder="1" applyAlignment="1">
      <alignment horizontal="center"/>
    </xf>
    <xf numFmtId="0" fontId="0" fillId="30" borderId="11" xfId="0" applyFill="1" applyBorder="1"/>
    <xf numFmtId="2" fontId="1" fillId="30" borderId="11" xfId="1" applyNumberFormat="1" applyFill="1" applyBorder="1"/>
    <xf numFmtId="2" fontId="0" fillId="30" borderId="11" xfId="0" applyNumberFormat="1" applyFill="1" applyBorder="1"/>
    <xf numFmtId="4" fontId="1" fillId="30" borderId="11" xfId="1" applyNumberFormat="1" applyFill="1" applyBorder="1"/>
    <xf numFmtId="0" fontId="0" fillId="0" borderId="11" xfId="0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43" fontId="0" fillId="0" borderId="11" xfId="54" applyFont="1" applyBorder="1" applyAlignment="1">
      <alignment horizontal="center" vertical="center"/>
    </xf>
    <xf numFmtId="2" fontId="0" fillId="0" borderId="11" xfId="54" applyNumberFormat="1" applyFont="1" applyBorder="1" applyAlignment="1">
      <alignment horizontal="center" vertical="center"/>
    </xf>
    <xf numFmtId="0" fontId="23" fillId="27" borderId="11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9" fontId="0" fillId="0" borderId="0" xfId="0" applyNumberFormat="1"/>
    <xf numFmtId="0" fontId="20" fillId="24" borderId="12" xfId="1" applyFont="1" applyFill="1" applyBorder="1" applyAlignment="1">
      <alignment horizontal="center" vertical="center"/>
    </xf>
    <xf numFmtId="0" fontId="20" fillId="24" borderId="9" xfId="1" applyFont="1" applyFill="1" applyBorder="1" applyAlignment="1">
      <alignment horizontal="center" vertical="center"/>
    </xf>
    <xf numFmtId="0" fontId="20" fillId="24" borderId="11" xfId="1" applyFont="1" applyFill="1" applyBorder="1" applyAlignment="1">
      <alignment horizontal="center" vertical="center"/>
    </xf>
    <xf numFmtId="0" fontId="20" fillId="24" borderId="10" xfId="1" applyFont="1" applyFill="1" applyBorder="1" applyAlignment="1">
      <alignment horizontal="center" vertical="center"/>
    </xf>
    <xf numFmtId="0" fontId="20" fillId="24" borderId="0" xfId="1" applyFont="1" applyFill="1" applyBorder="1" applyAlignment="1">
      <alignment horizontal="center" vertical="center"/>
    </xf>
    <xf numFmtId="0" fontId="24" fillId="27" borderId="11" xfId="39" applyFont="1" applyFill="1" applyBorder="1" applyAlignment="1">
      <alignment horizontal="center" vertical="center" wrapText="1"/>
    </xf>
    <xf numFmtId="0" fontId="28" fillId="0" borderId="9" xfId="51" applyBorder="1" applyAlignment="1">
      <alignment horizontal="center"/>
    </xf>
    <xf numFmtId="0" fontId="27" fillId="24" borderId="0" xfId="51" applyFont="1" applyFill="1" applyAlignment="1">
      <alignment horizontal="center"/>
    </xf>
    <xf numFmtId="0" fontId="0" fillId="0" borderId="11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27" borderId="11" xfId="0" applyFont="1" applyFill="1" applyBorder="1" applyAlignment="1">
      <alignment horizontal="center"/>
    </xf>
    <xf numFmtId="0" fontId="23" fillId="0" borderId="11" xfId="0" applyFont="1" applyBorder="1" applyAlignment="1">
      <alignment horizontal="center" vertical="center"/>
    </xf>
    <xf numFmtId="2" fontId="1" fillId="0" borderId="13" xfId="1" applyNumberFormat="1" applyFill="1" applyBorder="1"/>
  </cellXfs>
  <cellStyles count="55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Hiperlink 2" xfId="35"/>
    <cellStyle name="Input" xfId="36"/>
    <cellStyle name="Linked Cell" xfId="37"/>
    <cellStyle name="Neutral" xfId="38"/>
    <cellStyle name="Normal" xfId="0" builtinId="0"/>
    <cellStyle name="Normal 2" xfId="39"/>
    <cellStyle name="Normal 3" xfId="40"/>
    <cellStyle name="Normal 4" xfId="41"/>
    <cellStyle name="Normal 5" xfId="1"/>
    <cellStyle name="Normal 6" xfId="51"/>
    <cellStyle name="Note" xfId="42"/>
    <cellStyle name="Output" xfId="43"/>
    <cellStyle name="Porcentagem 2" xfId="45"/>
    <cellStyle name="Porcentagem 3" xfId="44"/>
    <cellStyle name="Porcentagem 4" xfId="53"/>
    <cellStyle name="Title" xfId="46"/>
    <cellStyle name="Vírgula" xfId="54" builtinId="3"/>
    <cellStyle name="Vírgula 2" xfId="48"/>
    <cellStyle name="Vírgula 3" xfId="49"/>
    <cellStyle name="Vírgula 4" xfId="47"/>
    <cellStyle name="Vírgula 5" xfId="52"/>
    <cellStyle name="Warning Text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63" Type="http://schemas.openxmlformats.org/officeDocument/2006/relationships/externalLink" Target="externalLinks/externalLink57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61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4%20-Planilhas%20-%20Or&#231;amento/Or&#231;amento%202024%20-%20Em%20elabora&#231;&#227;o/Metalurgia%2023/Or&#231;amento%202024%20-%20Premissas%20Energia%2020.06.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1-%20Modelo%20Consumo%20Di&#225;rio%20Energia%20Auxiliar-Rev%2004%20-%20F&#225;bricas%20separada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2-%20Modelo%20Consumo%20Di&#225;rio%20Energia%20Auxiliar-Rev%2004%20-%20F&#225;bricas%20separada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3-%20Modelo%20Consumo%20Di&#225;rio%20Energia%20Auxiliar-Rev%2004%20-%20F&#225;bricas%20separada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4-%20Modelo%20Consumo%20Di&#225;rio%20Energia%20Auxiliar-Rev%2004%20-%20F&#225;bricas%20separada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5-%20Modelo%20Consumo%20Di&#225;rio%20Energia%20Auxiliar-Rev%2004%20-%20F&#225;bricas%20separadas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6-%20Modelo%20Consumo%20Di&#225;rio%20Energia%20Auxiliar-Rev%2004%20-%20F&#225;bricas%20separadas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7-%20Modelo%20Consumo%20Di&#225;rio%20Energia%20Auxiliar-Rev%2004%20-%20F&#225;bricas%20separadas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8-%20Modelo%20Consumo%20Di&#225;rio%20Energia%20Auxiliar-Rev%2005%20-%20F&#225;bricas%20separadas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09-%20Modelo%20Consumo%20Di&#225;rio%20Energia%20Auxiliar-Rev%2006%20-%20F&#225;bricas%20separada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10-%20Modelo%20Consumo%20Di&#225;rio%20Energia%20Auxiliar-Rev%2007%20-%20Fornos%204%20e%207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11-%20Modelo%20Consumo%20Di&#225;rio%20Energia%20Auxiliar-Rev%2008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19-12-%20Modelo%20Consumo%20Di&#225;rio%20Energia%20Auxiliar-Rev%2008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1-%20Modelo%20Consumo%20Di&#225;rio%20Energia%20Auxiliar-Rev%2008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2-%20Modelo%20Consumo%20Di&#225;rio%20Energia%20Auxiliar-Rev%200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3-%20Modelo%20Consumo%20Di&#225;rio%20Energia%20Auxiliar-Rev%2009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4-%20Modelo%20Consumo%20Di&#225;rio%20Energia%20Auxiliar-Rev%2009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5-%20Modelo%20Consumo%20Di&#225;rio%20Energia%20Auxiliar-Rev%2009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6-%20Modelo%20Consumo%20Di&#225;rio%20Energia%20Auxiliar-Rev%2009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7-%20Modelo%20Consumo%20Di&#225;rio%20Energia%20Auxiliar-Rev%2009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red/AppData/Local/Microsoft/Windows/INetCache/Content.Outlook/O6E7IAIT/Consumo/2020/2020-08-%20Modelo%20Consumo%20Di&#225;rio%20Energia%20Auxiliar-Rev%2009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1/2021-11-%20Modelo%20Consumo%20Di&#225;rio%20Energia%20Auxiliar-Rev%2009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1/2021-12-%20Modelo%20Consumo%20Di&#225;rio%20Energia%20Auxiliar-Rev%2009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1-%20Modelo%20Consumo%20Di&#225;rio%20Energia%20Auxiliar-Rev%2009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2-%20Modelo%20Consumo%20Di&#225;rio%20Energia%20Auxiliar-Rev%2009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3-%20Modelo%20Consumo%20Di&#225;rio%20Energia%20Auxiliar-Rev%2009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4-%20Modelo%20Consumo%20Di&#225;rio%20Energia%20Auxiliar-Rev%2009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5-%20Modelo%20Consumo%20Di&#225;rio%20Energia%20Auxiliar-Rev%2009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6-%20Modelo%20Consumo%20Di&#225;rio%20Energia%20Auxiliar-Rev%2009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7-%20Modelo%20Consumo%20Di&#225;rio%20Energia%20Auxiliar-Rev%2009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8-%20Modelo%20Consumo%20Di&#225;rio%20Energia%20Auxiliar-Rev%2009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09-%20Modelo%20Consumo%20Di&#225;rio%20Energia%20Auxiliar-Rev%2009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10-%20Modelo%20Consumo%20Di&#225;rio%20Energia%20Auxiliar-Rev%2009.xlsm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11-%20Modelo%20Consumo%20Di&#225;rio%20Energia%20Auxiliar-Rev%2010.xls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2/2022-12-%20Modelo%20Consumo%20Di&#225;rio%20Energia%20Auxiliar-Rev%2010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1-%20Modelo%20Consumo%20Di&#225;rio%20Energia%20Auxiliar-Rev%2010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2-%20Modelo%20Consumo%20Di&#225;rio%20Energia%20Auxiliar-Rev%2010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3-%20Modelo%20Consumo%20Di&#225;rio%20Energia%20Auxiliar-Rev%2010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4-%20Modelo%20Consumo%20Di&#225;rio%20Energia%20Auxiliar-Rev%2010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3-Rateio%20Energia%20-%20Manufatura/2023/2023-05-%20Modelo%20Consumo%20Di&#225;rio%20Energia%20Auxiliar-Rev%2010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1%20-%20Janeiro/2022-01-Painel%20de%20Energia%20REV%2004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2%20-%20Fevereiro/2022-02-Painel%20de%20Energia%20REV%2004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3%20-%20Mar&#231;o/2022-03-Painel%20de%20Energia%20REV%2004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4%20-%20Abril/2022-04-Painel%20de%20Energia%20REV%2004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5%20-%20Maio/2022-05-Painel%20de%20Energia%20REV%2004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6%20-%20Junho/2022-06-Painel%20de%20Energia%20REV%2004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7%20-%20Julho/2022-07-Painel%20de%20Energia%20REV%2004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8%20-%20Agosto/2022-08-Painel%20de%20Energia%20REV%2004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9%20-%20Setembro/2022-09-Painel%20de%20Energia%20REV%2004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09%20-%20Outubro/2022-10-Painel%20de%20Energia%20REV%2004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11%20-%20Novembro/2022-11-Painel%20de%20Energia%20REV%2004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2/12%20-%20Dezembro/2022-12-Painel%20de%20Energia%20REV%200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3/01%20-%20Janeiro/2023-01-Painel%20de%20Energia%20REV%2004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3/02%20-%20Fevereiro/2023-02-Painel%20de%20Energia%20REV%2004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3/03%20-%20Mar&#231;o/2023-03-Painel%20de%20Energia%20REV%2004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3/04%20-%20Abril/2023-04-Painel%20de%20Energia%20REV%2004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Pastas%20Compartilhadas/Diretoria%20Novos%20Negocios/Gerencia%20de%20Gestao%20de%20Energia/01-%20INFORMA&#199;&#213;ES%20DIRETORIA%20FINANCEIRA/2023/05%20-%20Maio/2023-05-Painel%20de%20Energia%20REV%20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.P. e D.N.N."/>
      <sheetName val="Premissas"/>
      <sheetName val="Memória de Cálculo"/>
      <sheetName val="CONEXÃO -Ciclo-24"/>
      <sheetName val="TRANSMISSÃO -Ciclo-24 "/>
      <sheetName val="Preços Negociados na BBCE"/>
      <sheetName val="Reajuste Energia"/>
      <sheetName val="TUSD e Encargos Mineração"/>
      <sheetName val="Preços Liquidação CCEE"/>
      <sheetName val="Encargos - Metalurgia"/>
      <sheetName val="PPA 2023 Orç. REV 2022-12-28"/>
      <sheetName val="Controle de Revisão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C6">
            <v>221.27210937216</v>
          </cell>
        </row>
        <row r="7">
          <cell r="C7">
            <v>200.8044392552352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128045.29799999998</v>
          </cell>
          <cell r="D42">
            <v>1038.452</v>
          </cell>
          <cell r="DS42">
            <v>138945.55600000004</v>
          </cell>
          <cell r="DT42">
            <v>1541.3119999999999</v>
          </cell>
          <cell r="DX42">
            <v>6649.0374366639408</v>
          </cell>
          <cell r="DY42">
            <v>163.88884666666667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117316.54099999998</v>
          </cell>
          <cell r="D42">
            <v>1002.2690000000001</v>
          </cell>
          <cell r="DS42">
            <v>127456.658</v>
          </cell>
          <cell r="DT42">
            <v>1454.2159999999999</v>
          </cell>
          <cell r="DX42">
            <v>5975.6210633333312</v>
          </cell>
          <cell r="DY42">
            <v>211.75563333333335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130503.71</v>
          </cell>
          <cell r="D42">
            <v>955.99000000000012</v>
          </cell>
          <cell r="DS42">
            <v>142016.05700000003</v>
          </cell>
          <cell r="DT42">
            <v>1429.5930000000001</v>
          </cell>
          <cell r="DX42">
            <v>6735.3500514285697</v>
          </cell>
          <cell r="DY42">
            <v>269.45560000000006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126449.82799999999</v>
          </cell>
          <cell r="D42">
            <v>1016.962</v>
          </cell>
          <cell r="DS42">
            <v>137949.52100000004</v>
          </cell>
          <cell r="DT42">
            <v>1536.5969999999998</v>
          </cell>
          <cell r="DX42">
            <v>6441.9155949353844</v>
          </cell>
          <cell r="DY42">
            <v>265.04825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128349.50500000002</v>
          </cell>
          <cell r="D42">
            <v>1006.995</v>
          </cell>
          <cell r="DS42">
            <v>139254.41600000003</v>
          </cell>
          <cell r="DT42">
            <v>1497.797</v>
          </cell>
          <cell r="DX42">
            <v>5845.8614672727263</v>
          </cell>
          <cell r="DY42">
            <v>249.47073636363635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102197.69099999998</v>
          </cell>
          <cell r="D42">
            <v>902.18899999999996</v>
          </cell>
          <cell r="DS42">
            <v>112515.73499999999</v>
          </cell>
          <cell r="DT42">
            <v>1381.7209999999998</v>
          </cell>
          <cell r="DX42">
            <v>6155.3413363636337</v>
          </cell>
          <cell r="DY42">
            <v>241.31429090909091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91509.01999999999</v>
          </cell>
          <cell r="D42">
            <v>1139.96</v>
          </cell>
          <cell r="DS42">
            <v>101251.01700000001</v>
          </cell>
          <cell r="DT42">
            <v>1716.47</v>
          </cell>
          <cell r="DX42">
            <v>5707.7444272727271</v>
          </cell>
          <cell r="DY42">
            <v>281.91483636363631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91402.032000000007</v>
          </cell>
          <cell r="D42">
            <v>1125.498</v>
          </cell>
          <cell r="DS42">
            <v>100996.45800000001</v>
          </cell>
          <cell r="DT42">
            <v>1656.41</v>
          </cell>
          <cell r="DX42">
            <v>5616.7725999999993</v>
          </cell>
          <cell r="DY42">
            <v>267.54639999999995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88616.603999999992</v>
          </cell>
          <cell r="D42">
            <v>1006.6459999999998</v>
          </cell>
          <cell r="DS42">
            <v>97945.887999999977</v>
          </cell>
          <cell r="DT42">
            <v>1505.4270000000001</v>
          </cell>
          <cell r="DX42">
            <v>5364.5346000000009</v>
          </cell>
          <cell r="DY42">
            <v>238.19080000000002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92023.941999999995</v>
          </cell>
          <cell r="D42">
            <v>1226.1680000000001</v>
          </cell>
          <cell r="DO42">
            <v>100968.36699999998</v>
          </cell>
          <cell r="DP42">
            <v>1713.3510000000001</v>
          </cell>
          <cell r="DT42">
            <v>5718.3920999999991</v>
          </cell>
          <cell r="DU42">
            <v>287.73399999999998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94358.725000000006</v>
          </cell>
          <cell r="D42">
            <v>1006.117</v>
          </cell>
          <cell r="DO42">
            <v>103452.049</v>
          </cell>
          <cell r="DP42">
            <v>1454.096</v>
          </cell>
          <cell r="DT42">
            <v>5397.6219999999985</v>
          </cell>
          <cell r="DU42">
            <v>243.5204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125856.379</v>
          </cell>
          <cell r="D42">
            <v>948.05000000000007</v>
          </cell>
          <cell r="DO42">
            <v>137404.31500000003</v>
          </cell>
          <cell r="DP42">
            <v>1550.2439999999997</v>
          </cell>
          <cell r="DT42">
            <v>6743.4746999999998</v>
          </cell>
          <cell r="DU42">
            <v>295.42460000000005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126534.02600000001</v>
          </cell>
          <cell r="D42">
            <v>1003.6680000000003</v>
          </cell>
          <cell r="DO42">
            <v>138415.39599999998</v>
          </cell>
          <cell r="DP42">
            <v>1592.085</v>
          </cell>
          <cell r="DT42">
            <v>6989.1944000000003</v>
          </cell>
          <cell r="DU42">
            <v>293.54559999999998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124104.38399999999</v>
          </cell>
          <cell r="D42">
            <v>891.38</v>
          </cell>
          <cell r="DN42">
            <v>135270.22600000002</v>
          </cell>
          <cell r="DO42">
            <v>1400.69</v>
          </cell>
          <cell r="DS42">
            <v>6540.3073999999979</v>
          </cell>
          <cell r="DT42">
            <v>261.8614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129409.28700000001</v>
          </cell>
          <cell r="D42">
            <v>1008.7499999999999</v>
          </cell>
          <cell r="ED42">
            <v>141149.11899999998</v>
          </cell>
          <cell r="EE42">
            <v>1618.377</v>
          </cell>
          <cell r="EI42">
            <v>6895.1214429616721</v>
          </cell>
          <cell r="EJ42">
            <v>306.28345741225763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ED42">
            <v>143598.86800000002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137360.64299999998</v>
          </cell>
          <cell r="D42">
            <v>950.99399999999991</v>
          </cell>
          <cell r="ED42">
            <v>149114.30800000005</v>
          </cell>
          <cell r="EE42">
            <v>1502.9470000000001</v>
          </cell>
          <cell r="EI42">
            <v>6856.1425784766252</v>
          </cell>
          <cell r="EJ42">
            <v>290.46926552191275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132342.079</v>
          </cell>
          <cell r="D42">
            <v>961.61500000000012</v>
          </cell>
          <cell r="ED42">
            <v>143803.76400000002</v>
          </cell>
          <cell r="EE42">
            <v>1568.221</v>
          </cell>
          <cell r="EI42">
            <v>6473.553217097824</v>
          </cell>
          <cell r="EJ42">
            <v>297.53503586863343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136582.7274</v>
          </cell>
          <cell r="D42">
            <v>1046.4178999999999</v>
          </cell>
          <cell r="ED42">
            <v>148256.39799999999</v>
          </cell>
          <cell r="EE42">
            <v>1712.3820000000001</v>
          </cell>
          <cell r="EI42">
            <v>6750.2004259259211</v>
          </cell>
          <cell r="EJ42">
            <v>350.8609294186528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 refreshError="1">
        <row r="42">
          <cell r="C42">
            <v>139258.68</v>
          </cell>
          <cell r="D42">
            <v>1017.0250000000001</v>
          </cell>
          <cell r="ED42">
            <v>151242.74099999998</v>
          </cell>
          <cell r="EE42">
            <v>1583.3529999999998</v>
          </cell>
          <cell r="EI42">
            <v>7040.4301035900999</v>
          </cell>
          <cell r="EJ42">
            <v>281.94409793351139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136942.60150000002</v>
          </cell>
          <cell r="D42">
            <v>864.08480000000009</v>
          </cell>
          <cell r="ED42">
            <v>148701.152</v>
          </cell>
          <cell r="EE42">
            <v>1433.2640000000001</v>
          </cell>
          <cell r="EI42">
            <v>6599.6262642611318</v>
          </cell>
          <cell r="EJ42">
            <v>292.5249840736563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140433.2182</v>
          </cell>
          <cell r="D42">
            <v>1027.0577000000001</v>
          </cell>
          <cell r="ED42">
            <v>152729.18700000001</v>
          </cell>
          <cell r="EE42">
            <v>1674.2629999999999</v>
          </cell>
          <cell r="EI42">
            <v>7027.6148422087626</v>
          </cell>
          <cell r="EJ42">
            <v>352.98321222437534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137269.27850000001</v>
          </cell>
          <cell r="D42">
            <v>933.58320000000003</v>
          </cell>
          <cell r="ED42">
            <v>149672.59700000001</v>
          </cell>
          <cell r="EE42">
            <v>1565.2279999999998</v>
          </cell>
          <cell r="EI42">
            <v>7160.4829729872181</v>
          </cell>
          <cell r="EJ42">
            <v>344.0924795147215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127696.4636</v>
          </cell>
          <cell r="D42">
            <v>847.31359999999984</v>
          </cell>
          <cell r="ED42">
            <v>138707.62100000001</v>
          </cell>
          <cell r="EE42">
            <v>1493.539</v>
          </cell>
          <cell r="EI42">
            <v>6280.5941078158958</v>
          </cell>
          <cell r="EJ42">
            <v>365.58286928221429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138476.42520000003</v>
          </cell>
          <cell r="D42">
            <v>984.51330000000007</v>
          </cell>
          <cell r="ED42">
            <v>150811.49100000004</v>
          </cell>
          <cell r="EE42">
            <v>1677.0060000000001</v>
          </cell>
          <cell r="EI42">
            <v>7054.6794388388853</v>
          </cell>
          <cell r="EJ42">
            <v>379.72671435254819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133770.37120000002</v>
          </cell>
          <cell r="D42">
            <v>805.93259999999998</v>
          </cell>
          <cell r="ED42">
            <v>145857.67799999996</v>
          </cell>
          <cell r="EE42">
            <v>1412.3700000000006</v>
          </cell>
          <cell r="EI42">
            <v>7048.220815111732</v>
          </cell>
          <cell r="EJ42">
            <v>348.32894023558026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131161.69519999999</v>
          </cell>
          <cell r="D42">
            <v>883.34229999999991</v>
          </cell>
          <cell r="ED42">
            <v>142902.81700000001</v>
          </cell>
          <cell r="EE42">
            <v>1482.788</v>
          </cell>
          <cell r="EI42">
            <v>6795.3187935727956</v>
          </cell>
          <cell r="EJ42">
            <v>342.34815582975114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133737.76</v>
          </cell>
          <cell r="D42">
            <v>929.9088999999999</v>
          </cell>
          <cell r="ED42">
            <v>146202.40300000002</v>
          </cell>
          <cell r="EE42">
            <v>1561.9639999999999</v>
          </cell>
          <cell r="EI42">
            <v>6799.4280994148958</v>
          </cell>
          <cell r="EJ42">
            <v>351.04817252323062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140204.50979999997</v>
          </cell>
          <cell r="D42">
            <v>875.69430000000011</v>
          </cell>
          <cell r="ED42">
            <v>153045.86600000004</v>
          </cell>
          <cell r="EE42">
            <v>1530.3200000000002</v>
          </cell>
          <cell r="EI42">
            <v>6877.8074542712902</v>
          </cell>
          <cell r="EJ42">
            <v>340.4347023423997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128876.89810000002</v>
          </cell>
          <cell r="D42">
            <v>1004.6584</v>
          </cell>
          <cell r="ED42">
            <v>141480.11999999994</v>
          </cell>
          <cell r="EE42">
            <v>1706.146</v>
          </cell>
          <cell r="EI42">
            <v>6479.9283083792907</v>
          </cell>
          <cell r="EJ42">
            <v>364.24621035757315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129832.6805</v>
          </cell>
          <cell r="D42">
            <v>987.64759999999978</v>
          </cell>
          <cell r="ED42">
            <v>141447.70800000001</v>
          </cell>
          <cell r="EE42">
            <v>1617.43</v>
          </cell>
          <cell r="EI42">
            <v>6162.3594055367003</v>
          </cell>
          <cell r="EJ42">
            <v>368.48866748953338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140033.51379999999</v>
          </cell>
          <cell r="D42">
            <v>912.82920000000001</v>
          </cell>
          <cell r="ED42">
            <v>152588.75499999998</v>
          </cell>
          <cell r="EE42">
            <v>1527.6449999999998</v>
          </cell>
          <cell r="EI42">
            <v>6868.3652200743527</v>
          </cell>
          <cell r="EJ42">
            <v>331.77249057236628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 refreshError="1"/>
      <sheetData sheetId="1">
        <row r="42">
          <cell r="C42">
            <v>133432.2899</v>
          </cell>
          <cell r="D42">
            <v>915.75119999999993</v>
          </cell>
          <cell r="EP42">
            <v>145504.74900000001</v>
          </cell>
          <cell r="EQ42">
            <v>1501.0550000000001</v>
          </cell>
          <cell r="EU42">
            <v>6766.2186733150866</v>
          </cell>
          <cell r="EV42">
            <v>315.22756444225286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136878.71279999998</v>
          </cell>
          <cell r="D42">
            <v>986.65779999999995</v>
          </cell>
          <cell r="EP42">
            <v>149290.81200000001</v>
          </cell>
          <cell r="EQ42">
            <v>1639.568</v>
          </cell>
          <cell r="EU42">
            <v>6977.8303718966081</v>
          </cell>
          <cell r="EV42">
            <v>359.63589426129283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131386.7831</v>
          </cell>
          <cell r="D42">
            <v>977.75680000000011</v>
          </cell>
          <cell r="EP42">
            <v>143687.52999999997</v>
          </cell>
          <cell r="EQ42">
            <v>1649.8619999999999</v>
          </cell>
          <cell r="EU42">
            <v>6888.6673469205725</v>
          </cell>
          <cell r="EV42">
            <v>374.03562695565228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118667.73999999999</v>
          </cell>
          <cell r="D42">
            <v>822.55349999999999</v>
          </cell>
          <cell r="EP42">
            <v>129931.85159999999</v>
          </cell>
          <cell r="EQ42">
            <v>1406.2950000000001</v>
          </cell>
          <cell r="EU42">
            <v>6514.3789231126157</v>
          </cell>
          <cell r="EV42">
            <v>329.60815857651068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118620.54818998552</v>
          </cell>
          <cell r="D42">
            <v>1037.6030295056157</v>
          </cell>
          <cell r="EP42">
            <v>130158.90299999999</v>
          </cell>
          <cell r="EQ42">
            <v>1728.7299999999998</v>
          </cell>
          <cell r="EU42">
            <v>7115.9143446176304</v>
          </cell>
          <cell r="EV42">
            <v>401.82774901489228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127990.8616</v>
          </cell>
          <cell r="D42">
            <v>774.75660000000005</v>
          </cell>
          <cell r="EP42">
            <v>140515.59499999997</v>
          </cell>
          <cell r="EQ42">
            <v>1315.153</v>
          </cell>
          <cell r="EU42">
            <v>6906.4151898345117</v>
          </cell>
          <cell r="EV42">
            <v>300.96691418560397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1"/>
      <sheetName val="Consumo Diário"/>
      <sheetName val="Importação ACA"/>
      <sheetName val="Importação Requisição"/>
      <sheetName val="ExportarREQDEV"/>
      <sheetName val="Custo da Energia"/>
      <sheetName val="Verificação"/>
      <sheetName val="Conceitos"/>
      <sheetName val="Datasul"/>
      <sheetName val="Relação das Medições"/>
      <sheetName val="Custo da Energia "/>
      <sheetName val="Plan1"/>
    </sheetNames>
    <sheetDataSet>
      <sheetData sheetId="0"/>
      <sheetData sheetId="1">
        <row r="42">
          <cell r="C42">
            <v>134270.04179999998</v>
          </cell>
          <cell r="D42">
            <v>1001.9914</v>
          </cell>
          <cell r="EP42">
            <v>147811.72200000001</v>
          </cell>
          <cell r="EQ42">
            <v>1638.7689999999998</v>
          </cell>
          <cell r="EU42">
            <v>7229.2995283324472</v>
          </cell>
          <cell r="EV42">
            <v>347.3907337628649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CHESF (5)"/>
      <sheetName val="Dev. do Adiantamento ENEL (6)"/>
      <sheetName val="FISCAL - Cessão de Energia (7)"/>
      <sheetName val="FISCAL - CHESF (8)"/>
      <sheetName val="FISCAL - Compra Spot (9)"/>
      <sheetName val="FISCAL - CPFL - Mineração (10)"/>
      <sheetName val="Inadimplência CCEE (11) "/>
      <sheetName val="Resumo Cessão Realizada (12)"/>
      <sheetName val="Calculos - GGE"/>
      <sheetName val="GGE - Quantidades Contratadas"/>
      <sheetName val="Conta CHESF-Com desconto"/>
      <sheetName val="Conta CHESF - Sem Desconto"/>
      <sheetName val="Núm. Pedido"/>
    </sheetNames>
    <sheetDataSet>
      <sheetData sheetId="0"/>
      <sheetData sheetId="1"/>
      <sheetData sheetId="2">
        <row r="16">
          <cell r="K16">
            <v>3256.9299999999994</v>
          </cell>
        </row>
        <row r="17">
          <cell r="K17">
            <v>74.400000000000006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</sheetNames>
    <sheetDataSet>
      <sheetData sheetId="0"/>
      <sheetData sheetId="1"/>
      <sheetData sheetId="2">
        <row r="16">
          <cell r="K16">
            <v>3078.1729999999998</v>
          </cell>
        </row>
        <row r="17">
          <cell r="K17">
            <v>67.2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</sheetNames>
    <sheetDataSet>
      <sheetData sheetId="0"/>
      <sheetData sheetId="1"/>
      <sheetData sheetId="2">
        <row r="16">
          <cell r="K16">
            <v>3458.1979999999999</v>
          </cell>
        </row>
        <row r="17">
          <cell r="K17">
            <v>74.400000000000006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3425.8580000000002</v>
          </cell>
        </row>
        <row r="17">
          <cell r="K17">
            <v>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3425.7209999999995</v>
          </cell>
        </row>
        <row r="17">
          <cell r="K17">
            <v>74.400000000000006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3292.7049999999995</v>
          </cell>
        </row>
        <row r="17">
          <cell r="K17">
            <v>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3219.0392000000002</v>
          </cell>
        </row>
        <row r="17">
          <cell r="K17">
            <v>74.400000000000006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3452.4398000000001</v>
          </cell>
        </row>
        <row r="17">
          <cell r="K17">
            <v>74.400000000000006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3180.3249999999998</v>
          </cell>
        </row>
        <row r="17">
          <cell r="K17">
            <v>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3296.4270000000001</v>
          </cell>
        </row>
        <row r="17">
          <cell r="K17">
            <v>74.400000000000006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3223.6379999999999</v>
          </cell>
        </row>
        <row r="17">
          <cell r="K17">
            <v>72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</sheetNames>
    <sheetDataSet>
      <sheetData sheetId="0"/>
      <sheetData sheetId="1"/>
      <sheetData sheetId="2">
        <row r="16">
          <cell r="K16">
            <v>3236.9110000000001</v>
          </cell>
        </row>
        <row r="17">
          <cell r="K17">
            <v>74.400000000000006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  <sheetName val="Acumulado"/>
    </sheetNames>
    <sheetDataSet>
      <sheetData sheetId="0"/>
      <sheetData sheetId="1"/>
      <sheetData sheetId="2">
        <row r="16">
          <cell r="K16">
            <v>0</v>
          </cell>
        </row>
        <row r="17">
          <cell r="K17">
            <v>3246.8339999999998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  <sheetName val="Acumulado"/>
    </sheetNames>
    <sheetDataSet>
      <sheetData sheetId="0"/>
      <sheetData sheetId="1"/>
      <sheetData sheetId="2">
        <row r="16">
          <cell r="K16">
            <v>0</v>
          </cell>
        </row>
        <row r="17">
          <cell r="K17">
            <v>2943.5279999999998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  <sheetName val="Acumulado"/>
    </sheetNames>
    <sheetDataSet>
      <sheetData sheetId="0"/>
      <sheetData sheetId="1"/>
      <sheetData sheetId="2">
        <row r="16">
          <cell r="K16">
            <v>0</v>
          </cell>
        </row>
        <row r="17">
          <cell r="K17">
            <v>3553.12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  <sheetName val="Acumulado"/>
    </sheetNames>
    <sheetDataSet>
      <sheetData sheetId="0"/>
      <sheetData sheetId="1"/>
      <sheetData sheetId="2">
        <row r="16">
          <cell r="K16">
            <v>0</v>
          </cell>
        </row>
        <row r="17">
          <cell r="K17">
            <v>3300.6709999999998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Comentários"/>
      <sheetName val="Volume de Energia (1)"/>
      <sheetName val="Preço de Energia (2) "/>
      <sheetName val="Metalurgia (3)"/>
      <sheetName val="Comercialização e CCEE (4)"/>
      <sheetName val="Dev. do Adiantamento ENEL (5)"/>
      <sheetName val="FISCAL - Cessão de Energia (6)"/>
      <sheetName val="FISCAL - CHESF (7)"/>
      <sheetName val="FISCAL - Compra Spot (8)"/>
      <sheetName val="FISCAL - CPFL - Mineração (9)"/>
      <sheetName val="Inadimplência CCEE (10) "/>
      <sheetName val="Resumo Cessão Realizada (11)"/>
      <sheetName val="Acompanhamento CDE"/>
      <sheetName val="Calculos - GGE (12)"/>
      <sheetName val="GGE - Quantidades Contratadas"/>
      <sheetName val="Conta CHESF"/>
      <sheetName val="Núm. Pedido"/>
      <sheetName val="Encargos Mineração"/>
      <sheetName val="Acumulado"/>
    </sheetNames>
    <sheetDataSet>
      <sheetData sheetId="0"/>
      <sheetData sheetId="1"/>
      <sheetData sheetId="2">
        <row r="16">
          <cell r="K16">
            <v>0</v>
          </cell>
        </row>
        <row r="17">
          <cell r="K17">
            <v>3605.31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8"/>
  <sheetViews>
    <sheetView workbookViewId="0">
      <selection activeCell="F10" sqref="F10"/>
    </sheetView>
  </sheetViews>
  <sheetFormatPr defaultRowHeight="14.3" x14ac:dyDescent="0.25"/>
  <cols>
    <col min="2" max="2" width="33" bestFit="1" customWidth="1"/>
    <col min="3" max="5" width="0" hidden="1" customWidth="1"/>
    <col min="7" max="9" width="0" hidden="1" customWidth="1"/>
    <col min="11" max="13" width="0" hidden="1" customWidth="1"/>
    <col min="15" max="17" width="0" hidden="1" customWidth="1"/>
  </cols>
  <sheetData>
    <row r="2" spans="2:18" ht="14.45" x14ac:dyDescent="0.35">
      <c r="B2" s="94" t="s">
        <v>0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</row>
    <row r="3" spans="2:18" ht="14.45" x14ac:dyDescent="0.35">
      <c r="B3" s="3"/>
      <c r="C3" s="15" t="s">
        <v>21</v>
      </c>
      <c r="D3" s="15" t="s">
        <v>22</v>
      </c>
      <c r="E3" s="15" t="s">
        <v>23</v>
      </c>
      <c r="F3" s="15" t="s">
        <v>81</v>
      </c>
      <c r="G3" s="15" t="s">
        <v>24</v>
      </c>
      <c r="H3" s="15" t="s">
        <v>25</v>
      </c>
      <c r="I3" s="15" t="s">
        <v>26</v>
      </c>
      <c r="J3" s="15" t="s">
        <v>82</v>
      </c>
      <c r="K3" s="15" t="s">
        <v>27</v>
      </c>
      <c r="L3" s="15" t="s">
        <v>28</v>
      </c>
      <c r="M3" s="15" t="s">
        <v>29</v>
      </c>
      <c r="N3" s="15" t="s">
        <v>83</v>
      </c>
      <c r="O3" s="15" t="s">
        <v>30</v>
      </c>
      <c r="P3" s="15" t="s">
        <v>31</v>
      </c>
      <c r="Q3" s="15" t="s">
        <v>32</v>
      </c>
      <c r="R3" s="15" t="s">
        <v>84</v>
      </c>
    </row>
    <row r="4" spans="2:18" ht="14.45" x14ac:dyDescent="0.35">
      <c r="B4" s="7" t="s">
        <v>1</v>
      </c>
      <c r="C4" s="67">
        <f>'Volumes Ajustados'!D25</f>
        <v>82.988247296816738</v>
      </c>
      <c r="D4" s="67">
        <f>'Volumes Ajustados'!E25</f>
        <v>82.988247296816738</v>
      </c>
      <c r="E4" s="67">
        <f>'Volumes Ajustados'!F25</f>
        <v>82.988247296816738</v>
      </c>
      <c r="F4" s="80">
        <f>'Volumes Ajustados'!G25</f>
        <v>82.988247296816738</v>
      </c>
      <c r="G4" s="67">
        <f>'Volumes Ajustados'!G25</f>
        <v>82.988247296816738</v>
      </c>
      <c r="H4" s="67">
        <f>'Volumes Ajustados'!H25</f>
        <v>82.988247296816738</v>
      </c>
      <c r="I4" s="67">
        <f>'Volumes Ajustados'!I25</f>
        <v>82.988247296816738</v>
      </c>
      <c r="J4" s="80">
        <f>'Volumes Ajustados'!K25</f>
        <v>82.988247296816738</v>
      </c>
      <c r="K4" s="67">
        <f>'Volumes Ajustados'!J25</f>
        <v>82.988247296816738</v>
      </c>
      <c r="L4" s="67">
        <f>'Volumes Ajustados'!K25</f>
        <v>82.988247296816738</v>
      </c>
      <c r="M4" s="67">
        <f>'Volumes Ajustados'!L25</f>
        <v>82.988247296816738</v>
      </c>
      <c r="N4" s="80">
        <f>'Volumes Ajustados'!O25</f>
        <v>82.988247296816738</v>
      </c>
      <c r="O4" s="67">
        <f>'Volumes Ajustados'!M25</f>
        <v>82.988247296816738</v>
      </c>
      <c r="P4" s="67">
        <f>'Volumes Ajustados'!N25</f>
        <v>82.988247296816738</v>
      </c>
      <c r="Q4" s="67">
        <f>'Volumes Ajustados'!O25</f>
        <v>82.988247296816738</v>
      </c>
      <c r="R4" s="80">
        <v>82.988247296816738</v>
      </c>
    </row>
    <row r="5" spans="2:18" ht="14.45" x14ac:dyDescent="0.35">
      <c r="B5" s="7" t="s">
        <v>39</v>
      </c>
      <c r="C5" s="66">
        <f>'Volumes Ajustados'!D26</f>
        <v>101.43008002944266</v>
      </c>
      <c r="D5" s="66">
        <f>'Volumes Ajustados'!E26</f>
        <v>101.43008002944269</v>
      </c>
      <c r="E5" s="66">
        <f>'Volumes Ajustados'!F26</f>
        <v>101.43008002944266</v>
      </c>
      <c r="F5" s="81">
        <f>'Volumes Ajustados'!G26</f>
        <v>101.43008002944268</v>
      </c>
      <c r="G5" s="66">
        <f>'Volumes Ajustados'!G26</f>
        <v>101.43008002944268</v>
      </c>
      <c r="H5" s="66">
        <f>'Volumes Ajustados'!H26</f>
        <v>101.43008002944266</v>
      </c>
      <c r="I5" s="66">
        <f>'Volumes Ajustados'!I26</f>
        <v>101.43008002944268</v>
      </c>
      <c r="J5" s="81">
        <f>'Volumes Ajustados'!K26</f>
        <v>101.43008002944266</v>
      </c>
      <c r="K5" s="66">
        <f>'Volumes Ajustados'!J26</f>
        <v>101.43008002944266</v>
      </c>
      <c r="L5" s="66">
        <f>'Volumes Ajustados'!K26</f>
        <v>101.43008002944266</v>
      </c>
      <c r="M5" s="66">
        <f>'Volumes Ajustados'!L26</f>
        <v>101.43008002944268</v>
      </c>
      <c r="N5" s="81">
        <f>'Volumes Ajustados'!O26</f>
        <v>109.36006810447184</v>
      </c>
      <c r="O5" s="66">
        <f>'Volumes Ajustados'!M26</f>
        <v>109.36006810447184</v>
      </c>
      <c r="P5" s="66">
        <f>'Volumes Ajustados'!N26</f>
        <v>109.36006810447184</v>
      </c>
      <c r="Q5" s="66">
        <f>'Volumes Ajustados'!O26</f>
        <v>109.36006810447184</v>
      </c>
      <c r="R5" s="81">
        <v>101.43008002944266</v>
      </c>
    </row>
    <row r="6" spans="2:18" x14ac:dyDescent="0.25">
      <c r="B6" s="3" t="s">
        <v>20</v>
      </c>
      <c r="C6" s="67">
        <f>'Energia Aux - Min'!C11</f>
        <v>4.5123203668564207</v>
      </c>
      <c r="D6" s="67">
        <f>'Energia Aux - Min'!D11</f>
        <v>4.8235148749154835</v>
      </c>
      <c r="E6" s="67">
        <f>'Energia Aux - Min'!E11</f>
        <v>4.5123203668564207</v>
      </c>
      <c r="F6" s="80">
        <v>4.6114922430510674</v>
      </c>
      <c r="G6" s="67">
        <f>'Energia Aux - Min'!F11</f>
        <v>4.6627310457516344</v>
      </c>
      <c r="H6" s="67">
        <f>'Energia Aux - Min'!G11</f>
        <v>4.5123203668564207</v>
      </c>
      <c r="I6" s="67">
        <f>'Energia Aux - Min'!H11</f>
        <v>4.6627310457516344</v>
      </c>
      <c r="J6" s="80">
        <v>4.6114922430510674</v>
      </c>
      <c r="K6" s="67">
        <f>'Energia Aux - Min'!I11</f>
        <v>4.5123203668564207</v>
      </c>
      <c r="L6" s="67">
        <f>'Energia Aux - Min'!J11</f>
        <v>4.5123203668564207</v>
      </c>
      <c r="M6" s="67">
        <f>'Energia Aux - Min'!K11</f>
        <v>4.6627310457516344</v>
      </c>
      <c r="N6" s="80">
        <v>4.5613673273657298</v>
      </c>
      <c r="O6" s="67">
        <f>'Energia Aux - Min'!L11</f>
        <v>4.5123203668564207</v>
      </c>
      <c r="P6" s="67">
        <f>'Energia Aux - Min'!M11</f>
        <v>4.6627310457516344</v>
      </c>
      <c r="Q6" s="67">
        <f>'Energia Aux - Min'!N11</f>
        <v>4.5123203668564207</v>
      </c>
      <c r="R6" s="80">
        <v>4.5613673273657298</v>
      </c>
    </row>
    <row r="7" spans="2:18" ht="14.45" x14ac:dyDescent="0.35">
      <c r="B7" s="3" t="s">
        <v>2</v>
      </c>
      <c r="C7" s="67">
        <v>200</v>
      </c>
      <c r="D7" s="67">
        <v>200</v>
      </c>
      <c r="E7" s="67">
        <v>200</v>
      </c>
      <c r="F7" s="80">
        <v>200</v>
      </c>
      <c r="G7" s="67">
        <v>200</v>
      </c>
      <c r="H7" s="67">
        <v>200</v>
      </c>
      <c r="I7" s="67">
        <v>200</v>
      </c>
      <c r="J7" s="80">
        <v>200</v>
      </c>
      <c r="K7" s="67">
        <v>200</v>
      </c>
      <c r="L7" s="67">
        <v>200</v>
      </c>
      <c r="M7" s="67">
        <v>200</v>
      </c>
      <c r="N7" s="80">
        <v>200</v>
      </c>
      <c r="O7" s="67">
        <v>200</v>
      </c>
      <c r="P7" s="67">
        <v>200</v>
      </c>
      <c r="Q7" s="67">
        <v>200</v>
      </c>
      <c r="R7" s="80">
        <v>200</v>
      </c>
    </row>
    <row r="8" spans="2:18" x14ac:dyDescent="0.25">
      <c r="B8" s="3" t="s">
        <v>40</v>
      </c>
      <c r="C8" s="6">
        <v>5</v>
      </c>
      <c r="D8" s="6">
        <v>5</v>
      </c>
      <c r="E8" s="6">
        <v>5</v>
      </c>
      <c r="F8" s="82">
        <v>5</v>
      </c>
      <c r="G8" s="6">
        <v>5</v>
      </c>
      <c r="H8" s="6">
        <v>5</v>
      </c>
      <c r="I8" s="6">
        <v>5</v>
      </c>
      <c r="J8" s="82">
        <v>5</v>
      </c>
      <c r="K8" s="6">
        <v>5</v>
      </c>
      <c r="L8" s="6">
        <v>5</v>
      </c>
      <c r="M8" s="6">
        <v>5</v>
      </c>
      <c r="N8" s="82">
        <v>5</v>
      </c>
      <c r="O8" s="6">
        <v>5</v>
      </c>
      <c r="P8" s="6">
        <v>5</v>
      </c>
      <c r="Q8" s="6">
        <v>5</v>
      </c>
      <c r="R8" s="82">
        <v>5</v>
      </c>
    </row>
    <row r="9" spans="2:18" ht="14.45" x14ac:dyDescent="0.35">
      <c r="B9" s="1"/>
      <c r="C9" s="2"/>
      <c r="D9" s="2"/>
      <c r="E9" s="2"/>
      <c r="F9" s="2"/>
      <c r="G9" s="2"/>
    </row>
    <row r="10" spans="2:18" ht="14.45" x14ac:dyDescent="0.35">
      <c r="B10" s="13" t="s">
        <v>3</v>
      </c>
      <c r="C10" s="14">
        <f>C11+C12</f>
        <v>744</v>
      </c>
      <c r="D10" s="14">
        <f t="shared" ref="D10:Q10" si="0">D11+D12</f>
        <v>696</v>
      </c>
      <c r="E10" s="14">
        <f t="shared" si="0"/>
        <v>744</v>
      </c>
      <c r="F10" s="14">
        <f>SUM(C10:E10)</f>
        <v>2184</v>
      </c>
      <c r="G10" s="14">
        <f t="shared" si="0"/>
        <v>720</v>
      </c>
      <c r="H10" s="14">
        <f t="shared" si="0"/>
        <v>744</v>
      </c>
      <c r="I10" s="14">
        <f t="shared" si="0"/>
        <v>720</v>
      </c>
      <c r="J10" s="14">
        <f>SUM(G10:I10)</f>
        <v>2184</v>
      </c>
      <c r="K10" s="14">
        <f t="shared" si="0"/>
        <v>744</v>
      </c>
      <c r="L10" s="14">
        <f t="shared" si="0"/>
        <v>744</v>
      </c>
      <c r="M10" s="14">
        <f t="shared" si="0"/>
        <v>720</v>
      </c>
      <c r="N10" s="14">
        <f>SUM(K10:M10)</f>
        <v>2208</v>
      </c>
      <c r="O10" s="14">
        <f t="shared" si="0"/>
        <v>744</v>
      </c>
      <c r="P10" s="14">
        <f t="shared" si="0"/>
        <v>720</v>
      </c>
      <c r="Q10" s="14">
        <f t="shared" si="0"/>
        <v>744</v>
      </c>
      <c r="R10" s="14">
        <f t="shared" ref="R10:R12" si="1">SUM(O10:Q10)</f>
        <v>2208</v>
      </c>
    </row>
    <row r="11" spans="2:18" ht="14.45" x14ac:dyDescent="0.35">
      <c r="B11" s="8" t="s">
        <v>4</v>
      </c>
      <c r="C11" s="6">
        <v>678</v>
      </c>
      <c r="D11" s="6">
        <v>636</v>
      </c>
      <c r="E11" s="6">
        <v>684</v>
      </c>
      <c r="F11" s="82">
        <f>SUM(C11:E11)</f>
        <v>1998</v>
      </c>
      <c r="G11" s="6">
        <v>654</v>
      </c>
      <c r="H11" s="6">
        <v>681</v>
      </c>
      <c r="I11" s="6">
        <v>660</v>
      </c>
      <c r="J11" s="82">
        <f>SUM(G11:I11)</f>
        <v>1995</v>
      </c>
      <c r="K11" s="6">
        <v>675</v>
      </c>
      <c r="L11" s="6">
        <v>678</v>
      </c>
      <c r="M11" s="6">
        <v>657</v>
      </c>
      <c r="N11" s="82">
        <f>SUM(K11:M11)</f>
        <v>2010</v>
      </c>
      <c r="O11" s="6">
        <v>675</v>
      </c>
      <c r="P11" s="6">
        <v>660</v>
      </c>
      <c r="Q11" s="6">
        <v>681</v>
      </c>
      <c r="R11" s="83">
        <f t="shared" si="1"/>
        <v>2016</v>
      </c>
    </row>
    <row r="12" spans="2:18" ht="14.45" x14ac:dyDescent="0.35">
      <c r="B12" s="8" t="s">
        <v>5</v>
      </c>
      <c r="C12" s="6">
        <v>66</v>
      </c>
      <c r="D12" s="6">
        <v>60</v>
      </c>
      <c r="E12" s="6">
        <v>60</v>
      </c>
      <c r="F12" s="82">
        <f>SUM(C12:E12)</f>
        <v>186</v>
      </c>
      <c r="G12" s="6">
        <v>66</v>
      </c>
      <c r="H12" s="6">
        <v>63</v>
      </c>
      <c r="I12" s="6">
        <v>60</v>
      </c>
      <c r="J12" s="82">
        <f>SUM(G12:I12)</f>
        <v>189</v>
      </c>
      <c r="K12" s="6">
        <v>69</v>
      </c>
      <c r="L12" s="6">
        <v>66</v>
      </c>
      <c r="M12" s="6">
        <v>63</v>
      </c>
      <c r="N12" s="82">
        <f>SUM(K12:M12)</f>
        <v>198</v>
      </c>
      <c r="O12" s="6">
        <v>69</v>
      </c>
      <c r="P12" s="6">
        <v>60</v>
      </c>
      <c r="Q12" s="6">
        <v>63</v>
      </c>
      <c r="R12" s="83">
        <f t="shared" si="1"/>
        <v>192</v>
      </c>
    </row>
    <row r="13" spans="2:18" ht="14.45" x14ac:dyDescent="0.35">
      <c r="B13" s="1"/>
      <c r="C13" s="2"/>
      <c r="D13" s="2"/>
      <c r="E13" s="2"/>
      <c r="F13" s="2"/>
      <c r="G13" s="2"/>
    </row>
    <row r="15" spans="2:18" ht="14.45" x14ac:dyDescent="0.35">
      <c r="B15" s="94" t="s">
        <v>6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</row>
    <row r="16" spans="2:18" ht="14.45" x14ac:dyDescent="0.35">
      <c r="B16" s="6"/>
      <c r="C16" s="15" t="s">
        <v>21</v>
      </c>
      <c r="D16" s="15" t="s">
        <v>22</v>
      </c>
      <c r="E16" s="15" t="s">
        <v>23</v>
      </c>
      <c r="F16" s="15" t="s">
        <v>81</v>
      </c>
      <c r="G16" s="15" t="s">
        <v>24</v>
      </c>
      <c r="H16" s="15" t="s">
        <v>25</v>
      </c>
      <c r="I16" s="15" t="s">
        <v>26</v>
      </c>
      <c r="J16" s="15" t="s">
        <v>82</v>
      </c>
      <c r="K16" s="15" t="s">
        <v>27</v>
      </c>
      <c r="L16" s="15" t="s">
        <v>28</v>
      </c>
      <c r="M16" s="15" t="s">
        <v>29</v>
      </c>
      <c r="N16" s="15" t="s">
        <v>83</v>
      </c>
      <c r="O16" s="15" t="s">
        <v>30</v>
      </c>
      <c r="P16" s="15" t="s">
        <v>31</v>
      </c>
      <c r="Q16" s="15" t="s">
        <v>32</v>
      </c>
      <c r="R16" s="15" t="s">
        <v>84</v>
      </c>
    </row>
    <row r="17" spans="2:18" ht="14.45" x14ac:dyDescent="0.35">
      <c r="B17" s="11" t="s">
        <v>1</v>
      </c>
      <c r="C17" s="10">
        <f>SUM(C18:C24)</f>
        <v>155.26802548492304</v>
      </c>
      <c r="D17" s="10">
        <f t="shared" ref="D17:R17" si="2">SUM(D18:D24)</f>
        <v>157.71330287086818</v>
      </c>
      <c r="E17" s="10">
        <f t="shared" si="2"/>
        <v>155.24074182798859</v>
      </c>
      <c r="F17" s="10">
        <f t="shared" si="2"/>
        <v>156.1539059127067</v>
      </c>
      <c r="G17" s="10">
        <f t="shared" si="2"/>
        <v>156.00980231760013</v>
      </c>
      <c r="H17" s="10">
        <f t="shared" si="2"/>
        <v>155.24047957610196</v>
      </c>
      <c r="I17" s="10">
        <f t="shared" si="2"/>
        <v>156.01035727082933</v>
      </c>
      <c r="J17" s="10">
        <f t="shared" si="2"/>
        <v>155.8794431526797</v>
      </c>
      <c r="K17" s="10">
        <f t="shared" si="2"/>
        <v>156.42286187704559</v>
      </c>
      <c r="L17" s="10">
        <f t="shared" si="2"/>
        <v>156.78671834746314</v>
      </c>
      <c r="M17" s="10">
        <f t="shared" si="2"/>
        <v>157.6075558830114</v>
      </c>
      <c r="N17" s="10">
        <f t="shared" si="2"/>
        <v>157.07072139338993</v>
      </c>
      <c r="O17" s="10">
        <f t="shared" si="2"/>
        <v>156.78616836351637</v>
      </c>
      <c r="P17" s="10">
        <f t="shared" si="2"/>
        <v>157.6075558830114</v>
      </c>
      <c r="Q17" s="10">
        <f t="shared" si="2"/>
        <v>156.78589542290581</v>
      </c>
      <c r="R17" s="10">
        <f t="shared" si="2"/>
        <v>157.18998047132163</v>
      </c>
    </row>
    <row r="18" spans="2:18" ht="14.45" x14ac:dyDescent="0.35">
      <c r="B18" s="12" t="s">
        <v>71</v>
      </c>
      <c r="C18" s="4">
        <v>75.370367846935821</v>
      </c>
      <c r="D18" s="4">
        <v>75.370367846935821</v>
      </c>
      <c r="E18" s="4">
        <v>75.370367846935821</v>
      </c>
      <c r="F18" s="84">
        <v>75.370367846935821</v>
      </c>
      <c r="G18" s="4">
        <v>75.370367846935821</v>
      </c>
      <c r="H18" s="4">
        <v>75.370367846935821</v>
      </c>
      <c r="I18" s="4">
        <v>75.370367846935821</v>
      </c>
      <c r="J18" s="84">
        <v>75.370367846935821</v>
      </c>
      <c r="K18" s="4">
        <v>75.370367846935821</v>
      </c>
      <c r="L18" s="4">
        <v>75.370367846935821</v>
      </c>
      <c r="M18" s="4">
        <v>75.370367846935821</v>
      </c>
      <c r="N18" s="84">
        <v>75.370367846935821</v>
      </c>
      <c r="O18" s="4">
        <v>75.370367846935821</v>
      </c>
      <c r="P18" s="4">
        <v>75.370367846935821</v>
      </c>
      <c r="Q18" s="4">
        <v>75.370367846935821</v>
      </c>
      <c r="R18" s="84">
        <v>75.370367846935821</v>
      </c>
    </row>
    <row r="19" spans="2:18" x14ac:dyDescent="0.25">
      <c r="B19" s="3" t="s">
        <v>7</v>
      </c>
      <c r="C19" s="4">
        <v>22.994081422201564</v>
      </c>
      <c r="D19" s="4">
        <v>25.457733003151734</v>
      </c>
      <c r="E19" s="4">
        <v>22.994081422201564</v>
      </c>
      <c r="F19" s="84">
        <v>23.892188203511932</v>
      </c>
      <c r="G19" s="4">
        <v>23.760550802941619</v>
      </c>
      <c r="H19" s="4">
        <v>22.994081422201564</v>
      </c>
      <c r="I19" s="4">
        <v>23.760550802941619</v>
      </c>
      <c r="J19" s="84">
        <v>23.629636684792022</v>
      </c>
      <c r="K19" s="4">
        <v>24.171378391018283</v>
      </c>
      <c r="L19" s="4">
        <v>24.534684877489067</v>
      </c>
      <c r="M19" s="4">
        <v>25.352507706738702</v>
      </c>
      <c r="N19" s="84">
        <v>24.815673217117237</v>
      </c>
      <c r="O19" s="4">
        <v>24.534684877489067</v>
      </c>
      <c r="P19" s="4">
        <v>25.352507706738702</v>
      </c>
      <c r="Q19" s="4">
        <v>24.534684877489067</v>
      </c>
      <c r="R19" s="85">
        <v>24.938769925904896</v>
      </c>
    </row>
    <row r="20" spans="2:18" x14ac:dyDescent="0.25">
      <c r="B20" s="3" t="s">
        <v>8</v>
      </c>
      <c r="C20" s="4">
        <v>0.13222635352669773</v>
      </c>
      <c r="D20" s="4">
        <v>0.11385215852164253</v>
      </c>
      <c r="E20" s="4">
        <v>0.10494269659224656</v>
      </c>
      <c r="F20" s="84">
        <v>0.12</v>
      </c>
      <c r="G20" s="4">
        <v>0.10753380546372369</v>
      </c>
      <c r="H20" s="4">
        <v>0.10468044470559999</v>
      </c>
      <c r="I20" s="4">
        <v>0.1080887586929123</v>
      </c>
      <c r="J20" s="84">
        <v>0.1080887586929123</v>
      </c>
      <c r="K20" s="4">
        <v>0.10976577683250888</v>
      </c>
      <c r="L20" s="4">
        <v>0.11031576077926242</v>
      </c>
      <c r="M20" s="4">
        <v>0.11333046707792059</v>
      </c>
      <c r="N20" s="84">
        <v>0.11333046707792059</v>
      </c>
      <c r="O20" s="4">
        <v>0.10976577683250888</v>
      </c>
      <c r="P20" s="4">
        <v>0.11333046707792059</v>
      </c>
      <c r="Q20" s="4">
        <v>0.10949283622193248</v>
      </c>
      <c r="R20" s="85">
        <v>0.10949283622193248</v>
      </c>
    </row>
    <row r="21" spans="2:18" ht="14.45" x14ac:dyDescent="0.35">
      <c r="B21" s="3" t="s">
        <v>9</v>
      </c>
      <c r="C21" s="4">
        <v>26.038567493112946</v>
      </c>
      <c r="D21" s="4">
        <v>26.038567493112946</v>
      </c>
      <c r="E21" s="4">
        <v>26.038567493112946</v>
      </c>
      <c r="F21" s="84">
        <v>26.038567493112946</v>
      </c>
      <c r="G21" s="4">
        <v>26.038567493112946</v>
      </c>
      <c r="H21" s="4">
        <v>26.038567493112946</v>
      </c>
      <c r="I21" s="4">
        <v>26.038567493112946</v>
      </c>
      <c r="J21" s="84">
        <v>26.038567493112946</v>
      </c>
      <c r="K21" s="4">
        <v>26.038567493112946</v>
      </c>
      <c r="L21" s="4">
        <v>26.038567493112946</v>
      </c>
      <c r="M21" s="4">
        <v>26.038567493112946</v>
      </c>
      <c r="N21" s="84">
        <v>26.038567493112946</v>
      </c>
      <c r="O21" s="4">
        <v>26.038567493112946</v>
      </c>
      <c r="P21" s="4">
        <v>26.038567493112946</v>
      </c>
      <c r="Q21" s="4">
        <v>26.038567493112946</v>
      </c>
      <c r="R21" s="85">
        <v>26.038567493112946</v>
      </c>
    </row>
    <row r="22" spans="2:18" ht="14.45" x14ac:dyDescent="0.35">
      <c r="B22" s="3" t="s">
        <v>10</v>
      </c>
      <c r="C22" s="4">
        <v>8.9917355371900829</v>
      </c>
      <c r="D22" s="4">
        <v>8.9917355371900829</v>
      </c>
      <c r="E22" s="4">
        <v>8.9917355371900829</v>
      </c>
      <c r="F22" s="84">
        <v>8.9917355371900829</v>
      </c>
      <c r="G22" s="4">
        <v>8.9917355371900829</v>
      </c>
      <c r="H22" s="4">
        <v>8.9917355371900829</v>
      </c>
      <c r="I22" s="4">
        <v>8.9917355371900829</v>
      </c>
      <c r="J22" s="84">
        <v>8.9917355371900829</v>
      </c>
      <c r="K22" s="4">
        <v>8.9917355371900829</v>
      </c>
      <c r="L22" s="4">
        <v>8.9917355371900829</v>
      </c>
      <c r="M22" s="4">
        <v>8.9917355371900829</v>
      </c>
      <c r="N22" s="84">
        <v>8.9917355371900829</v>
      </c>
      <c r="O22" s="4">
        <v>8.9917355371900829</v>
      </c>
      <c r="P22" s="4">
        <v>8.9917355371900829</v>
      </c>
      <c r="Q22" s="4">
        <v>8.9917355371900829</v>
      </c>
      <c r="R22" s="85">
        <v>8.9917355371900829</v>
      </c>
    </row>
    <row r="23" spans="2:18" ht="14.45" x14ac:dyDescent="0.35">
      <c r="B23" s="3" t="s">
        <v>79</v>
      </c>
      <c r="C23" s="4">
        <v>0.53994490358126723</v>
      </c>
      <c r="D23" s="4">
        <v>0.53994490358126723</v>
      </c>
      <c r="E23" s="4">
        <v>0.53994490358126723</v>
      </c>
      <c r="F23" s="84">
        <v>0.53994490358126723</v>
      </c>
      <c r="G23" s="4">
        <v>0.53994490358126723</v>
      </c>
      <c r="H23" s="4">
        <v>0.53994490358126723</v>
      </c>
      <c r="I23" s="4">
        <v>0.53994490358126723</v>
      </c>
      <c r="J23" s="84">
        <v>0.53994490358126723</v>
      </c>
      <c r="K23" s="4">
        <v>0.53994490358126723</v>
      </c>
      <c r="L23" s="4">
        <v>0.53994490358126723</v>
      </c>
      <c r="M23" s="4">
        <v>0.53994490358126723</v>
      </c>
      <c r="N23" s="84">
        <v>0.53994490358126723</v>
      </c>
      <c r="O23" s="4">
        <v>0.53994490358126723</v>
      </c>
      <c r="P23" s="4">
        <v>0.53994490358126723</v>
      </c>
      <c r="Q23" s="4">
        <v>0.53994490358126723</v>
      </c>
      <c r="R23" s="85">
        <v>0.53994490358126723</v>
      </c>
    </row>
    <row r="24" spans="2:18" ht="14.45" x14ac:dyDescent="0.35">
      <c r="B24" s="3" t="s">
        <v>80</v>
      </c>
      <c r="C24" s="4">
        <v>21.201101928374655</v>
      </c>
      <c r="D24" s="4">
        <v>21.201101928374655</v>
      </c>
      <c r="E24" s="4">
        <v>21.201101928374655</v>
      </c>
      <c r="F24" s="84">
        <v>21.201101928374655</v>
      </c>
      <c r="G24" s="4">
        <v>21.201101928374655</v>
      </c>
      <c r="H24" s="4">
        <v>21.201101928374655</v>
      </c>
      <c r="I24" s="4">
        <v>21.201101928374655</v>
      </c>
      <c r="J24" s="84">
        <v>21.201101928374655</v>
      </c>
      <c r="K24" s="4">
        <v>21.201101928374655</v>
      </c>
      <c r="L24" s="4">
        <v>21.201101928374655</v>
      </c>
      <c r="M24" s="4">
        <v>21.201101928374655</v>
      </c>
      <c r="N24" s="84">
        <v>21.201101928374655</v>
      </c>
      <c r="O24" s="4">
        <v>21.201101928374655</v>
      </c>
      <c r="P24" s="4">
        <v>21.201101928374655</v>
      </c>
      <c r="Q24" s="4">
        <v>21.201101928374655</v>
      </c>
      <c r="R24" s="85">
        <v>21.201101928374655</v>
      </c>
    </row>
    <row r="26" spans="2:18" ht="14.45" x14ac:dyDescent="0.35">
      <c r="B26" s="11" t="s">
        <v>11</v>
      </c>
      <c r="C26" s="10">
        <f>SUM(C27:C33)</f>
        <v>218.25218143308717</v>
      </c>
      <c r="D26" s="10">
        <f t="shared" ref="D26:E26" si="3">SUM(D27:D33)</f>
        <v>220.69745881903231</v>
      </c>
      <c r="E26" s="10">
        <f t="shared" si="3"/>
        <v>218.22489777615272</v>
      </c>
      <c r="F26" s="10">
        <f t="shared" ref="F26" si="4">SUM(F27:F33)</f>
        <v>219.13806186087083</v>
      </c>
      <c r="G26" s="10">
        <f t="shared" ref="G26" si="5">SUM(G27:G33)</f>
        <v>218.99395826576426</v>
      </c>
      <c r="H26" s="10">
        <f t="shared" ref="H26" si="6">SUM(H27:H33)</f>
        <v>218.22463552426609</v>
      </c>
      <c r="I26" s="10">
        <f t="shared" ref="I26" si="7">SUM(I27:I33)</f>
        <v>218.99451321899346</v>
      </c>
      <c r="J26" s="10">
        <f t="shared" ref="J26" si="8">SUM(J27:J33)</f>
        <v>218.86359910084383</v>
      </c>
      <c r="K26" s="10">
        <f t="shared" ref="K26" si="9">SUM(K27:K33)</f>
        <v>219.40701782520972</v>
      </c>
      <c r="L26" s="10">
        <f t="shared" ref="L26" si="10">SUM(L27:L33)</f>
        <v>219.77087429562727</v>
      </c>
      <c r="M26" s="10">
        <f t="shared" ref="M26" si="11">SUM(M27:M33)</f>
        <v>220.59171183117553</v>
      </c>
      <c r="N26" s="10">
        <f t="shared" ref="N26" si="12">SUM(N27:N33)</f>
        <v>220.05487734155412</v>
      </c>
      <c r="O26" s="10">
        <f t="shared" ref="O26" si="13">SUM(O27:O33)</f>
        <v>219.7703243116805</v>
      </c>
      <c r="P26" s="10">
        <f t="shared" ref="P26" si="14">SUM(P27:P33)</f>
        <v>220.59171183117553</v>
      </c>
      <c r="Q26" s="10">
        <f t="shared" ref="Q26" si="15">SUM(Q27:Q33)</f>
        <v>219.77005137106994</v>
      </c>
      <c r="R26" s="10">
        <f t="shared" ref="R26" si="16">SUM(R27:R33)</f>
        <v>220.17413641948576</v>
      </c>
    </row>
    <row r="27" spans="2:18" ht="14.45" x14ac:dyDescent="0.35">
      <c r="B27" s="12" t="s">
        <v>71</v>
      </c>
      <c r="C27" s="4">
        <v>138.35452379509996</v>
      </c>
      <c r="D27" s="4">
        <v>138.35452379509996</v>
      </c>
      <c r="E27" s="4">
        <v>138.35452379509996</v>
      </c>
      <c r="F27" s="84">
        <v>138.35452379509996</v>
      </c>
      <c r="G27" s="4">
        <v>138.35452379509996</v>
      </c>
      <c r="H27" s="4">
        <v>138.35452379509996</v>
      </c>
      <c r="I27" s="4">
        <v>138.35452379509996</v>
      </c>
      <c r="J27" s="84">
        <v>138.35452379509996</v>
      </c>
      <c r="K27" s="4">
        <v>138.35452379509996</v>
      </c>
      <c r="L27" s="4">
        <v>138.35452379509996</v>
      </c>
      <c r="M27" s="4">
        <v>138.35452379509996</v>
      </c>
      <c r="N27" s="84">
        <v>138.35452379509996</v>
      </c>
      <c r="O27" s="4">
        <v>138.35452379509996</v>
      </c>
      <c r="P27" s="4">
        <v>138.35452379509996</v>
      </c>
      <c r="Q27" s="4">
        <v>138.35452379509996</v>
      </c>
      <c r="R27" s="84">
        <v>138.35452379509996</v>
      </c>
    </row>
    <row r="28" spans="2:18" x14ac:dyDescent="0.25">
      <c r="B28" s="3" t="s">
        <v>7</v>
      </c>
      <c r="C28" s="4">
        <v>22.994081422201564</v>
      </c>
      <c r="D28" s="4">
        <v>25.457733003151734</v>
      </c>
      <c r="E28" s="4">
        <v>22.994081422201564</v>
      </c>
      <c r="F28" s="84">
        <v>23.892188203511932</v>
      </c>
      <c r="G28" s="4">
        <v>23.760550802941619</v>
      </c>
      <c r="H28" s="4">
        <v>22.994081422201564</v>
      </c>
      <c r="I28" s="4">
        <v>23.760550802941619</v>
      </c>
      <c r="J28" s="84">
        <v>23.629636684792022</v>
      </c>
      <c r="K28" s="4">
        <v>24.171378391018283</v>
      </c>
      <c r="L28" s="4">
        <v>24.534684877489067</v>
      </c>
      <c r="M28" s="4">
        <v>25.352507706738702</v>
      </c>
      <c r="N28" s="84">
        <v>24.815673217117237</v>
      </c>
      <c r="O28" s="4">
        <v>24.534684877489067</v>
      </c>
      <c r="P28" s="4">
        <v>25.352507706738702</v>
      </c>
      <c r="Q28" s="4">
        <v>24.534684877489067</v>
      </c>
      <c r="R28" s="85">
        <v>24.938769925904896</v>
      </c>
    </row>
    <row r="29" spans="2:18" x14ac:dyDescent="0.25">
      <c r="B29" s="3" t="s">
        <v>8</v>
      </c>
      <c r="C29" s="4">
        <v>0.13222635352669773</v>
      </c>
      <c r="D29" s="4">
        <v>0.11385215852164253</v>
      </c>
      <c r="E29" s="4">
        <v>0.10494269659224656</v>
      </c>
      <c r="F29" s="84">
        <v>0.12</v>
      </c>
      <c r="G29" s="4">
        <v>0.10753380546372369</v>
      </c>
      <c r="H29" s="4">
        <v>0.10468044470559999</v>
      </c>
      <c r="I29" s="4">
        <v>0.1080887586929123</v>
      </c>
      <c r="J29" s="84">
        <v>0.1080887586929123</v>
      </c>
      <c r="K29" s="4">
        <v>0.10976577683250888</v>
      </c>
      <c r="L29" s="4">
        <v>0.11031576077926242</v>
      </c>
      <c r="M29" s="4">
        <v>0.11333046707792059</v>
      </c>
      <c r="N29" s="84">
        <v>0.11333046707792059</v>
      </c>
      <c r="O29" s="4">
        <v>0.10976577683250888</v>
      </c>
      <c r="P29" s="4">
        <v>0.11333046707792059</v>
      </c>
      <c r="Q29" s="4">
        <v>0.10949283622193248</v>
      </c>
      <c r="R29" s="85">
        <v>0.10949283622193248</v>
      </c>
    </row>
    <row r="30" spans="2:18" x14ac:dyDescent="0.25">
      <c r="B30" s="3" t="s">
        <v>9</v>
      </c>
      <c r="C30" s="4">
        <v>26.038567493112946</v>
      </c>
      <c r="D30" s="4">
        <v>26.038567493112946</v>
      </c>
      <c r="E30" s="4">
        <v>26.038567493112946</v>
      </c>
      <c r="F30" s="84">
        <v>26.038567493112946</v>
      </c>
      <c r="G30" s="4">
        <v>26.038567493112946</v>
      </c>
      <c r="H30" s="4">
        <v>26.038567493112946</v>
      </c>
      <c r="I30" s="4">
        <v>26.038567493112946</v>
      </c>
      <c r="J30" s="84">
        <v>26.038567493112946</v>
      </c>
      <c r="K30" s="4">
        <v>26.038567493112946</v>
      </c>
      <c r="L30" s="4">
        <v>26.038567493112946</v>
      </c>
      <c r="M30" s="4">
        <v>26.038567493112946</v>
      </c>
      <c r="N30" s="84">
        <v>26.038567493112946</v>
      </c>
      <c r="O30" s="4">
        <v>26.038567493112946</v>
      </c>
      <c r="P30" s="4">
        <v>26.038567493112946</v>
      </c>
      <c r="Q30" s="4">
        <v>26.038567493112946</v>
      </c>
      <c r="R30" s="85">
        <v>26.038567493112946</v>
      </c>
    </row>
    <row r="31" spans="2:18" x14ac:dyDescent="0.25">
      <c r="B31" s="3" t="s">
        <v>10</v>
      </c>
      <c r="C31" s="4">
        <v>8.9917355371900829</v>
      </c>
      <c r="D31" s="4">
        <v>8.9917355371900829</v>
      </c>
      <c r="E31" s="4">
        <v>8.9917355371900829</v>
      </c>
      <c r="F31" s="84">
        <v>8.9917355371900829</v>
      </c>
      <c r="G31" s="4">
        <v>8.9917355371900829</v>
      </c>
      <c r="H31" s="4">
        <v>8.9917355371900829</v>
      </c>
      <c r="I31" s="4">
        <v>8.9917355371900829</v>
      </c>
      <c r="J31" s="84">
        <v>8.9917355371900829</v>
      </c>
      <c r="K31" s="4">
        <v>8.9917355371900829</v>
      </c>
      <c r="L31" s="4">
        <v>8.9917355371900829</v>
      </c>
      <c r="M31" s="4">
        <v>8.9917355371900829</v>
      </c>
      <c r="N31" s="84">
        <v>8.9917355371900829</v>
      </c>
      <c r="O31" s="4">
        <v>8.9917355371900829</v>
      </c>
      <c r="P31" s="4">
        <v>8.9917355371900829</v>
      </c>
      <c r="Q31" s="4">
        <v>8.9917355371900829</v>
      </c>
      <c r="R31" s="85">
        <v>8.9917355371900829</v>
      </c>
    </row>
    <row r="32" spans="2:18" x14ac:dyDescent="0.25">
      <c r="B32" s="3" t="s">
        <v>79</v>
      </c>
      <c r="C32" s="4">
        <v>0.53994490358126723</v>
      </c>
      <c r="D32" s="4">
        <v>0.53994490358126723</v>
      </c>
      <c r="E32" s="4">
        <v>0.53994490358126723</v>
      </c>
      <c r="F32" s="84">
        <v>0.53994490358126723</v>
      </c>
      <c r="G32" s="4">
        <v>0.53994490358126723</v>
      </c>
      <c r="H32" s="4">
        <v>0.53994490358126723</v>
      </c>
      <c r="I32" s="4">
        <v>0.53994490358126723</v>
      </c>
      <c r="J32" s="84">
        <v>0.53994490358126723</v>
      </c>
      <c r="K32" s="4">
        <v>0.53994490358126723</v>
      </c>
      <c r="L32" s="4">
        <v>0.53994490358126723</v>
      </c>
      <c r="M32" s="4">
        <v>0.53994490358126723</v>
      </c>
      <c r="N32" s="84">
        <v>0.53994490358126723</v>
      </c>
      <c r="O32" s="4">
        <v>0.53994490358126723</v>
      </c>
      <c r="P32" s="4">
        <v>0.53994490358126723</v>
      </c>
      <c r="Q32" s="4">
        <v>0.53994490358126723</v>
      </c>
      <c r="R32" s="85">
        <v>0.53994490358126723</v>
      </c>
    </row>
    <row r="33" spans="2:18" x14ac:dyDescent="0.25">
      <c r="B33" s="3" t="s">
        <v>80</v>
      </c>
      <c r="C33" s="4">
        <v>21.201101928374655</v>
      </c>
      <c r="D33" s="4">
        <v>21.201101928374655</v>
      </c>
      <c r="E33" s="4">
        <v>21.201101928374655</v>
      </c>
      <c r="F33" s="84">
        <v>21.201101928374655</v>
      </c>
      <c r="G33" s="4">
        <v>21.201101928374655</v>
      </c>
      <c r="H33" s="4">
        <v>21.201101928374655</v>
      </c>
      <c r="I33" s="4">
        <v>21.201101928374655</v>
      </c>
      <c r="J33" s="84">
        <v>21.201101928374655</v>
      </c>
      <c r="K33" s="4">
        <v>21.201101928374655</v>
      </c>
      <c r="L33" s="4">
        <v>21.201101928374655</v>
      </c>
      <c r="M33" s="4">
        <v>21.201101928374655</v>
      </c>
      <c r="N33" s="84">
        <v>21.201101928374655</v>
      </c>
      <c r="O33" s="4">
        <v>21.201101928374655</v>
      </c>
      <c r="P33" s="4">
        <v>21.201101928374655</v>
      </c>
      <c r="Q33" s="4">
        <v>21.201101928374655</v>
      </c>
      <c r="R33" s="85">
        <v>21.201101928374655</v>
      </c>
    </row>
    <row r="35" spans="2:18" x14ac:dyDescent="0.25">
      <c r="B35" s="11" t="s">
        <v>12</v>
      </c>
      <c r="C35" s="10">
        <v>120.42414695039753</v>
      </c>
      <c r="D35" s="10">
        <v>120.42414695039753</v>
      </c>
      <c r="E35" s="10">
        <v>120.42414695039753</v>
      </c>
      <c r="F35" s="10">
        <v>120.42414695039753</v>
      </c>
      <c r="G35" s="10">
        <v>120.42414695039753</v>
      </c>
      <c r="H35" s="10">
        <v>120.42414695039753</v>
      </c>
      <c r="I35" s="10">
        <v>120.42414695039753</v>
      </c>
      <c r="J35" s="10">
        <v>120.42414695039753</v>
      </c>
      <c r="K35" s="10">
        <v>120.42414695039753</v>
      </c>
      <c r="L35" s="10">
        <v>120.42414695039753</v>
      </c>
      <c r="M35" s="10">
        <v>120.42414695039753</v>
      </c>
      <c r="N35" s="10">
        <v>120.42414695039753</v>
      </c>
      <c r="O35" s="10">
        <v>120.42414695039753</v>
      </c>
      <c r="P35" s="10">
        <v>120.42414695039753</v>
      </c>
      <c r="Q35" s="10">
        <v>120.42414695039753</v>
      </c>
      <c r="R35" s="10">
        <v>120.42414695039753</v>
      </c>
    </row>
    <row r="38" spans="2:18" x14ac:dyDescent="0.25">
      <c r="B38" s="94" t="s">
        <v>13</v>
      </c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</row>
    <row r="39" spans="2:18" x14ac:dyDescent="0.25">
      <c r="B39" s="6"/>
      <c r="C39" s="15" t="s">
        <v>21</v>
      </c>
      <c r="D39" s="15" t="s">
        <v>22</v>
      </c>
      <c r="E39" s="15" t="s">
        <v>23</v>
      </c>
      <c r="F39" s="15" t="s">
        <v>81</v>
      </c>
      <c r="G39" s="15" t="s">
        <v>24</v>
      </c>
      <c r="H39" s="15" t="s">
        <v>25</v>
      </c>
      <c r="I39" s="15" t="s">
        <v>26</v>
      </c>
      <c r="J39" s="15" t="s">
        <v>82</v>
      </c>
      <c r="K39" s="15" t="s">
        <v>27</v>
      </c>
      <c r="L39" s="15" t="s">
        <v>28</v>
      </c>
      <c r="M39" s="15" t="s">
        <v>29</v>
      </c>
      <c r="N39" s="15" t="s">
        <v>83</v>
      </c>
      <c r="O39" s="15" t="s">
        <v>30</v>
      </c>
      <c r="P39" s="15" t="s">
        <v>31</v>
      </c>
      <c r="Q39" s="15" t="s">
        <v>32</v>
      </c>
      <c r="R39" s="15" t="s">
        <v>84</v>
      </c>
    </row>
    <row r="40" spans="2:18" x14ac:dyDescent="0.25">
      <c r="B40" s="9" t="s">
        <v>14</v>
      </c>
      <c r="C40" s="10">
        <f>SUM(C41:C43)</f>
        <v>345.29411667459004</v>
      </c>
      <c r="D40" s="10">
        <f t="shared" ref="D40:E40" si="17">SUM(D41:D43)</f>
        <v>345.29411667459004</v>
      </c>
      <c r="E40" s="10">
        <f t="shared" si="17"/>
        <v>345.29411667459004</v>
      </c>
      <c r="F40" s="10">
        <f t="shared" ref="F40" si="18">SUM(F41:F43)</f>
        <v>345.29411667459004</v>
      </c>
      <c r="G40" s="10">
        <f t="shared" ref="G40" si="19">SUM(G41:G43)</f>
        <v>345.29411667459004</v>
      </c>
      <c r="H40" s="10">
        <f t="shared" ref="H40" si="20">SUM(H41:H43)</f>
        <v>345.29411667459004</v>
      </c>
      <c r="I40" s="10">
        <f t="shared" ref="I40" si="21">SUM(I41:I43)</f>
        <v>345.29411667459004</v>
      </c>
      <c r="J40" s="10">
        <f t="shared" ref="J40" si="22">SUM(J41:J43)</f>
        <v>345.29411667459004</v>
      </c>
      <c r="K40" s="10">
        <f t="shared" ref="K40" si="23">SUM(K41:K43)</f>
        <v>345.29411667459004</v>
      </c>
      <c r="L40" s="10">
        <f t="shared" ref="L40" si="24">SUM(L41:L43)</f>
        <v>345.29411667459004</v>
      </c>
      <c r="M40" s="10">
        <f t="shared" ref="M40" si="25">SUM(M41:M43)</f>
        <v>345.29411667459004</v>
      </c>
      <c r="N40" s="10">
        <f t="shared" ref="N40" si="26">SUM(N41:N43)</f>
        <v>345.29411667459004</v>
      </c>
      <c r="O40" s="10">
        <f t="shared" ref="O40" si="27">SUM(O41:O43)</f>
        <v>345.29411667459004</v>
      </c>
      <c r="P40" s="10">
        <f t="shared" ref="P40" si="28">SUM(P41:P43)</f>
        <v>345.29411667459004</v>
      </c>
      <c r="Q40" s="10">
        <f t="shared" ref="Q40" si="29">SUM(Q41:Q43)</f>
        <v>345.29411667459004</v>
      </c>
      <c r="R40" s="10">
        <f t="shared" ref="R40" si="30">SUM(R41:R43)</f>
        <v>345.29411667459004</v>
      </c>
    </row>
    <row r="41" spans="2:18" x14ac:dyDescent="0.25">
      <c r="B41" s="3" t="s">
        <v>71</v>
      </c>
      <c r="C41" s="4">
        <f>'[1]Reajuste Energia'!$C$7</f>
        <v>200.8044392552352</v>
      </c>
      <c r="D41" s="4">
        <f>'[1]Reajuste Energia'!$C$7</f>
        <v>200.8044392552352</v>
      </c>
      <c r="E41" s="4">
        <f>'[1]Reajuste Energia'!$C$7</f>
        <v>200.8044392552352</v>
      </c>
      <c r="F41" s="84">
        <f>'[1]Reajuste Energia'!$C$7</f>
        <v>200.8044392552352</v>
      </c>
      <c r="G41" s="4">
        <f>'[1]Reajuste Energia'!$C$7</f>
        <v>200.8044392552352</v>
      </c>
      <c r="H41" s="4">
        <f>'[1]Reajuste Energia'!$C$7</f>
        <v>200.8044392552352</v>
      </c>
      <c r="I41" s="4">
        <f>'[1]Reajuste Energia'!$C$7</f>
        <v>200.8044392552352</v>
      </c>
      <c r="J41" s="84">
        <f>'[1]Reajuste Energia'!$C$7</f>
        <v>200.8044392552352</v>
      </c>
      <c r="K41" s="4">
        <f>'[1]Reajuste Energia'!$C$7</f>
        <v>200.8044392552352</v>
      </c>
      <c r="L41" s="4">
        <f>'[1]Reajuste Energia'!$C$7</f>
        <v>200.8044392552352</v>
      </c>
      <c r="M41" s="4">
        <f>'[1]Reajuste Energia'!$C$7</f>
        <v>200.8044392552352</v>
      </c>
      <c r="N41" s="84">
        <f>'[1]Reajuste Energia'!$C$7</f>
        <v>200.8044392552352</v>
      </c>
      <c r="O41" s="4">
        <f>'[1]Reajuste Energia'!$C$7</f>
        <v>200.8044392552352</v>
      </c>
      <c r="P41" s="4">
        <f>'[1]Reajuste Energia'!$C$7</f>
        <v>200.8044392552352</v>
      </c>
      <c r="Q41" s="4">
        <f>'[1]Reajuste Energia'!$C$7</f>
        <v>200.8044392552352</v>
      </c>
      <c r="R41" s="84">
        <f>'[1]Reajuste Energia'!$C$7</f>
        <v>200.8044392552352</v>
      </c>
    </row>
    <row r="42" spans="2:18" x14ac:dyDescent="0.25">
      <c r="B42" s="3" t="s">
        <v>7</v>
      </c>
      <c r="C42" s="4">
        <v>91.509677419354844</v>
      </c>
      <c r="D42" s="4">
        <v>91.509677419354844</v>
      </c>
      <c r="E42" s="4">
        <v>91.509677419354844</v>
      </c>
      <c r="F42" s="84">
        <v>91.509677419354844</v>
      </c>
      <c r="G42" s="4">
        <v>91.509677419354844</v>
      </c>
      <c r="H42" s="4">
        <v>91.509677419354844</v>
      </c>
      <c r="I42" s="4">
        <v>91.509677419354844</v>
      </c>
      <c r="J42" s="84">
        <v>91.509677419354844</v>
      </c>
      <c r="K42" s="4">
        <v>91.509677419354844</v>
      </c>
      <c r="L42" s="4">
        <v>91.509677419354844</v>
      </c>
      <c r="M42" s="4">
        <v>91.509677419354844</v>
      </c>
      <c r="N42" s="84">
        <v>91.509677419354844</v>
      </c>
      <c r="O42" s="4">
        <v>91.509677419354844</v>
      </c>
      <c r="P42" s="4">
        <v>91.509677419354844</v>
      </c>
      <c r="Q42" s="4">
        <v>91.509677419354844</v>
      </c>
      <c r="R42" s="84">
        <v>91.509677419354844</v>
      </c>
    </row>
    <row r="43" spans="2:18" x14ac:dyDescent="0.25">
      <c r="B43" s="3" t="s">
        <v>15</v>
      </c>
      <c r="C43" s="5">
        <v>52.98</v>
      </c>
      <c r="D43" s="5">
        <v>52.98</v>
      </c>
      <c r="E43" s="5">
        <v>52.98</v>
      </c>
      <c r="F43" s="86">
        <v>52.98</v>
      </c>
      <c r="G43" s="5">
        <v>52.98</v>
      </c>
      <c r="H43" s="5">
        <v>52.98</v>
      </c>
      <c r="I43" s="5">
        <v>52.98</v>
      </c>
      <c r="J43" s="86">
        <v>52.98</v>
      </c>
      <c r="K43" s="5">
        <v>52.98</v>
      </c>
      <c r="L43" s="5">
        <v>52.98</v>
      </c>
      <c r="M43" s="5">
        <v>52.98</v>
      </c>
      <c r="N43" s="86">
        <v>52.98</v>
      </c>
      <c r="O43" s="5">
        <v>52.98</v>
      </c>
      <c r="P43" s="5">
        <v>52.98</v>
      </c>
      <c r="Q43" s="5">
        <v>52.98</v>
      </c>
      <c r="R43" s="86">
        <v>52.98</v>
      </c>
    </row>
    <row r="45" spans="2:18" x14ac:dyDescent="0.25">
      <c r="B45" s="11" t="s">
        <v>16</v>
      </c>
      <c r="C45" s="10">
        <f>'[1]Reajuste Energia'!$C$6</f>
        <v>221.27210937216</v>
      </c>
      <c r="D45" s="10">
        <f>'[1]Reajuste Energia'!$C$6</f>
        <v>221.27210937216</v>
      </c>
      <c r="E45" s="10">
        <f>'[1]Reajuste Energia'!$C$6</f>
        <v>221.27210937216</v>
      </c>
      <c r="F45" s="10">
        <f>'[1]Reajuste Energia'!$C$6</f>
        <v>221.27210937216</v>
      </c>
      <c r="G45" s="10">
        <f>'[1]Reajuste Energia'!$C$6</f>
        <v>221.27210937216</v>
      </c>
      <c r="H45" s="10">
        <f>'[1]Reajuste Energia'!$C$6</f>
        <v>221.27210937216</v>
      </c>
      <c r="I45" s="10">
        <f>'[1]Reajuste Energia'!$C$6</f>
        <v>221.27210937216</v>
      </c>
      <c r="J45" s="10">
        <f>'[1]Reajuste Energia'!$C$6</f>
        <v>221.27210937216</v>
      </c>
      <c r="K45" s="10">
        <f>'[1]Reajuste Energia'!$C$6</f>
        <v>221.27210937216</v>
      </c>
      <c r="L45" s="10">
        <f>'[1]Reajuste Energia'!$C$6</f>
        <v>221.27210937216</v>
      </c>
      <c r="M45" s="10">
        <f>'[1]Reajuste Energia'!$C$6</f>
        <v>221.27210937216</v>
      </c>
      <c r="N45" s="10">
        <f>'[1]Reajuste Energia'!$C$6</f>
        <v>221.27210937216</v>
      </c>
      <c r="O45" s="10">
        <f>'[1]Reajuste Energia'!$C$6</f>
        <v>221.27210937216</v>
      </c>
      <c r="P45" s="10">
        <f>'[1]Reajuste Energia'!$C$6</f>
        <v>221.27210937216</v>
      </c>
      <c r="Q45" s="10">
        <f>'[1]Reajuste Energia'!$C$6</f>
        <v>221.27210937216</v>
      </c>
      <c r="R45" s="10">
        <f>'[1]Reajuste Energia'!$C$6</f>
        <v>221.27210937216</v>
      </c>
    </row>
    <row r="47" spans="2:18" x14ac:dyDescent="0.25">
      <c r="B47" s="94" t="s">
        <v>17</v>
      </c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</row>
    <row r="48" spans="2:18" x14ac:dyDescent="0.25">
      <c r="B48" s="6"/>
      <c r="C48" s="15" t="s">
        <v>21</v>
      </c>
      <c r="D48" s="15" t="s">
        <v>22</v>
      </c>
      <c r="E48" s="15" t="s">
        <v>23</v>
      </c>
      <c r="F48" s="15" t="s">
        <v>81</v>
      </c>
      <c r="G48" s="15" t="s">
        <v>24</v>
      </c>
      <c r="H48" s="15" t="s">
        <v>25</v>
      </c>
      <c r="I48" s="15" t="s">
        <v>26</v>
      </c>
      <c r="J48" s="15" t="s">
        <v>82</v>
      </c>
      <c r="K48" s="15" t="s">
        <v>27</v>
      </c>
      <c r="L48" s="15" t="s">
        <v>28</v>
      </c>
      <c r="M48" s="15" t="s">
        <v>29</v>
      </c>
      <c r="N48" s="15" t="s">
        <v>83</v>
      </c>
      <c r="O48" s="15" t="s">
        <v>30</v>
      </c>
      <c r="P48" s="15" t="s">
        <v>31</v>
      </c>
      <c r="Q48" s="15" t="s">
        <v>32</v>
      </c>
      <c r="R48" s="15" t="s">
        <v>84</v>
      </c>
    </row>
    <row r="49" spans="2:18" x14ac:dyDescent="0.25">
      <c r="B49" s="11" t="s">
        <v>18</v>
      </c>
      <c r="C49" s="10">
        <f>SUM(C50:C56)</f>
        <v>148.41765763798722</v>
      </c>
      <c r="D49" s="10">
        <f t="shared" ref="D49:E49" si="31">SUM(D50:D56)</f>
        <v>150.86293502393232</v>
      </c>
      <c r="E49" s="10">
        <f t="shared" si="31"/>
        <v>148.39037398105276</v>
      </c>
      <c r="F49" s="10">
        <f t="shared" ref="F49" si="32">SUM(F50:F56)</f>
        <v>149.30353806577091</v>
      </c>
      <c r="G49" s="10">
        <f t="shared" ref="G49" si="33">SUM(G50:G56)</f>
        <v>149.15943447066428</v>
      </c>
      <c r="H49" s="10">
        <f t="shared" ref="H49" si="34">SUM(H50:H56)</f>
        <v>148.39011172916611</v>
      </c>
      <c r="I49" s="10">
        <f t="shared" ref="I49" si="35">SUM(I50:I56)</f>
        <v>149.15998942389348</v>
      </c>
      <c r="J49" s="10">
        <f t="shared" ref="J49" si="36">SUM(J50:J56)</f>
        <v>149.0290753057439</v>
      </c>
      <c r="K49" s="10">
        <f t="shared" ref="K49" si="37">SUM(K50:K56)</f>
        <v>151.55249403010976</v>
      </c>
      <c r="L49" s="10">
        <f t="shared" ref="L49" si="38">SUM(L50:L56)</f>
        <v>151.9163505005273</v>
      </c>
      <c r="M49" s="10">
        <f t="shared" ref="M49" si="39">SUM(M50:M56)</f>
        <v>152.73718803607557</v>
      </c>
      <c r="N49" s="10">
        <f t="shared" ref="N49" si="40">SUM(N50:N56)</f>
        <v>152.2003535464541</v>
      </c>
      <c r="O49" s="10">
        <f t="shared" ref="O49" si="41">SUM(O50:O56)</f>
        <v>152.91580051658053</v>
      </c>
      <c r="P49" s="10">
        <f t="shared" ref="P49" si="42">SUM(P50:P56)</f>
        <v>153.73718803607557</v>
      </c>
      <c r="Q49" s="10">
        <f t="shared" ref="Q49" si="43">SUM(Q50:Q56)</f>
        <v>152.91552757596997</v>
      </c>
      <c r="R49" s="10">
        <f t="shared" ref="R49" si="44">SUM(R50:R56)</f>
        <v>153.3196126243858</v>
      </c>
    </row>
    <row r="50" spans="2:18" x14ac:dyDescent="0.25">
      <c r="B50" s="12" t="s">
        <v>71</v>
      </c>
      <c r="C50" s="4">
        <v>68.52</v>
      </c>
      <c r="D50" s="4">
        <v>68.52</v>
      </c>
      <c r="E50" s="4">
        <v>68.52</v>
      </c>
      <c r="F50" s="84">
        <v>68.52</v>
      </c>
      <c r="G50" s="4">
        <v>68.52</v>
      </c>
      <c r="H50" s="4">
        <v>68.52</v>
      </c>
      <c r="I50" s="4">
        <v>68.52</v>
      </c>
      <c r="J50" s="84">
        <v>68.52</v>
      </c>
      <c r="K50" s="4">
        <v>70.5</v>
      </c>
      <c r="L50" s="4">
        <v>70.5</v>
      </c>
      <c r="M50" s="4">
        <v>70.5</v>
      </c>
      <c r="N50" s="84">
        <v>70.5</v>
      </c>
      <c r="O50" s="4">
        <v>71.5</v>
      </c>
      <c r="P50" s="4">
        <v>71.5</v>
      </c>
      <c r="Q50" s="4">
        <v>71.5</v>
      </c>
      <c r="R50" s="84">
        <v>71.5</v>
      </c>
    </row>
    <row r="51" spans="2:18" x14ac:dyDescent="0.25">
      <c r="B51" s="3" t="s">
        <v>7</v>
      </c>
      <c r="C51" s="4">
        <v>22.994081422201564</v>
      </c>
      <c r="D51" s="4">
        <v>25.457733003151734</v>
      </c>
      <c r="E51" s="4">
        <v>22.994081422201564</v>
      </c>
      <c r="F51" s="84">
        <v>23.892188203511932</v>
      </c>
      <c r="G51" s="4">
        <v>23.760550802941619</v>
      </c>
      <c r="H51" s="4">
        <v>22.994081422201564</v>
      </c>
      <c r="I51" s="4">
        <v>23.760550802941619</v>
      </c>
      <c r="J51" s="84">
        <v>23.629636684792022</v>
      </c>
      <c r="K51" s="4">
        <v>24.171378391018283</v>
      </c>
      <c r="L51" s="4">
        <v>24.534684877489067</v>
      </c>
      <c r="M51" s="4">
        <v>25.352507706738702</v>
      </c>
      <c r="N51" s="84">
        <v>24.815673217117237</v>
      </c>
      <c r="O51" s="4">
        <v>24.534684877489067</v>
      </c>
      <c r="P51" s="4">
        <v>25.352507706738702</v>
      </c>
      <c r="Q51" s="4">
        <v>24.534684877489067</v>
      </c>
      <c r="R51" s="85">
        <v>24.938769925904896</v>
      </c>
    </row>
    <row r="52" spans="2:18" x14ac:dyDescent="0.25">
      <c r="B52" s="3" t="s">
        <v>8</v>
      </c>
      <c r="C52" s="4">
        <v>0.13222635352669773</v>
      </c>
      <c r="D52" s="4">
        <v>0.11385215852164253</v>
      </c>
      <c r="E52" s="4">
        <v>0.10494269659224656</v>
      </c>
      <c r="F52" s="84">
        <v>0.12</v>
      </c>
      <c r="G52" s="4">
        <v>0.10753380546372369</v>
      </c>
      <c r="H52" s="4">
        <v>0.10468044470559999</v>
      </c>
      <c r="I52" s="4">
        <v>0.1080887586929123</v>
      </c>
      <c r="J52" s="84">
        <v>0.1080887586929123</v>
      </c>
      <c r="K52" s="4">
        <v>0.10976577683250888</v>
      </c>
      <c r="L52" s="4">
        <v>0.11031576077926242</v>
      </c>
      <c r="M52" s="4">
        <v>0.11333046707792059</v>
      </c>
      <c r="N52" s="84">
        <v>0.11333046707792059</v>
      </c>
      <c r="O52" s="4">
        <v>0.10976577683250888</v>
      </c>
      <c r="P52" s="4">
        <v>0.11333046707792059</v>
      </c>
      <c r="Q52" s="4">
        <v>0.10949283622193248</v>
      </c>
      <c r="R52" s="85">
        <v>0.10949283622193248</v>
      </c>
    </row>
    <row r="53" spans="2:18" x14ac:dyDescent="0.25">
      <c r="B53" s="3" t="s">
        <v>9</v>
      </c>
      <c r="C53" s="4">
        <v>26.038567493112946</v>
      </c>
      <c r="D53" s="4">
        <v>26.038567493112946</v>
      </c>
      <c r="E53" s="4">
        <v>26.038567493112946</v>
      </c>
      <c r="F53" s="84">
        <v>26.038567493112946</v>
      </c>
      <c r="G53" s="4">
        <v>26.038567493112946</v>
      </c>
      <c r="H53" s="4">
        <v>26.038567493112946</v>
      </c>
      <c r="I53" s="4">
        <v>26.038567493112946</v>
      </c>
      <c r="J53" s="84">
        <v>26.038567493112946</v>
      </c>
      <c r="K53" s="4">
        <v>26.038567493112946</v>
      </c>
      <c r="L53" s="4">
        <v>26.038567493112946</v>
      </c>
      <c r="M53" s="4">
        <v>26.038567493112946</v>
      </c>
      <c r="N53" s="84">
        <v>26.038567493112946</v>
      </c>
      <c r="O53" s="4">
        <v>26.038567493112946</v>
      </c>
      <c r="P53" s="4">
        <v>26.038567493112946</v>
      </c>
      <c r="Q53" s="4">
        <v>26.038567493112946</v>
      </c>
      <c r="R53" s="85">
        <v>26.038567493112946</v>
      </c>
    </row>
    <row r="54" spans="2:18" x14ac:dyDescent="0.25">
      <c r="B54" s="3" t="s">
        <v>10</v>
      </c>
      <c r="C54" s="4">
        <v>8.9917355371900829</v>
      </c>
      <c r="D54" s="4">
        <v>8.9917355371900829</v>
      </c>
      <c r="E54" s="4">
        <v>8.9917355371900829</v>
      </c>
      <c r="F54" s="84">
        <v>8.9917355371900829</v>
      </c>
      <c r="G54" s="4">
        <v>8.9917355371900829</v>
      </c>
      <c r="H54" s="4">
        <v>8.9917355371900829</v>
      </c>
      <c r="I54" s="4">
        <v>8.9917355371900829</v>
      </c>
      <c r="J54" s="84">
        <v>8.9917355371900829</v>
      </c>
      <c r="K54" s="4">
        <v>8.9917355371900829</v>
      </c>
      <c r="L54" s="4">
        <v>8.9917355371900829</v>
      </c>
      <c r="M54" s="4">
        <v>8.9917355371900829</v>
      </c>
      <c r="N54" s="84">
        <v>8.9917355371900829</v>
      </c>
      <c r="O54" s="4">
        <v>8.9917355371900829</v>
      </c>
      <c r="P54" s="4">
        <v>8.9917355371900829</v>
      </c>
      <c r="Q54" s="4">
        <v>8.9917355371900829</v>
      </c>
      <c r="R54" s="85">
        <v>8.9917355371900829</v>
      </c>
    </row>
    <row r="55" spans="2:18" x14ac:dyDescent="0.25">
      <c r="B55" s="3" t="s">
        <v>79</v>
      </c>
      <c r="C55" s="4">
        <v>0.53994490358126723</v>
      </c>
      <c r="D55" s="4">
        <v>0.53994490358126723</v>
      </c>
      <c r="E55" s="4">
        <v>0.53994490358126723</v>
      </c>
      <c r="F55" s="84">
        <v>0.53994490358126723</v>
      </c>
      <c r="G55" s="4">
        <v>0.53994490358126723</v>
      </c>
      <c r="H55" s="4">
        <v>0.53994490358126723</v>
      </c>
      <c r="I55" s="4">
        <v>0.53994490358126723</v>
      </c>
      <c r="J55" s="84">
        <v>0.53994490358126723</v>
      </c>
      <c r="K55" s="4">
        <v>0.53994490358126723</v>
      </c>
      <c r="L55" s="4">
        <v>0.53994490358126723</v>
      </c>
      <c r="M55" s="4">
        <v>0.53994490358126723</v>
      </c>
      <c r="N55" s="84">
        <v>0.53994490358126723</v>
      </c>
      <c r="O55" s="4">
        <v>0.53994490358126723</v>
      </c>
      <c r="P55" s="4">
        <v>0.53994490358126723</v>
      </c>
      <c r="Q55" s="4">
        <v>0.53994490358126723</v>
      </c>
      <c r="R55" s="85">
        <v>0.53994490358126723</v>
      </c>
    </row>
    <row r="56" spans="2:18" x14ac:dyDescent="0.25">
      <c r="B56" s="77" t="s">
        <v>80</v>
      </c>
      <c r="C56" s="4">
        <v>21.201101928374655</v>
      </c>
      <c r="D56" s="4">
        <v>21.201101928374655</v>
      </c>
      <c r="E56" s="4">
        <v>21.201101928374655</v>
      </c>
      <c r="F56" s="84">
        <v>21.201101928374655</v>
      </c>
      <c r="G56" s="4">
        <v>21.201101928374655</v>
      </c>
      <c r="H56" s="4">
        <v>21.201101928374655</v>
      </c>
      <c r="I56" s="4">
        <v>21.201101928374655</v>
      </c>
      <c r="J56" s="84">
        <v>21.201101928374655</v>
      </c>
      <c r="K56" s="4">
        <v>21.201101928374655</v>
      </c>
      <c r="L56" s="4">
        <v>21.201101928374655</v>
      </c>
      <c r="M56" s="4">
        <v>21.201101928374655</v>
      </c>
      <c r="N56" s="84">
        <v>21.201101928374655</v>
      </c>
      <c r="O56" s="4">
        <v>21.201101928374655</v>
      </c>
      <c r="P56" s="4">
        <v>21.201101928374655</v>
      </c>
      <c r="Q56" s="4">
        <v>21.201101928374655</v>
      </c>
      <c r="R56" s="85">
        <v>21.201101928374655</v>
      </c>
    </row>
    <row r="58" spans="2:18" x14ac:dyDescent="0.25">
      <c r="B58" s="11" t="s">
        <v>19</v>
      </c>
      <c r="C58" s="10">
        <v>68.52</v>
      </c>
      <c r="D58" s="10">
        <v>68.52</v>
      </c>
      <c r="E58" s="10">
        <v>68.52</v>
      </c>
      <c r="F58" s="10">
        <v>68.52</v>
      </c>
      <c r="G58" s="10">
        <v>68.52</v>
      </c>
      <c r="H58" s="10">
        <v>68.52</v>
      </c>
      <c r="I58" s="10">
        <v>68.52</v>
      </c>
      <c r="J58" s="10">
        <v>68.52</v>
      </c>
      <c r="K58" s="10">
        <v>70.5</v>
      </c>
      <c r="L58" s="10">
        <v>70.5</v>
      </c>
      <c r="M58" s="10">
        <v>70.5</v>
      </c>
      <c r="N58" s="10">
        <v>70.5</v>
      </c>
      <c r="O58" s="10">
        <v>71.5</v>
      </c>
      <c r="P58" s="10">
        <v>71.5</v>
      </c>
      <c r="Q58" s="10">
        <v>71.5</v>
      </c>
      <c r="R58" s="10">
        <v>71.5</v>
      </c>
    </row>
  </sheetData>
  <mergeCells count="4">
    <mergeCell ref="B2:R2"/>
    <mergeCell ref="B15:R15"/>
    <mergeCell ref="B38:R38"/>
    <mergeCell ref="B47:R4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8"/>
  <sheetViews>
    <sheetView tabSelected="1" zoomScale="115" zoomScaleNormal="115" workbookViewId="0">
      <selection activeCell="O23" sqref="O23"/>
    </sheetView>
  </sheetViews>
  <sheetFormatPr defaultRowHeight="14.3" x14ac:dyDescent="0.25"/>
  <cols>
    <col min="2" max="2" width="33" bestFit="1" customWidth="1"/>
    <col min="3" max="11" width="0" hidden="1" customWidth="1"/>
  </cols>
  <sheetData>
    <row r="2" spans="2:14" ht="14.45" x14ac:dyDescent="0.35">
      <c r="B2" s="96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2:14" ht="14.45" x14ac:dyDescent="0.35">
      <c r="B3" s="3"/>
      <c r="C3" s="15" t="s">
        <v>21</v>
      </c>
      <c r="D3" s="15" t="s">
        <v>22</v>
      </c>
      <c r="E3" s="15" t="s">
        <v>23</v>
      </c>
      <c r="F3" s="15" t="s">
        <v>24</v>
      </c>
      <c r="G3" s="15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5" t="s">
        <v>30</v>
      </c>
      <c r="M3" s="15" t="s">
        <v>31</v>
      </c>
      <c r="N3" s="15" t="s">
        <v>32</v>
      </c>
    </row>
    <row r="4" spans="2:14" ht="14.45" x14ac:dyDescent="0.35">
      <c r="B4" s="7" t="s">
        <v>1</v>
      </c>
      <c r="C4" s="67">
        <f>'Volumes Ajustados'!D25</f>
        <v>82.988247296816738</v>
      </c>
      <c r="D4" s="67">
        <f>'Volumes Ajustados'!E25</f>
        <v>82.988247296816738</v>
      </c>
      <c r="E4" s="67">
        <f>'Volumes Ajustados'!F25</f>
        <v>82.988247296816738</v>
      </c>
      <c r="F4" s="67">
        <f>'Volumes Ajustados'!G25</f>
        <v>82.988247296816738</v>
      </c>
      <c r="G4" s="67">
        <f>'Volumes Ajustados'!H25</f>
        <v>82.988247296816738</v>
      </c>
      <c r="H4" s="67">
        <f>'Volumes Ajustados'!I25</f>
        <v>82.988247296816738</v>
      </c>
      <c r="I4" s="67">
        <f>'Volumes Ajustados'!J25</f>
        <v>82.988247296816738</v>
      </c>
      <c r="J4" s="67">
        <f>'Volumes Ajustados'!K25</f>
        <v>82.988247296816738</v>
      </c>
      <c r="K4" s="67">
        <f>'Volumes Ajustados'!L25</f>
        <v>82.988247296816738</v>
      </c>
      <c r="L4" s="67">
        <f>'Volumes Ajustados'!M25</f>
        <v>82.988247296816738</v>
      </c>
      <c r="M4" s="67">
        <f>'Volumes Ajustados'!N25</f>
        <v>82.988247296816738</v>
      </c>
      <c r="N4" s="67">
        <f>'Volumes Ajustados'!O25</f>
        <v>82.988247296816738</v>
      </c>
    </row>
    <row r="5" spans="2:14" ht="14.45" x14ac:dyDescent="0.35">
      <c r="B5" s="7" t="s">
        <v>39</v>
      </c>
      <c r="C5" s="66">
        <f>'Volumes Ajustados'!D26</f>
        <v>101.43008002944266</v>
      </c>
      <c r="D5" s="66">
        <f>'Volumes Ajustados'!E26</f>
        <v>101.43008002944269</v>
      </c>
      <c r="E5" s="66">
        <f>'Volumes Ajustados'!F26</f>
        <v>101.43008002944266</v>
      </c>
      <c r="F5" s="66">
        <f>'Volumes Ajustados'!G26</f>
        <v>101.43008002944268</v>
      </c>
      <c r="G5" s="66">
        <f>'Volumes Ajustados'!H26</f>
        <v>101.43008002944266</v>
      </c>
      <c r="H5" s="66">
        <f>'Volumes Ajustados'!I26</f>
        <v>101.43008002944268</v>
      </c>
      <c r="I5" s="66">
        <f>'Volumes Ajustados'!J26</f>
        <v>101.43008002944266</v>
      </c>
      <c r="J5" s="66">
        <f>'Volumes Ajustados'!K26</f>
        <v>101.43008002944266</v>
      </c>
      <c r="K5" s="66">
        <f>'Volumes Ajustados'!L26</f>
        <v>101.43008002944268</v>
      </c>
      <c r="L5" s="66">
        <f>'Volumes Ajustados'!M26</f>
        <v>109.36006810447184</v>
      </c>
      <c r="M5" s="66">
        <f>'Volumes Ajustados'!N26</f>
        <v>109.36006810447184</v>
      </c>
      <c r="N5" s="66">
        <f>'Volumes Ajustados'!O26</f>
        <v>109.36006810447184</v>
      </c>
    </row>
    <row r="6" spans="2:14" x14ac:dyDescent="0.25">
      <c r="B6" s="3" t="s">
        <v>20</v>
      </c>
      <c r="C6" s="67">
        <f>'Energia Aux - Min'!C11</f>
        <v>4.5123203668564207</v>
      </c>
      <c r="D6" s="67">
        <f>'Energia Aux - Min'!D11</f>
        <v>4.8235148749154835</v>
      </c>
      <c r="E6" s="67">
        <f>'Energia Aux - Min'!E11</f>
        <v>4.5123203668564207</v>
      </c>
      <c r="F6" s="67">
        <f>'Energia Aux - Min'!F11</f>
        <v>4.6627310457516344</v>
      </c>
      <c r="G6" s="67">
        <f>'Energia Aux - Min'!G11</f>
        <v>4.5123203668564207</v>
      </c>
      <c r="H6" s="67">
        <f>'Energia Aux - Min'!H11</f>
        <v>4.6627310457516344</v>
      </c>
      <c r="I6" s="67">
        <f>'Energia Aux - Min'!I11</f>
        <v>4.5123203668564207</v>
      </c>
      <c r="J6" s="67">
        <f>'Energia Aux - Min'!J11</f>
        <v>4.5123203668564207</v>
      </c>
      <c r="K6" s="67">
        <f>'Energia Aux - Min'!K11</f>
        <v>4.6627310457516344</v>
      </c>
      <c r="L6" s="67">
        <f>'Energia Aux - Min'!L11</f>
        <v>4.5123203668564207</v>
      </c>
      <c r="M6" s="67">
        <f>'Energia Aux - Min'!M11</f>
        <v>4.6627310457516344</v>
      </c>
      <c r="N6" s="67">
        <f>'Energia Aux - Min'!N11</f>
        <v>4.5123203668564207</v>
      </c>
    </row>
    <row r="7" spans="2:14" ht="14.45" x14ac:dyDescent="0.35">
      <c r="B7" s="3" t="s">
        <v>2</v>
      </c>
      <c r="C7" s="67">
        <v>200</v>
      </c>
      <c r="D7" s="67">
        <v>200</v>
      </c>
      <c r="E7" s="67">
        <v>200</v>
      </c>
      <c r="F7" s="67">
        <v>200</v>
      </c>
      <c r="G7" s="67">
        <v>200</v>
      </c>
      <c r="H7" s="67">
        <v>200</v>
      </c>
      <c r="I7" s="67">
        <v>200</v>
      </c>
      <c r="J7" s="67">
        <v>200</v>
      </c>
      <c r="K7" s="67">
        <v>200</v>
      </c>
      <c r="L7" s="67">
        <f>SUM(Plan1!D4:D6)</f>
        <v>118.6</v>
      </c>
      <c r="M7" s="67">
        <f>SUM(Plan1!E4:E6)</f>
        <v>118.6</v>
      </c>
      <c r="N7" s="67">
        <f>SUM(Plan1!F4:F6)</f>
        <v>118.6</v>
      </c>
    </row>
    <row r="8" spans="2:14" x14ac:dyDescent="0.25">
      <c r="B8" s="3" t="s">
        <v>40</v>
      </c>
      <c r="C8" s="6">
        <v>5</v>
      </c>
      <c r="D8" s="6">
        <v>5</v>
      </c>
      <c r="E8" s="6">
        <v>5</v>
      </c>
      <c r="F8" s="6">
        <v>5</v>
      </c>
      <c r="G8" s="6">
        <v>5</v>
      </c>
      <c r="H8" s="6">
        <v>5</v>
      </c>
      <c r="I8" s="6">
        <v>5</v>
      </c>
      <c r="J8" s="6">
        <v>5</v>
      </c>
      <c r="K8" s="6">
        <v>5</v>
      </c>
      <c r="L8" s="6">
        <v>5</v>
      </c>
      <c r="M8" s="6">
        <v>5</v>
      </c>
      <c r="N8" s="6">
        <v>5</v>
      </c>
    </row>
    <row r="9" spans="2:14" ht="14.45" x14ac:dyDescent="0.35">
      <c r="B9" s="1"/>
      <c r="C9" s="2"/>
      <c r="D9" s="2"/>
      <c r="E9" s="2"/>
      <c r="F9" s="2"/>
    </row>
    <row r="10" spans="2:14" ht="14.45" x14ac:dyDescent="0.35">
      <c r="B10" s="13" t="s">
        <v>3</v>
      </c>
      <c r="C10" s="14">
        <f>C11+C12</f>
        <v>744</v>
      </c>
      <c r="D10" s="14">
        <f t="shared" ref="D10:N10" si="0">D11+D12</f>
        <v>696</v>
      </c>
      <c r="E10" s="14">
        <f t="shared" si="0"/>
        <v>744</v>
      </c>
      <c r="F10" s="14">
        <f t="shared" si="0"/>
        <v>720</v>
      </c>
      <c r="G10" s="14">
        <f t="shared" si="0"/>
        <v>744</v>
      </c>
      <c r="H10" s="14">
        <f t="shared" si="0"/>
        <v>720</v>
      </c>
      <c r="I10" s="14">
        <f t="shared" si="0"/>
        <v>744</v>
      </c>
      <c r="J10" s="14">
        <f t="shared" si="0"/>
        <v>744</v>
      </c>
      <c r="K10" s="14">
        <f t="shared" si="0"/>
        <v>720</v>
      </c>
      <c r="L10" s="14">
        <f t="shared" si="0"/>
        <v>744</v>
      </c>
      <c r="M10" s="14">
        <f t="shared" si="0"/>
        <v>720</v>
      </c>
      <c r="N10" s="14">
        <f t="shared" si="0"/>
        <v>744</v>
      </c>
    </row>
    <row r="11" spans="2:14" ht="14.45" x14ac:dyDescent="0.35">
      <c r="B11" s="8" t="s">
        <v>4</v>
      </c>
      <c r="C11" s="6">
        <v>678</v>
      </c>
      <c r="D11" s="6">
        <v>636</v>
      </c>
      <c r="E11" s="6">
        <v>684</v>
      </c>
      <c r="F11" s="6">
        <v>654</v>
      </c>
      <c r="G11" s="6">
        <v>681</v>
      </c>
      <c r="H11" s="6">
        <v>660</v>
      </c>
      <c r="I11" s="6">
        <v>675</v>
      </c>
      <c r="J11" s="6">
        <v>678</v>
      </c>
      <c r="K11" s="6">
        <v>657</v>
      </c>
      <c r="L11" s="6">
        <v>675</v>
      </c>
      <c r="M11" s="6">
        <v>660</v>
      </c>
      <c r="N11" s="6">
        <v>681</v>
      </c>
    </row>
    <row r="12" spans="2:14" ht="14.45" x14ac:dyDescent="0.35">
      <c r="B12" s="8" t="s">
        <v>5</v>
      </c>
      <c r="C12" s="6">
        <v>66</v>
      </c>
      <c r="D12" s="6">
        <v>60</v>
      </c>
      <c r="E12" s="6">
        <v>60</v>
      </c>
      <c r="F12" s="6">
        <v>66</v>
      </c>
      <c r="G12" s="6">
        <v>63</v>
      </c>
      <c r="H12" s="6">
        <v>60</v>
      </c>
      <c r="I12" s="6">
        <v>69</v>
      </c>
      <c r="J12" s="6">
        <v>66</v>
      </c>
      <c r="K12" s="6">
        <v>63</v>
      </c>
      <c r="L12" s="6">
        <v>69</v>
      </c>
      <c r="M12" s="6">
        <v>60</v>
      </c>
      <c r="N12" s="6">
        <v>63</v>
      </c>
    </row>
    <row r="13" spans="2:14" ht="14.45" x14ac:dyDescent="0.35">
      <c r="B13" s="1"/>
      <c r="C13" s="2"/>
      <c r="D13" s="2"/>
      <c r="E13" s="2"/>
      <c r="F13" s="2"/>
    </row>
    <row r="15" spans="2:14" ht="14.45" x14ac:dyDescent="0.35">
      <c r="B15" s="96" t="s">
        <v>6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</row>
    <row r="16" spans="2:14" ht="14.45" x14ac:dyDescent="0.35">
      <c r="B16" s="6"/>
      <c r="C16" s="15" t="s">
        <v>21</v>
      </c>
      <c r="D16" s="15" t="s">
        <v>22</v>
      </c>
      <c r="E16" s="15" t="s">
        <v>23</v>
      </c>
      <c r="F16" s="15" t="s">
        <v>24</v>
      </c>
      <c r="G16" s="15" t="s">
        <v>25</v>
      </c>
      <c r="H16" s="15" t="s">
        <v>26</v>
      </c>
      <c r="I16" s="15" t="s">
        <v>27</v>
      </c>
      <c r="J16" s="15" t="s">
        <v>28</v>
      </c>
      <c r="K16" s="15" t="s">
        <v>29</v>
      </c>
      <c r="L16" s="15" t="s">
        <v>30</v>
      </c>
      <c r="M16" s="15" t="s">
        <v>31</v>
      </c>
      <c r="N16" s="15" t="s">
        <v>32</v>
      </c>
    </row>
    <row r="17" spans="2:15" ht="14.45" x14ac:dyDescent="0.35">
      <c r="B17" s="11" t="s">
        <v>1</v>
      </c>
      <c r="C17" s="10">
        <f>SUM(C18:C24)</f>
        <v>155.26802548492304</v>
      </c>
      <c r="D17" s="10">
        <f t="shared" ref="D17:N17" si="1">SUM(D18:D24)</f>
        <v>157.71330287086818</v>
      </c>
      <c r="E17" s="10">
        <f t="shared" si="1"/>
        <v>155.24074182798859</v>
      </c>
      <c r="F17" s="10">
        <f t="shared" si="1"/>
        <v>156.00980231760013</v>
      </c>
      <c r="G17" s="10">
        <f t="shared" si="1"/>
        <v>155.24047957610196</v>
      </c>
      <c r="H17" s="10">
        <f t="shared" si="1"/>
        <v>156.01035727082933</v>
      </c>
      <c r="I17" s="10">
        <f t="shared" si="1"/>
        <v>156.42286187704559</v>
      </c>
      <c r="J17" s="10">
        <f t="shared" si="1"/>
        <v>156.78671834746314</v>
      </c>
      <c r="K17" s="10">
        <f t="shared" si="1"/>
        <v>157.6075558830114</v>
      </c>
      <c r="L17" s="10">
        <f t="shared" si="1"/>
        <v>151.90092091232006</v>
      </c>
      <c r="M17" s="10">
        <f t="shared" si="1"/>
        <v>136.87029661101334</v>
      </c>
      <c r="N17" s="10">
        <f t="shared" si="1"/>
        <v>137.95070513021776</v>
      </c>
    </row>
    <row r="18" spans="2:15" ht="14.45" x14ac:dyDescent="0.35">
      <c r="B18" s="12" t="s">
        <v>71</v>
      </c>
      <c r="C18" s="4">
        <v>75.370367846935821</v>
      </c>
      <c r="D18" s="4">
        <v>75.370367846935821</v>
      </c>
      <c r="E18" s="4">
        <v>75.370367846935821</v>
      </c>
      <c r="F18" s="4">
        <v>75.370367846935821</v>
      </c>
      <c r="G18" s="4">
        <v>75.370367846935821</v>
      </c>
      <c r="H18" s="4">
        <v>75.370367846935821</v>
      </c>
      <c r="I18" s="4">
        <v>75.370367846935821</v>
      </c>
      <c r="J18" s="4">
        <v>75.370367846935821</v>
      </c>
      <c r="K18" s="4">
        <v>75.370367846935821</v>
      </c>
      <c r="L18" s="4">
        <f>Plan1!D21</f>
        <v>74.396850000000001</v>
      </c>
      <c r="M18" s="4">
        <f>Plan1!E21</f>
        <v>74.396850000000001</v>
      </c>
      <c r="N18" s="4">
        <f>Plan1!F21</f>
        <v>74.396850000000001</v>
      </c>
    </row>
    <row r="19" spans="2:15" x14ac:dyDescent="0.25">
      <c r="B19" s="3" t="s">
        <v>7</v>
      </c>
      <c r="C19" s="4">
        <v>22.994081422201564</v>
      </c>
      <c r="D19" s="4">
        <v>25.457733003151734</v>
      </c>
      <c r="E19" s="4">
        <v>22.994081422201564</v>
      </c>
      <c r="F19" s="4">
        <v>23.760550802941619</v>
      </c>
      <c r="G19" s="4">
        <v>22.994081422201564</v>
      </c>
      <c r="H19" s="4">
        <v>23.760550802941619</v>
      </c>
      <c r="I19" s="4">
        <v>24.171378391018283</v>
      </c>
      <c r="J19" s="4">
        <v>24.534684877489067</v>
      </c>
      <c r="K19" s="4">
        <v>25.352507706738702</v>
      </c>
      <c r="L19" s="4">
        <v>22.058869035572826</v>
      </c>
      <c r="M19" s="4">
        <v>23.175268816547884</v>
      </c>
      <c r="N19" s="4">
        <v>22.649172650034046</v>
      </c>
    </row>
    <row r="20" spans="2:15" x14ac:dyDescent="0.25">
      <c r="B20" s="3" t="s">
        <v>8</v>
      </c>
      <c r="C20" s="4">
        <v>0.13222635352669773</v>
      </c>
      <c r="D20" s="4">
        <v>0.11385215852164253</v>
      </c>
      <c r="E20" s="4">
        <v>0.10494269659224656</v>
      </c>
      <c r="F20" s="4">
        <v>0.10753380546372369</v>
      </c>
      <c r="G20" s="4">
        <v>0.10468044470559999</v>
      </c>
      <c r="H20" s="4">
        <v>0.1080887586929123</v>
      </c>
      <c r="I20" s="4">
        <v>0.10976577683250888</v>
      </c>
      <c r="J20" s="4">
        <v>0.11031576077926242</v>
      </c>
      <c r="K20" s="4">
        <v>0.11333046707792059</v>
      </c>
      <c r="L20" s="4">
        <v>0.13196503934676662</v>
      </c>
      <c r="M20" s="4">
        <v>0.13636387433160801</v>
      </c>
      <c r="N20" s="4">
        <v>0.13196503934676665</v>
      </c>
    </row>
    <row r="21" spans="2:15" x14ac:dyDescent="0.25">
      <c r="B21" s="3" t="s">
        <v>9</v>
      </c>
      <c r="C21" s="4">
        <v>26.038567493112946</v>
      </c>
      <c r="D21" s="4">
        <v>26.038567493112946</v>
      </c>
      <c r="E21" s="4">
        <v>26.038567493112946</v>
      </c>
      <c r="F21" s="4">
        <v>26.038567493112946</v>
      </c>
      <c r="G21" s="4">
        <v>26.038567493112946</v>
      </c>
      <c r="H21" s="4">
        <v>26.038567493112946</v>
      </c>
      <c r="I21" s="4">
        <v>26.038567493112946</v>
      </c>
      <c r="J21" s="4">
        <v>26.038567493112946</v>
      </c>
      <c r="K21" s="4">
        <v>26.038567493112946</v>
      </c>
      <c r="L21" s="4">
        <v>20.645559298632222</v>
      </c>
      <c r="M21" s="4">
        <v>22.471030406152117</v>
      </c>
      <c r="N21" s="4">
        <v>21.838117464128636</v>
      </c>
    </row>
    <row r="22" spans="2:15" x14ac:dyDescent="0.25">
      <c r="B22" s="3" t="s">
        <v>10</v>
      </c>
      <c r="C22" s="4">
        <v>8.9917355371900829</v>
      </c>
      <c r="D22" s="4">
        <v>8.9917355371900829</v>
      </c>
      <c r="E22" s="4">
        <v>8.9917355371900829</v>
      </c>
      <c r="F22" s="4">
        <v>8.9917355371900829</v>
      </c>
      <c r="G22" s="4">
        <v>8.9917355371900829</v>
      </c>
      <c r="H22" s="4">
        <v>8.9917355371900829</v>
      </c>
      <c r="I22" s="4">
        <v>8.9917355371900829</v>
      </c>
      <c r="J22" s="4">
        <v>8.9917355371900829</v>
      </c>
      <c r="K22" s="4">
        <v>8.9917355371900829</v>
      </c>
      <c r="L22" s="4">
        <v>9.9876775387682404</v>
      </c>
      <c r="M22" s="4">
        <v>10.870783513981745</v>
      </c>
      <c r="N22" s="4">
        <v>10.56459997670831</v>
      </c>
    </row>
    <row r="23" spans="2:15" x14ac:dyDescent="0.25">
      <c r="B23" s="3" t="s">
        <v>79</v>
      </c>
      <c r="C23" s="4">
        <v>0.53994490358126723</v>
      </c>
      <c r="D23" s="4">
        <v>0.53994490358126723</v>
      </c>
      <c r="E23" s="4">
        <v>0.53994490358126723</v>
      </c>
      <c r="F23" s="4">
        <v>0.53994490358126723</v>
      </c>
      <c r="G23" s="4">
        <v>0.53994490358126723</v>
      </c>
      <c r="H23" s="4">
        <v>0.53994490358126723</v>
      </c>
      <c r="I23" s="4">
        <v>0.53994490358126723</v>
      </c>
      <c r="J23" s="4">
        <v>0.53994490358126723</v>
      </c>
      <c r="K23" s="4">
        <v>0.53994490358126723</v>
      </c>
      <c r="L23" s="4">
        <v>9.59</v>
      </c>
      <c r="M23" s="4">
        <v>5.82</v>
      </c>
      <c r="N23" s="4">
        <v>2.34</v>
      </c>
      <c r="O23" s="107"/>
    </row>
    <row r="24" spans="2:15" ht="14.45" x14ac:dyDescent="0.35">
      <c r="B24" s="3" t="s">
        <v>80</v>
      </c>
      <c r="C24" s="4">
        <v>21.201101928374655</v>
      </c>
      <c r="D24" s="4">
        <v>21.201101928374655</v>
      </c>
      <c r="E24" s="4">
        <v>21.201101928374655</v>
      </c>
      <c r="F24" s="4">
        <v>21.201101928374655</v>
      </c>
      <c r="G24" s="4">
        <v>21.201101928374655</v>
      </c>
      <c r="H24" s="4">
        <v>21.201101928374655</v>
      </c>
      <c r="I24" s="4">
        <v>21.201101928374655</v>
      </c>
      <c r="J24" s="4">
        <v>21.201101928374655</v>
      </c>
      <c r="K24" s="4">
        <v>21.201101928374655</v>
      </c>
      <c r="L24" s="4">
        <v>15.09</v>
      </c>
      <c r="M24" s="4">
        <v>0</v>
      </c>
      <c r="N24" s="4">
        <v>6.03</v>
      </c>
    </row>
    <row r="26" spans="2:15" ht="14.45" x14ac:dyDescent="0.35">
      <c r="B26" s="11" t="s">
        <v>11</v>
      </c>
      <c r="C26" s="10">
        <f>SUM(C27:C33)</f>
        <v>218.25218143308717</v>
      </c>
      <c r="D26" s="10">
        <f t="shared" ref="D26:N26" si="2">SUM(D27:D33)</f>
        <v>220.69745881903231</v>
      </c>
      <c r="E26" s="10">
        <f t="shared" si="2"/>
        <v>218.22489777615272</v>
      </c>
      <c r="F26" s="10">
        <f t="shared" si="2"/>
        <v>218.99395826576426</v>
      </c>
      <c r="G26" s="10">
        <f t="shared" si="2"/>
        <v>218.22463552426609</v>
      </c>
      <c r="H26" s="10">
        <f t="shared" si="2"/>
        <v>218.99451321899346</v>
      </c>
      <c r="I26" s="10">
        <f t="shared" si="2"/>
        <v>219.40701782520972</v>
      </c>
      <c r="J26" s="10">
        <f t="shared" si="2"/>
        <v>219.77087429562727</v>
      </c>
      <c r="K26" s="10">
        <f t="shared" si="2"/>
        <v>220.59171183117553</v>
      </c>
      <c r="L26" s="10">
        <f t="shared" si="2"/>
        <v>213.53607129174674</v>
      </c>
      <c r="M26" s="10">
        <f t="shared" si="2"/>
        <v>198.50544699043996</v>
      </c>
      <c r="N26" s="10">
        <f t="shared" si="2"/>
        <v>199.58585550964443</v>
      </c>
    </row>
    <row r="27" spans="2:15" ht="14.45" x14ac:dyDescent="0.35">
      <c r="B27" s="12" t="s">
        <v>71</v>
      </c>
      <c r="C27" s="4">
        <v>138.35452379509996</v>
      </c>
      <c r="D27" s="4">
        <v>138.35452379509996</v>
      </c>
      <c r="E27" s="4">
        <v>138.35452379509996</v>
      </c>
      <c r="F27" s="4">
        <v>138.35452379509996</v>
      </c>
      <c r="G27" s="4">
        <v>138.35452379509996</v>
      </c>
      <c r="H27" s="4">
        <v>138.35452379509996</v>
      </c>
      <c r="I27" s="4">
        <v>138.35452379509996</v>
      </c>
      <c r="J27" s="4">
        <v>138.35452379509996</v>
      </c>
      <c r="K27" s="4">
        <v>138.35452379509996</v>
      </c>
      <c r="L27" s="4">
        <f>Plan1!D30</f>
        <v>136.03200037942668</v>
      </c>
      <c r="M27" s="4">
        <f>Plan1!E30</f>
        <v>136.03200037942662</v>
      </c>
      <c r="N27" s="4">
        <f>Plan1!F30</f>
        <v>136.03200037942668</v>
      </c>
    </row>
    <row r="28" spans="2:15" x14ac:dyDescent="0.25">
      <c r="B28" s="3" t="s">
        <v>7</v>
      </c>
      <c r="C28" s="4">
        <v>22.994081422201564</v>
      </c>
      <c r="D28" s="4">
        <v>25.457733003151734</v>
      </c>
      <c r="E28" s="4">
        <v>22.994081422201564</v>
      </c>
      <c r="F28" s="4">
        <v>23.760550802941619</v>
      </c>
      <c r="G28" s="4">
        <v>22.994081422201564</v>
      </c>
      <c r="H28" s="4">
        <v>23.760550802941619</v>
      </c>
      <c r="I28" s="4">
        <v>24.171378391018283</v>
      </c>
      <c r="J28" s="4">
        <v>24.534684877489067</v>
      </c>
      <c r="K28" s="4">
        <v>25.352507706738702</v>
      </c>
      <c r="L28" s="4">
        <v>22.058869035572826</v>
      </c>
      <c r="M28" s="4">
        <v>23.175268816547884</v>
      </c>
      <c r="N28" s="4">
        <v>22.649172650034046</v>
      </c>
    </row>
    <row r="29" spans="2:15" x14ac:dyDescent="0.25">
      <c r="B29" s="3" t="s">
        <v>8</v>
      </c>
      <c r="C29" s="4">
        <v>0.13222635352669773</v>
      </c>
      <c r="D29" s="4">
        <v>0.11385215852164253</v>
      </c>
      <c r="E29" s="4">
        <v>0.10494269659224656</v>
      </c>
      <c r="F29" s="4">
        <v>0.10753380546372369</v>
      </c>
      <c r="G29" s="4">
        <v>0.10468044470559999</v>
      </c>
      <c r="H29" s="4">
        <v>0.1080887586929123</v>
      </c>
      <c r="I29" s="4">
        <v>0.10976577683250888</v>
      </c>
      <c r="J29" s="4">
        <v>0.11031576077926242</v>
      </c>
      <c r="K29" s="4">
        <v>0.11333046707792059</v>
      </c>
      <c r="L29" s="4">
        <v>0.13196503934676662</v>
      </c>
      <c r="M29" s="4">
        <v>0.13636387433160801</v>
      </c>
      <c r="N29" s="4">
        <v>0.13196503934676665</v>
      </c>
    </row>
    <row r="30" spans="2:15" x14ac:dyDescent="0.25">
      <c r="B30" s="3" t="s">
        <v>9</v>
      </c>
      <c r="C30" s="4">
        <v>26.038567493112946</v>
      </c>
      <c r="D30" s="4">
        <v>26.038567493112946</v>
      </c>
      <c r="E30" s="4">
        <v>26.038567493112946</v>
      </c>
      <c r="F30" s="4">
        <v>26.038567493112946</v>
      </c>
      <c r="G30" s="4">
        <v>26.038567493112946</v>
      </c>
      <c r="H30" s="4">
        <v>26.038567493112946</v>
      </c>
      <c r="I30" s="4">
        <v>26.038567493112946</v>
      </c>
      <c r="J30" s="4">
        <v>26.038567493112946</v>
      </c>
      <c r="K30" s="4">
        <v>26.038567493112946</v>
      </c>
      <c r="L30" s="4">
        <v>20.645559298632222</v>
      </c>
      <c r="M30" s="4">
        <v>22.471030406152117</v>
      </c>
      <c r="N30" s="4">
        <v>21.838117464128636</v>
      </c>
    </row>
    <row r="31" spans="2:15" x14ac:dyDescent="0.25">
      <c r="B31" s="3" t="s">
        <v>10</v>
      </c>
      <c r="C31" s="4">
        <v>8.9917355371900829</v>
      </c>
      <c r="D31" s="4">
        <v>8.9917355371900829</v>
      </c>
      <c r="E31" s="4">
        <v>8.9917355371900829</v>
      </c>
      <c r="F31" s="4">
        <v>8.9917355371900829</v>
      </c>
      <c r="G31" s="4">
        <v>8.9917355371900829</v>
      </c>
      <c r="H31" s="4">
        <v>8.9917355371900829</v>
      </c>
      <c r="I31" s="4">
        <v>8.9917355371900829</v>
      </c>
      <c r="J31" s="4">
        <v>8.9917355371900829</v>
      </c>
      <c r="K31" s="4">
        <v>8.9917355371900829</v>
      </c>
      <c r="L31" s="4">
        <v>9.9876775387682404</v>
      </c>
      <c r="M31" s="4">
        <v>10.870783513981745</v>
      </c>
      <c r="N31" s="4">
        <v>10.56459997670831</v>
      </c>
    </row>
    <row r="32" spans="2:15" x14ac:dyDescent="0.25">
      <c r="B32" s="3" t="s">
        <v>79</v>
      </c>
      <c r="C32" s="4">
        <v>0.53994490358126723</v>
      </c>
      <c r="D32" s="4">
        <v>0.53994490358126723</v>
      </c>
      <c r="E32" s="4">
        <v>0.53994490358126723</v>
      </c>
      <c r="F32" s="4">
        <v>0.53994490358126723</v>
      </c>
      <c r="G32" s="4">
        <v>0.53994490358126723</v>
      </c>
      <c r="H32" s="4">
        <v>0.53994490358126723</v>
      </c>
      <c r="I32" s="4">
        <v>0.53994490358126723</v>
      </c>
      <c r="J32" s="4">
        <v>0.53994490358126723</v>
      </c>
      <c r="K32" s="4">
        <v>0.53994490358126723</v>
      </c>
      <c r="L32" s="4">
        <v>9.59</v>
      </c>
      <c r="M32" s="4">
        <v>5.82</v>
      </c>
      <c r="N32" s="4">
        <v>2.34</v>
      </c>
    </row>
    <row r="33" spans="2:18" x14ac:dyDescent="0.25">
      <c r="B33" s="3" t="s">
        <v>80</v>
      </c>
      <c r="C33" s="4">
        <v>21.201101928374655</v>
      </c>
      <c r="D33" s="4">
        <v>21.201101928374655</v>
      </c>
      <c r="E33" s="4">
        <v>21.201101928374655</v>
      </c>
      <c r="F33" s="4">
        <v>21.201101928374655</v>
      </c>
      <c r="G33" s="4">
        <v>21.201101928374655</v>
      </c>
      <c r="H33" s="4">
        <v>21.201101928374655</v>
      </c>
      <c r="I33" s="4">
        <v>21.201101928374655</v>
      </c>
      <c r="J33" s="4">
        <v>21.201101928374655</v>
      </c>
      <c r="K33" s="4">
        <v>21.201101928374655</v>
      </c>
      <c r="L33" s="4">
        <v>15.09</v>
      </c>
      <c r="M33" s="4">
        <v>0</v>
      </c>
      <c r="N33" s="4">
        <v>6.03</v>
      </c>
    </row>
    <row r="35" spans="2:18" x14ac:dyDescent="0.25">
      <c r="B35" s="11" t="s">
        <v>12</v>
      </c>
      <c r="C35" s="10">
        <v>120.42414695039753</v>
      </c>
      <c r="D35" s="10">
        <v>120.42414695039753</v>
      </c>
      <c r="E35" s="10">
        <v>120.42414695039753</v>
      </c>
      <c r="F35" s="10">
        <v>120.42414695039753</v>
      </c>
      <c r="G35" s="10">
        <v>120.42414695039753</v>
      </c>
      <c r="H35" s="10">
        <v>120.42414695039753</v>
      </c>
      <c r="I35" s="10">
        <v>120.42414695039753</v>
      </c>
      <c r="J35" s="10">
        <v>120.42414695039753</v>
      </c>
      <c r="K35" s="10">
        <v>120.42414695039753</v>
      </c>
      <c r="L35" s="10">
        <v>120.42414695039753</v>
      </c>
      <c r="M35" s="10">
        <v>120.42414695039753</v>
      </c>
      <c r="N35" s="10">
        <v>120.42414695039753</v>
      </c>
    </row>
    <row r="38" spans="2:18" x14ac:dyDescent="0.25">
      <c r="B38" s="97" t="s">
        <v>13</v>
      </c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</row>
    <row r="39" spans="2:18" x14ac:dyDescent="0.25">
      <c r="B39" s="6"/>
      <c r="C39" s="15" t="s">
        <v>21</v>
      </c>
      <c r="D39" s="15" t="s">
        <v>22</v>
      </c>
      <c r="E39" s="15" t="s">
        <v>23</v>
      </c>
      <c r="F39" s="15" t="s">
        <v>24</v>
      </c>
      <c r="G39" s="15" t="s">
        <v>25</v>
      </c>
      <c r="H39" s="15" t="s">
        <v>26</v>
      </c>
      <c r="I39" s="15" t="s">
        <v>27</v>
      </c>
      <c r="J39" s="15" t="s">
        <v>28</v>
      </c>
      <c r="K39" s="15" t="s">
        <v>29</v>
      </c>
      <c r="L39" s="15" t="s">
        <v>30</v>
      </c>
      <c r="M39" s="15" t="s">
        <v>31</v>
      </c>
      <c r="N39" s="15" t="s">
        <v>32</v>
      </c>
    </row>
    <row r="40" spans="2:18" x14ac:dyDescent="0.25">
      <c r="B40" s="9" t="s">
        <v>14</v>
      </c>
      <c r="C40" s="10">
        <f>SUM(C41:C43)</f>
        <v>345.29411667459004</v>
      </c>
      <c r="D40" s="10">
        <f t="shared" ref="D40:N40" si="3">SUM(D41:D43)</f>
        <v>345.29411667459004</v>
      </c>
      <c r="E40" s="10">
        <f t="shared" si="3"/>
        <v>345.29411667459004</v>
      </c>
      <c r="F40" s="10">
        <f t="shared" si="3"/>
        <v>345.29411667459004</v>
      </c>
      <c r="G40" s="10">
        <f t="shared" si="3"/>
        <v>345.29411667459004</v>
      </c>
      <c r="H40" s="10">
        <f t="shared" si="3"/>
        <v>345.29411667459004</v>
      </c>
      <c r="I40" s="10">
        <f t="shared" si="3"/>
        <v>345.29411667459004</v>
      </c>
      <c r="J40" s="10">
        <f t="shared" si="3"/>
        <v>345.29411667459004</v>
      </c>
      <c r="K40" s="10">
        <f t="shared" si="3"/>
        <v>345.29411667459004</v>
      </c>
      <c r="L40" s="10">
        <f t="shared" si="3"/>
        <v>201.90318118358138</v>
      </c>
      <c r="M40" s="10">
        <f t="shared" si="3"/>
        <v>201.90318118358138</v>
      </c>
      <c r="N40" s="10">
        <f t="shared" si="3"/>
        <v>201.90318118358138</v>
      </c>
    </row>
    <row r="41" spans="2:18" x14ac:dyDescent="0.25">
      <c r="B41" s="3" t="s">
        <v>71</v>
      </c>
      <c r="C41" s="4">
        <f>'[1]Reajuste Energia'!$C$7</f>
        <v>200.8044392552352</v>
      </c>
      <c r="D41" s="4">
        <f>'[1]Reajuste Energia'!$C$7</f>
        <v>200.8044392552352</v>
      </c>
      <c r="E41" s="4">
        <f>'[1]Reajuste Energia'!$C$7</f>
        <v>200.8044392552352</v>
      </c>
      <c r="F41" s="4">
        <f>'[1]Reajuste Energia'!$C$7</f>
        <v>200.8044392552352</v>
      </c>
      <c r="G41" s="4">
        <f>'[1]Reajuste Energia'!$C$7</f>
        <v>200.8044392552352</v>
      </c>
      <c r="H41" s="4">
        <f>'[1]Reajuste Energia'!$C$7</f>
        <v>200.8044392552352</v>
      </c>
      <c r="I41" s="4">
        <f>'[1]Reajuste Energia'!$C$7</f>
        <v>200.8044392552352</v>
      </c>
      <c r="J41" s="4">
        <f>'[1]Reajuste Energia'!$C$7</f>
        <v>200.8044392552352</v>
      </c>
      <c r="K41" s="4">
        <f>'[1]Reajuste Energia'!$C$7</f>
        <v>200.8044392552352</v>
      </c>
      <c r="L41" s="4">
        <f>Plan1!D25</f>
        <v>97.193249999999992</v>
      </c>
      <c r="M41" s="4">
        <f>Plan1!E25</f>
        <v>97.193249999999992</v>
      </c>
      <c r="N41" s="4">
        <f>Plan1!F25</f>
        <v>97.193249999999992</v>
      </c>
    </row>
    <row r="42" spans="2:18" x14ac:dyDescent="0.25">
      <c r="B42" s="3" t="s">
        <v>7</v>
      </c>
      <c r="C42" s="4">
        <v>91.509677419354844</v>
      </c>
      <c r="D42" s="4">
        <v>91.509677419354844</v>
      </c>
      <c r="E42" s="4">
        <v>91.509677419354844</v>
      </c>
      <c r="F42" s="4">
        <v>91.509677419354844</v>
      </c>
      <c r="G42" s="4">
        <v>91.509677419354844</v>
      </c>
      <c r="H42" s="4">
        <v>91.509677419354844</v>
      </c>
      <c r="I42" s="4">
        <v>91.509677419354844</v>
      </c>
      <c r="J42" s="4">
        <v>91.509677419354844</v>
      </c>
      <c r="K42" s="4">
        <v>91.509677419354844</v>
      </c>
      <c r="L42" s="4">
        <v>51.333836495953008</v>
      </c>
      <c r="M42" s="4">
        <v>51.333836495953008</v>
      </c>
      <c r="N42" s="4">
        <v>51.333836495953008</v>
      </c>
    </row>
    <row r="43" spans="2:18" x14ac:dyDescent="0.25">
      <c r="B43" s="3" t="s">
        <v>15</v>
      </c>
      <c r="C43" s="5">
        <v>52.98</v>
      </c>
      <c r="D43" s="5">
        <v>52.98</v>
      </c>
      <c r="E43" s="5">
        <v>52.98</v>
      </c>
      <c r="F43" s="5">
        <v>52.98</v>
      </c>
      <c r="G43" s="5">
        <v>52.98</v>
      </c>
      <c r="H43" s="5">
        <v>52.98</v>
      </c>
      <c r="I43" s="5">
        <v>52.98</v>
      </c>
      <c r="J43" s="5">
        <v>52.98</v>
      </c>
      <c r="K43" s="5">
        <v>52.98</v>
      </c>
      <c r="L43" s="5">
        <v>53.376094687628381</v>
      </c>
      <c r="M43" s="5">
        <v>53.376094687628381</v>
      </c>
      <c r="N43" s="5">
        <v>53.376094687628381</v>
      </c>
      <c r="R43" s="93"/>
    </row>
    <row r="45" spans="2:18" x14ac:dyDescent="0.25">
      <c r="B45" s="11" t="s">
        <v>16</v>
      </c>
      <c r="C45" s="10">
        <f>'[1]Reajuste Energia'!$C$6</f>
        <v>221.27210937216</v>
      </c>
      <c r="D45" s="10">
        <f>'[1]Reajuste Energia'!$C$6</f>
        <v>221.27210937216</v>
      </c>
      <c r="E45" s="10">
        <f>'[1]Reajuste Energia'!$C$6</f>
        <v>221.27210937216</v>
      </c>
      <c r="F45" s="10">
        <f>'[1]Reajuste Energia'!$C$6</f>
        <v>221.27210937216</v>
      </c>
      <c r="G45" s="10">
        <f>'[1]Reajuste Energia'!$C$6</f>
        <v>221.27210937216</v>
      </c>
      <c r="H45" s="10">
        <f>'[1]Reajuste Energia'!$C$6</f>
        <v>221.27210937216</v>
      </c>
      <c r="I45" s="10">
        <f>'[1]Reajuste Energia'!$C$6</f>
        <v>221.27210937216</v>
      </c>
      <c r="J45" s="10">
        <f>'[1]Reajuste Energia'!$C$6</f>
        <v>221.27210937216</v>
      </c>
      <c r="K45" s="10">
        <f>'[1]Reajuste Energia'!$C$6</f>
        <v>221.27210937216</v>
      </c>
      <c r="L45" s="10">
        <f>'[1]Reajuste Energia'!$C$6</f>
        <v>221.27210937216</v>
      </c>
      <c r="M45" s="10">
        <f>'[1]Reajuste Energia'!$C$6</f>
        <v>221.27210937216</v>
      </c>
      <c r="N45" s="10">
        <f>'[1]Reajuste Energia'!$C$6</f>
        <v>221.27210937216</v>
      </c>
    </row>
    <row r="47" spans="2:18" x14ac:dyDescent="0.25">
      <c r="B47" s="94" t="s">
        <v>17</v>
      </c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</row>
    <row r="48" spans="2:18" x14ac:dyDescent="0.25">
      <c r="B48" s="6"/>
      <c r="C48" s="15" t="s">
        <v>21</v>
      </c>
      <c r="D48" s="15" t="s">
        <v>22</v>
      </c>
      <c r="E48" s="15" t="s">
        <v>23</v>
      </c>
      <c r="F48" s="15" t="s">
        <v>24</v>
      </c>
      <c r="G48" s="15" t="s">
        <v>25</v>
      </c>
      <c r="H48" s="15" t="s">
        <v>26</v>
      </c>
      <c r="I48" s="15" t="s">
        <v>27</v>
      </c>
      <c r="J48" s="15" t="s">
        <v>28</v>
      </c>
      <c r="K48" s="15" t="s">
        <v>29</v>
      </c>
      <c r="L48" s="15" t="s">
        <v>30</v>
      </c>
      <c r="M48" s="15" t="s">
        <v>31</v>
      </c>
      <c r="N48" s="15" t="s">
        <v>32</v>
      </c>
    </row>
    <row r="49" spans="2:14" x14ac:dyDescent="0.25">
      <c r="B49" s="11" t="s">
        <v>18</v>
      </c>
      <c r="C49" s="10">
        <f>SUM(C50:C56)</f>
        <v>148.41765763798722</v>
      </c>
      <c r="D49" s="10">
        <f t="shared" ref="D49:N49" si="4">SUM(D50:D56)</f>
        <v>148.41765763798722</v>
      </c>
      <c r="E49" s="10">
        <f t="shared" si="4"/>
        <v>148.41765763798722</v>
      </c>
      <c r="F49" s="10">
        <f t="shared" si="4"/>
        <v>148.41765763798722</v>
      </c>
      <c r="G49" s="10">
        <f t="shared" si="4"/>
        <v>148.41765763798722</v>
      </c>
      <c r="H49" s="10">
        <f t="shared" si="4"/>
        <v>148.41765763798722</v>
      </c>
      <c r="I49" s="10">
        <f t="shared" si="4"/>
        <v>150.39765763798721</v>
      </c>
      <c r="J49" s="10">
        <f t="shared" si="4"/>
        <v>150.39765763798721</v>
      </c>
      <c r="K49" s="10">
        <f t="shared" si="4"/>
        <v>150.39765763798721</v>
      </c>
      <c r="L49" s="10">
        <f t="shared" si="4"/>
        <v>672.77407091231998</v>
      </c>
      <c r="M49" s="10">
        <f t="shared" si="4"/>
        <v>551.57344661101342</v>
      </c>
      <c r="N49" s="10">
        <f t="shared" si="4"/>
        <v>425.89385513021767</v>
      </c>
    </row>
    <row r="50" spans="2:14" x14ac:dyDescent="0.25">
      <c r="B50" s="12" t="s">
        <v>71</v>
      </c>
      <c r="C50" s="4">
        <v>68.52</v>
      </c>
      <c r="D50" s="4">
        <v>68.52</v>
      </c>
      <c r="E50" s="4">
        <v>68.52</v>
      </c>
      <c r="F50" s="4">
        <v>68.52</v>
      </c>
      <c r="G50" s="4">
        <v>68.52</v>
      </c>
      <c r="H50" s="4">
        <v>68.52</v>
      </c>
      <c r="I50" s="4">
        <v>70.5</v>
      </c>
      <c r="J50" s="4">
        <v>70.5</v>
      </c>
      <c r="K50" s="4">
        <v>70.5</v>
      </c>
      <c r="L50" s="4">
        <v>595.27</v>
      </c>
      <c r="M50" s="4">
        <v>489.1</v>
      </c>
      <c r="N50" s="4">
        <v>362.34</v>
      </c>
    </row>
    <row r="51" spans="2:14" x14ac:dyDescent="0.25">
      <c r="B51" s="3" t="s">
        <v>7</v>
      </c>
      <c r="C51" s="4">
        <v>22.994081422201564</v>
      </c>
      <c r="D51" s="4">
        <v>22.994081422201564</v>
      </c>
      <c r="E51" s="4">
        <v>22.994081422201564</v>
      </c>
      <c r="F51" s="4">
        <v>22.994081422201564</v>
      </c>
      <c r="G51" s="4">
        <v>22.994081422201564</v>
      </c>
      <c r="H51" s="4">
        <v>22.994081422201564</v>
      </c>
      <c r="I51" s="4">
        <v>22.994081422201564</v>
      </c>
      <c r="J51" s="4">
        <v>22.994081422201564</v>
      </c>
      <c r="K51" s="4">
        <v>22.994081422201564</v>
      </c>
      <c r="L51" s="4">
        <v>22.058869035572826</v>
      </c>
      <c r="M51" s="4">
        <v>23.175268816547884</v>
      </c>
      <c r="N51" s="4">
        <v>22.649172650034046</v>
      </c>
    </row>
    <row r="52" spans="2:14" x14ac:dyDescent="0.25">
      <c r="B52" s="3" t="s">
        <v>8</v>
      </c>
      <c r="C52" s="4">
        <v>0.13222635352669773</v>
      </c>
      <c r="D52" s="4">
        <v>0.13222635352669773</v>
      </c>
      <c r="E52" s="4">
        <v>0.13222635352669773</v>
      </c>
      <c r="F52" s="4">
        <v>0.13222635352669773</v>
      </c>
      <c r="G52" s="4">
        <v>0.13222635352669773</v>
      </c>
      <c r="H52" s="4">
        <v>0.13222635352669773</v>
      </c>
      <c r="I52" s="4">
        <v>0.13222635352669773</v>
      </c>
      <c r="J52" s="4">
        <v>0.13222635352669773</v>
      </c>
      <c r="K52" s="4">
        <v>0.13222635352669773</v>
      </c>
      <c r="L52" s="4">
        <v>0.13196503934676662</v>
      </c>
      <c r="M52" s="4">
        <v>0.13636387433160801</v>
      </c>
      <c r="N52" s="4">
        <v>0.13196503934676665</v>
      </c>
    </row>
    <row r="53" spans="2:14" x14ac:dyDescent="0.25">
      <c r="B53" s="3" t="s">
        <v>9</v>
      </c>
      <c r="C53" s="4">
        <v>26.038567493112946</v>
      </c>
      <c r="D53" s="4">
        <v>26.038567493112946</v>
      </c>
      <c r="E53" s="4">
        <v>26.038567493112946</v>
      </c>
      <c r="F53" s="4">
        <v>26.038567493112946</v>
      </c>
      <c r="G53" s="4">
        <v>26.038567493112946</v>
      </c>
      <c r="H53" s="4">
        <v>26.038567493112946</v>
      </c>
      <c r="I53" s="4">
        <v>26.038567493112946</v>
      </c>
      <c r="J53" s="4">
        <v>26.038567493112946</v>
      </c>
      <c r="K53" s="4">
        <v>26.038567493112946</v>
      </c>
      <c r="L53" s="4">
        <v>20.645559298632222</v>
      </c>
      <c r="M53" s="4">
        <v>22.471030406152117</v>
      </c>
      <c r="N53" s="4">
        <v>21.838117464128636</v>
      </c>
    </row>
    <row r="54" spans="2:14" x14ac:dyDescent="0.25">
      <c r="B54" s="3" t="s">
        <v>10</v>
      </c>
      <c r="C54" s="4">
        <v>8.9917355371900829</v>
      </c>
      <c r="D54" s="4">
        <v>8.9917355371900829</v>
      </c>
      <c r="E54" s="4">
        <v>8.9917355371900829</v>
      </c>
      <c r="F54" s="4">
        <v>8.9917355371900829</v>
      </c>
      <c r="G54" s="4">
        <v>8.9917355371900829</v>
      </c>
      <c r="H54" s="4">
        <v>8.9917355371900829</v>
      </c>
      <c r="I54" s="4">
        <v>8.9917355371900829</v>
      </c>
      <c r="J54" s="4">
        <v>8.9917355371900829</v>
      </c>
      <c r="K54" s="4">
        <v>8.9917355371900829</v>
      </c>
      <c r="L54" s="4">
        <v>9.9876775387682404</v>
      </c>
      <c r="M54" s="4">
        <v>10.870783513981745</v>
      </c>
      <c r="N54" s="4">
        <v>10.56459997670831</v>
      </c>
    </row>
    <row r="55" spans="2:14" x14ac:dyDescent="0.25">
      <c r="B55" s="3" t="s">
        <v>79</v>
      </c>
      <c r="C55" s="4">
        <v>0.53994490358126723</v>
      </c>
      <c r="D55" s="4">
        <v>0.53994490358126723</v>
      </c>
      <c r="E55" s="4">
        <v>0.53994490358126723</v>
      </c>
      <c r="F55" s="4">
        <v>0.53994490358126723</v>
      </c>
      <c r="G55" s="4">
        <v>0.53994490358126723</v>
      </c>
      <c r="H55" s="4">
        <v>0.53994490358126723</v>
      </c>
      <c r="I55" s="4">
        <v>0.53994490358126723</v>
      </c>
      <c r="J55" s="4">
        <v>0.53994490358126723</v>
      </c>
      <c r="K55" s="4">
        <v>0.53994490358126723</v>
      </c>
      <c r="L55" s="4">
        <v>9.59</v>
      </c>
      <c r="M55" s="4">
        <v>5.82</v>
      </c>
      <c r="N55" s="4">
        <v>2.34</v>
      </c>
    </row>
    <row r="56" spans="2:14" x14ac:dyDescent="0.25">
      <c r="B56" s="77" t="s">
        <v>80</v>
      </c>
      <c r="C56" s="78">
        <v>21.201101928374655</v>
      </c>
      <c r="D56" s="78">
        <v>21.201101928374655</v>
      </c>
      <c r="E56" s="78">
        <v>21.201101928374655</v>
      </c>
      <c r="F56" s="78">
        <v>21.201101928374655</v>
      </c>
      <c r="G56" s="78">
        <v>21.201101928374655</v>
      </c>
      <c r="H56" s="78">
        <v>21.201101928374655</v>
      </c>
      <c r="I56" s="78">
        <v>21.201101928374655</v>
      </c>
      <c r="J56" s="78">
        <v>21.201101928374655</v>
      </c>
      <c r="K56" s="78">
        <v>21.201101928374655</v>
      </c>
      <c r="L56" s="78">
        <v>15.09</v>
      </c>
      <c r="M56" s="78">
        <v>0</v>
      </c>
      <c r="N56" s="78">
        <v>6.03</v>
      </c>
    </row>
    <row r="58" spans="2:14" x14ac:dyDescent="0.25">
      <c r="B58" s="11" t="s">
        <v>19</v>
      </c>
      <c r="C58" s="10">
        <v>68.52</v>
      </c>
      <c r="D58" s="10">
        <v>68.52</v>
      </c>
      <c r="E58" s="10">
        <v>68.52</v>
      </c>
      <c r="F58" s="10">
        <v>68.52</v>
      </c>
      <c r="G58" s="10">
        <v>68.52</v>
      </c>
      <c r="H58" s="10">
        <v>68.52</v>
      </c>
      <c r="I58" s="10">
        <v>70.5</v>
      </c>
      <c r="J58" s="10">
        <v>70.5</v>
      </c>
      <c r="K58" s="10">
        <v>70.5</v>
      </c>
      <c r="L58" s="10">
        <v>595.27</v>
      </c>
      <c r="M58" s="10">
        <v>489.1</v>
      </c>
      <c r="N58" s="10">
        <v>362.34</v>
      </c>
    </row>
  </sheetData>
  <mergeCells count="4">
    <mergeCell ref="B2:N2"/>
    <mergeCell ref="B15:N15"/>
    <mergeCell ref="B38:N38"/>
    <mergeCell ref="B47:N4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8"/>
  <sheetViews>
    <sheetView workbookViewId="0">
      <selection activeCell="M26" sqref="M26"/>
    </sheetView>
  </sheetViews>
  <sheetFormatPr defaultRowHeight="14.3" x14ac:dyDescent="0.25"/>
  <cols>
    <col min="2" max="2" width="16" customWidth="1"/>
    <col min="3" max="3" width="16.875" bestFit="1" customWidth="1"/>
    <col min="4" max="12" width="11.875" hidden="1" customWidth="1"/>
    <col min="13" max="15" width="11.875" bestFit="1" customWidth="1"/>
  </cols>
  <sheetData>
    <row r="2" spans="2:15" ht="14.45" customHeight="1" x14ac:dyDescent="0.35">
      <c r="B2" s="21"/>
      <c r="C2" s="23" t="s">
        <v>33</v>
      </c>
      <c r="D2" s="24" t="s">
        <v>21</v>
      </c>
      <c r="E2" s="24" t="s">
        <v>22</v>
      </c>
      <c r="F2" s="24" t="s">
        <v>23</v>
      </c>
      <c r="G2" s="24" t="s">
        <v>24</v>
      </c>
      <c r="H2" s="24" t="s">
        <v>25</v>
      </c>
      <c r="I2" s="24" t="s">
        <v>26</v>
      </c>
      <c r="J2" s="24" t="s">
        <v>27</v>
      </c>
      <c r="K2" s="24" t="s">
        <v>28</v>
      </c>
      <c r="L2" s="24" t="s">
        <v>29</v>
      </c>
      <c r="M2" s="24" t="s">
        <v>30</v>
      </c>
      <c r="N2" s="24" t="s">
        <v>31</v>
      </c>
      <c r="O2" s="24" t="s">
        <v>32</v>
      </c>
    </row>
    <row r="3" spans="2:15" x14ac:dyDescent="0.25">
      <c r="B3" s="99" t="s">
        <v>34</v>
      </c>
      <c r="C3" s="22" t="s">
        <v>35</v>
      </c>
      <c r="D3" s="17">
        <v>90</v>
      </c>
      <c r="E3" s="17">
        <v>90</v>
      </c>
      <c r="F3" s="17">
        <v>90</v>
      </c>
      <c r="G3" s="17">
        <v>90</v>
      </c>
      <c r="H3" s="17">
        <v>90</v>
      </c>
      <c r="I3" s="17">
        <v>90</v>
      </c>
      <c r="J3" s="17">
        <v>90</v>
      </c>
      <c r="K3" s="17">
        <v>90</v>
      </c>
      <c r="L3" s="17">
        <v>90</v>
      </c>
      <c r="M3" s="17">
        <v>90</v>
      </c>
      <c r="N3" s="17">
        <v>90</v>
      </c>
      <c r="O3" s="17">
        <v>90</v>
      </c>
    </row>
    <row r="4" spans="2:15" x14ac:dyDescent="0.25">
      <c r="B4" s="99"/>
      <c r="C4" s="22" t="s">
        <v>41</v>
      </c>
      <c r="D4" s="30">
        <v>110</v>
      </c>
      <c r="E4" s="30">
        <v>110</v>
      </c>
      <c r="F4" s="30">
        <v>110</v>
      </c>
      <c r="G4" s="30">
        <v>110</v>
      </c>
      <c r="H4" s="30">
        <v>110</v>
      </c>
      <c r="I4" s="30">
        <v>110</v>
      </c>
      <c r="J4" s="30">
        <v>110</v>
      </c>
      <c r="K4" s="30">
        <v>110</v>
      </c>
      <c r="L4" s="30">
        <v>110</v>
      </c>
      <c r="M4" s="30">
        <f>SUM(Plan1!D4:D6)</f>
        <v>118.6</v>
      </c>
      <c r="N4" s="30">
        <f>SUM(Plan1!E4:E6)</f>
        <v>118.6</v>
      </c>
      <c r="O4" s="30">
        <f>SUM(Plan1!F4:F6)</f>
        <v>118.6</v>
      </c>
    </row>
    <row r="5" spans="2:15" x14ac:dyDescent="0.25">
      <c r="B5" s="99"/>
      <c r="C5" s="29" t="s">
        <v>42</v>
      </c>
      <c r="D5" s="30">
        <v>5</v>
      </c>
      <c r="E5" s="30">
        <v>5</v>
      </c>
      <c r="F5" s="30">
        <v>5</v>
      </c>
      <c r="G5" s="30">
        <v>5</v>
      </c>
      <c r="H5" s="30">
        <v>5</v>
      </c>
      <c r="I5" s="30">
        <v>5</v>
      </c>
      <c r="J5" s="30">
        <v>5</v>
      </c>
      <c r="K5" s="30">
        <v>5</v>
      </c>
      <c r="L5" s="30">
        <v>5</v>
      </c>
      <c r="M5" s="30">
        <v>5</v>
      </c>
      <c r="N5" s="30">
        <v>5</v>
      </c>
      <c r="O5" s="30">
        <v>5</v>
      </c>
    </row>
    <row r="6" spans="2:15" x14ac:dyDescent="0.25">
      <c r="B6" s="99"/>
      <c r="C6" s="22" t="s">
        <v>3</v>
      </c>
      <c r="D6" s="30">
        <f>'Premissas SPS 2024 - Mensal'!C10</f>
        <v>744</v>
      </c>
      <c r="E6" s="30">
        <f>'Premissas SPS 2024 - Mensal'!D10</f>
        <v>696</v>
      </c>
      <c r="F6" s="30">
        <f>'Premissas SPS 2024 - Mensal'!E10</f>
        <v>744</v>
      </c>
      <c r="G6" s="30">
        <f>'Premissas SPS 2024 - Mensal'!F10</f>
        <v>720</v>
      </c>
      <c r="H6" s="30">
        <f>'Premissas SPS 2024 - Mensal'!G10</f>
        <v>744</v>
      </c>
      <c r="I6" s="30">
        <f>'Premissas SPS 2024 - Mensal'!H10</f>
        <v>720</v>
      </c>
      <c r="J6" s="30">
        <f>'Premissas SPS 2024 - Mensal'!I10</f>
        <v>744</v>
      </c>
      <c r="K6" s="30">
        <f>'Premissas SPS 2024 - Mensal'!J10</f>
        <v>744</v>
      </c>
      <c r="L6" s="30">
        <f>'Premissas SPS 2024 - Mensal'!K10</f>
        <v>720</v>
      </c>
      <c r="M6" s="30">
        <f>'Premissas SPS 2024 - Mensal'!L10</f>
        <v>744</v>
      </c>
      <c r="N6" s="30">
        <f>'Premissas SPS 2024 - Mensal'!M10</f>
        <v>720</v>
      </c>
      <c r="O6" s="30">
        <f>'Premissas SPS 2024 - Mensal'!N10</f>
        <v>744</v>
      </c>
    </row>
    <row r="7" spans="2:15" ht="14.45" x14ac:dyDescent="0.35">
      <c r="B7" s="25"/>
      <c r="C7" s="21"/>
      <c r="D7" s="31"/>
      <c r="E7" s="31"/>
      <c r="F7" s="31"/>
      <c r="G7" s="31"/>
      <c r="H7" s="16"/>
      <c r="I7" s="16"/>
      <c r="J7" s="16"/>
      <c r="K7" s="16"/>
      <c r="L7" s="16"/>
      <c r="M7" s="16"/>
      <c r="N7" s="16"/>
      <c r="O7" s="16"/>
    </row>
    <row r="8" spans="2:15" x14ac:dyDescent="0.25">
      <c r="B8" s="99" t="s">
        <v>37</v>
      </c>
      <c r="C8" s="22" t="s">
        <v>35</v>
      </c>
      <c r="D8" s="18">
        <f>D3*D$6</f>
        <v>66960</v>
      </c>
      <c r="E8" s="18">
        <f t="shared" ref="E8:O8" si="0">E3*E$6</f>
        <v>62640</v>
      </c>
      <c r="F8" s="18">
        <f t="shared" si="0"/>
        <v>66960</v>
      </c>
      <c r="G8" s="18">
        <f t="shared" si="0"/>
        <v>64800</v>
      </c>
      <c r="H8" s="18">
        <f t="shared" si="0"/>
        <v>66960</v>
      </c>
      <c r="I8" s="18">
        <f t="shared" si="0"/>
        <v>64800</v>
      </c>
      <c r="J8" s="18">
        <f t="shared" si="0"/>
        <v>66960</v>
      </c>
      <c r="K8" s="18">
        <f t="shared" si="0"/>
        <v>66960</v>
      </c>
      <c r="L8" s="18">
        <f t="shared" si="0"/>
        <v>64800</v>
      </c>
      <c r="M8" s="18">
        <f t="shared" si="0"/>
        <v>66960</v>
      </c>
      <c r="N8" s="18">
        <f t="shared" si="0"/>
        <v>64800</v>
      </c>
      <c r="O8" s="18">
        <f t="shared" si="0"/>
        <v>66960</v>
      </c>
    </row>
    <row r="9" spans="2:15" x14ac:dyDescent="0.25">
      <c r="B9" s="99"/>
      <c r="C9" s="22" t="s">
        <v>36</v>
      </c>
      <c r="D9" s="18">
        <f>D4*D$6</f>
        <v>81840</v>
      </c>
      <c r="E9" s="18">
        <f t="shared" ref="E9:O9" si="1">E4*E$6</f>
        <v>76560</v>
      </c>
      <c r="F9" s="18">
        <f t="shared" si="1"/>
        <v>81840</v>
      </c>
      <c r="G9" s="18">
        <f t="shared" si="1"/>
        <v>79200</v>
      </c>
      <c r="H9" s="18">
        <f t="shared" si="1"/>
        <v>81840</v>
      </c>
      <c r="I9" s="18">
        <f t="shared" si="1"/>
        <v>79200</v>
      </c>
      <c r="J9" s="18">
        <f t="shared" si="1"/>
        <v>81840</v>
      </c>
      <c r="K9" s="18">
        <f t="shared" si="1"/>
        <v>81840</v>
      </c>
      <c r="L9" s="18">
        <f t="shared" si="1"/>
        <v>79200</v>
      </c>
      <c r="M9" s="18">
        <f t="shared" si="1"/>
        <v>88238.399999999994</v>
      </c>
      <c r="N9" s="18">
        <f t="shared" si="1"/>
        <v>85392</v>
      </c>
      <c r="O9" s="18">
        <f t="shared" si="1"/>
        <v>88238.399999999994</v>
      </c>
    </row>
    <row r="10" spans="2:15" x14ac:dyDescent="0.25">
      <c r="B10" s="99"/>
      <c r="C10" s="19" t="s">
        <v>43</v>
      </c>
      <c r="D10" s="20">
        <f>D8+D9</f>
        <v>148800</v>
      </c>
      <c r="E10" s="20">
        <f t="shared" ref="E10:O10" si="2">E8+E9</f>
        <v>139200</v>
      </c>
      <c r="F10" s="20">
        <f t="shared" si="2"/>
        <v>148800</v>
      </c>
      <c r="G10" s="20">
        <f t="shared" si="2"/>
        <v>144000</v>
      </c>
      <c r="H10" s="20">
        <f t="shared" si="2"/>
        <v>148800</v>
      </c>
      <c r="I10" s="20">
        <f t="shared" si="2"/>
        <v>144000</v>
      </c>
      <c r="J10" s="20">
        <f t="shared" si="2"/>
        <v>148800</v>
      </c>
      <c r="K10" s="20">
        <f t="shared" si="2"/>
        <v>148800</v>
      </c>
      <c r="L10" s="20">
        <f t="shared" si="2"/>
        <v>144000</v>
      </c>
      <c r="M10" s="20">
        <f t="shared" si="2"/>
        <v>155198.39999999999</v>
      </c>
      <c r="N10" s="20">
        <f t="shared" si="2"/>
        <v>150192</v>
      </c>
      <c r="O10" s="20">
        <f t="shared" si="2"/>
        <v>155198.39999999999</v>
      </c>
    </row>
    <row r="11" spans="2:15" x14ac:dyDescent="0.25">
      <c r="B11" s="99"/>
      <c r="C11" s="29" t="s">
        <v>42</v>
      </c>
      <c r="D11" s="18">
        <f>D5*D$6</f>
        <v>3720</v>
      </c>
      <c r="E11" s="18">
        <f t="shared" ref="E11:O11" si="3">E5*E$6</f>
        <v>3480</v>
      </c>
      <c r="F11" s="18">
        <f t="shared" si="3"/>
        <v>3720</v>
      </c>
      <c r="G11" s="18">
        <f t="shared" si="3"/>
        <v>3600</v>
      </c>
      <c r="H11" s="18">
        <f t="shared" si="3"/>
        <v>3720</v>
      </c>
      <c r="I11" s="18">
        <f t="shared" si="3"/>
        <v>3600</v>
      </c>
      <c r="J11" s="18">
        <f t="shared" si="3"/>
        <v>3720</v>
      </c>
      <c r="K11" s="18">
        <f t="shared" si="3"/>
        <v>3720</v>
      </c>
      <c r="L11" s="18">
        <f t="shared" si="3"/>
        <v>3600</v>
      </c>
      <c r="M11" s="18">
        <f t="shared" si="3"/>
        <v>3720</v>
      </c>
      <c r="N11" s="18">
        <f t="shared" si="3"/>
        <v>3600</v>
      </c>
      <c r="O11" s="18">
        <f t="shared" si="3"/>
        <v>3720</v>
      </c>
    </row>
    <row r="13" spans="2:15" x14ac:dyDescent="0.25">
      <c r="B13" s="99" t="s">
        <v>68</v>
      </c>
      <c r="C13" s="99"/>
      <c r="E13" s="62"/>
      <c r="F13" s="62"/>
      <c r="G13" s="62"/>
    </row>
    <row r="14" spans="2:15" ht="14.45" x14ac:dyDescent="0.35">
      <c r="B14" s="60" t="s">
        <v>58</v>
      </c>
      <c r="C14" s="61">
        <f>'Energia Aux - Met'!S58</f>
        <v>0.95060967582469458</v>
      </c>
      <c r="E14" s="62"/>
      <c r="F14" s="62"/>
      <c r="G14" s="62"/>
    </row>
    <row r="15" spans="2:15" ht="14.45" x14ac:dyDescent="0.35">
      <c r="B15" s="60" t="s">
        <v>59</v>
      </c>
      <c r="C15" s="61">
        <f>'Energia Aux - Met'!T58</f>
        <v>4.9390065328559711E-2</v>
      </c>
      <c r="E15" s="62"/>
      <c r="F15" s="62"/>
      <c r="G15" s="62"/>
    </row>
    <row r="17" spans="2:15" x14ac:dyDescent="0.25">
      <c r="B17" s="99" t="s">
        <v>44</v>
      </c>
      <c r="C17" s="22" t="s">
        <v>35</v>
      </c>
      <c r="D17" s="26">
        <f>D8*$C$15</f>
        <v>3307.1587744003582</v>
      </c>
      <c r="E17" s="26">
        <f t="shared" ref="E17:O17" si="4">E8*$C$15</f>
        <v>3093.7936921809801</v>
      </c>
      <c r="F17" s="26">
        <f t="shared" si="4"/>
        <v>3307.1587744003582</v>
      </c>
      <c r="G17" s="26">
        <f t="shared" si="4"/>
        <v>3200.4762332906694</v>
      </c>
      <c r="H17" s="26">
        <f t="shared" si="4"/>
        <v>3307.1587744003582</v>
      </c>
      <c r="I17" s="26">
        <f t="shared" si="4"/>
        <v>3200.4762332906694</v>
      </c>
      <c r="J17" s="26">
        <f t="shared" si="4"/>
        <v>3307.1587744003582</v>
      </c>
      <c r="K17" s="26">
        <f t="shared" si="4"/>
        <v>3307.1587744003582</v>
      </c>
      <c r="L17" s="26">
        <f t="shared" si="4"/>
        <v>3200.4762332906694</v>
      </c>
      <c r="M17" s="26">
        <f t="shared" si="4"/>
        <v>3307.1587744003582</v>
      </c>
      <c r="N17" s="26">
        <f t="shared" si="4"/>
        <v>3200.4762332906694</v>
      </c>
      <c r="O17" s="26">
        <f t="shared" si="4"/>
        <v>3307.1587744003582</v>
      </c>
    </row>
    <row r="18" spans="2:15" x14ac:dyDescent="0.25">
      <c r="B18" s="99"/>
      <c r="C18" s="22" t="s">
        <v>36</v>
      </c>
      <c r="D18" s="26">
        <f>D9*$C$15</f>
        <v>4042.0829464893268</v>
      </c>
      <c r="E18" s="26">
        <f t="shared" ref="E18:O18" si="5">E9*$C$15</f>
        <v>3781.3034015545313</v>
      </c>
      <c r="F18" s="26">
        <f t="shared" si="5"/>
        <v>4042.0829464893268</v>
      </c>
      <c r="G18" s="26">
        <f t="shared" si="5"/>
        <v>3911.6931740219293</v>
      </c>
      <c r="H18" s="26">
        <f t="shared" si="5"/>
        <v>4042.0829464893268</v>
      </c>
      <c r="I18" s="26">
        <f t="shared" si="5"/>
        <v>3911.6931740219293</v>
      </c>
      <c r="J18" s="26">
        <f t="shared" si="5"/>
        <v>4042.0829464893268</v>
      </c>
      <c r="K18" s="26">
        <f t="shared" si="5"/>
        <v>4042.0829464893268</v>
      </c>
      <c r="L18" s="26">
        <f t="shared" si="5"/>
        <v>3911.6931740219293</v>
      </c>
      <c r="M18" s="26">
        <f t="shared" si="5"/>
        <v>4358.1003404875828</v>
      </c>
      <c r="N18" s="26">
        <f t="shared" si="5"/>
        <v>4217.5164585363709</v>
      </c>
      <c r="O18" s="26">
        <f t="shared" si="5"/>
        <v>4358.1003404875828</v>
      </c>
    </row>
    <row r="19" spans="2:15" ht="14.45" x14ac:dyDescent="0.35"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</row>
    <row r="20" spans="2:15" x14ac:dyDescent="0.25">
      <c r="B20" s="99" t="s">
        <v>69</v>
      </c>
      <c r="C20" s="29" t="s">
        <v>35</v>
      </c>
      <c r="D20" s="26">
        <f>(D8-D17)*$B$22</f>
        <v>1909.5852367679893</v>
      </c>
      <c r="E20" s="26">
        <f t="shared" ref="E20:O21" si="6">(E8-E17)*$B$22</f>
        <v>1786.3861892345706</v>
      </c>
      <c r="F20" s="26">
        <f t="shared" si="6"/>
        <v>1909.5852367679893</v>
      </c>
      <c r="G20" s="26">
        <f t="shared" si="6"/>
        <v>1847.9857130012799</v>
      </c>
      <c r="H20" s="26">
        <f t="shared" si="6"/>
        <v>1909.5852367679893</v>
      </c>
      <c r="I20" s="26">
        <f t="shared" si="6"/>
        <v>1847.9857130012799</v>
      </c>
      <c r="J20" s="26">
        <f t="shared" si="6"/>
        <v>1909.5852367679893</v>
      </c>
      <c r="K20" s="26">
        <f t="shared" si="6"/>
        <v>1909.5852367679893</v>
      </c>
      <c r="L20" s="26">
        <f t="shared" si="6"/>
        <v>1847.9857130012799</v>
      </c>
      <c r="M20" s="26">
        <f t="shared" si="6"/>
        <v>1909.5852367679893</v>
      </c>
      <c r="N20" s="26">
        <f t="shared" si="6"/>
        <v>1847.9857130012799</v>
      </c>
      <c r="O20" s="26">
        <f t="shared" si="6"/>
        <v>1909.5852367679893</v>
      </c>
    </row>
    <row r="21" spans="2:15" x14ac:dyDescent="0.25">
      <c r="B21" s="99"/>
      <c r="C21" s="29" t="s">
        <v>36</v>
      </c>
      <c r="D21" s="26">
        <f>(D9-D18)*$B$22</f>
        <v>2333.9375116053197</v>
      </c>
      <c r="E21" s="26">
        <f t="shared" si="6"/>
        <v>2183.3608979533642</v>
      </c>
      <c r="F21" s="26">
        <f t="shared" si="6"/>
        <v>2333.9375116053197</v>
      </c>
      <c r="G21" s="26">
        <f t="shared" si="6"/>
        <v>2258.6492047793422</v>
      </c>
      <c r="H21" s="26">
        <f t="shared" si="6"/>
        <v>2333.9375116053197</v>
      </c>
      <c r="I21" s="26">
        <f t="shared" si="6"/>
        <v>2258.6492047793422</v>
      </c>
      <c r="J21" s="26">
        <f t="shared" si="6"/>
        <v>2333.9375116053197</v>
      </c>
      <c r="K21" s="26">
        <f t="shared" si="6"/>
        <v>2333.9375116053197</v>
      </c>
      <c r="L21" s="26">
        <f t="shared" si="6"/>
        <v>2258.6492047793422</v>
      </c>
      <c r="M21" s="26">
        <f t="shared" si="6"/>
        <v>2516.4089897853723</v>
      </c>
      <c r="N21" s="26">
        <f t="shared" si="6"/>
        <v>2435.234506243909</v>
      </c>
      <c r="O21" s="26">
        <f t="shared" si="6"/>
        <v>2516.4089897853723</v>
      </c>
    </row>
    <row r="22" spans="2:15" ht="14.45" x14ac:dyDescent="0.35">
      <c r="B22" s="64">
        <v>0.03</v>
      </c>
      <c r="C22" s="29" t="s">
        <v>70</v>
      </c>
      <c r="D22" s="65">
        <f>D20+D21</f>
        <v>4243.5227483733088</v>
      </c>
      <c r="E22" s="65">
        <f t="shared" ref="E22:O22" si="7">E20+E21</f>
        <v>3969.747087187935</v>
      </c>
      <c r="F22" s="65">
        <f t="shared" si="7"/>
        <v>4243.5227483733088</v>
      </c>
      <c r="G22" s="65">
        <f t="shared" si="7"/>
        <v>4106.6349177806223</v>
      </c>
      <c r="H22" s="65">
        <f t="shared" si="7"/>
        <v>4243.5227483733088</v>
      </c>
      <c r="I22" s="65">
        <f t="shared" si="7"/>
        <v>4106.6349177806223</v>
      </c>
      <c r="J22" s="65">
        <f t="shared" si="7"/>
        <v>4243.5227483733088</v>
      </c>
      <c r="K22" s="65">
        <f t="shared" si="7"/>
        <v>4243.5227483733088</v>
      </c>
      <c r="L22" s="65">
        <f t="shared" si="7"/>
        <v>4106.6349177806223</v>
      </c>
      <c r="M22" s="65">
        <f t="shared" si="7"/>
        <v>4425.9942265533618</v>
      </c>
      <c r="N22" s="65">
        <f t="shared" si="7"/>
        <v>4283.2202192451887</v>
      </c>
      <c r="O22" s="65">
        <f t="shared" si="7"/>
        <v>4425.9942265533618</v>
      </c>
    </row>
    <row r="25" spans="2:15" x14ac:dyDescent="0.25">
      <c r="B25" s="99" t="s">
        <v>38</v>
      </c>
      <c r="C25" s="27" t="s">
        <v>35</v>
      </c>
      <c r="D25" s="28">
        <f>(D8-D17-D20)/D6</f>
        <v>82.988247296816738</v>
      </c>
      <c r="E25" s="28">
        <f t="shared" ref="E25:O25" si="8">(E8-E17-E20)/E6</f>
        <v>82.988247296816738</v>
      </c>
      <c r="F25" s="28">
        <f t="shared" si="8"/>
        <v>82.988247296816738</v>
      </c>
      <c r="G25" s="28">
        <f t="shared" si="8"/>
        <v>82.988247296816738</v>
      </c>
      <c r="H25" s="28">
        <f t="shared" si="8"/>
        <v>82.988247296816738</v>
      </c>
      <c r="I25" s="28">
        <f t="shared" si="8"/>
        <v>82.988247296816738</v>
      </c>
      <c r="J25" s="28">
        <f t="shared" si="8"/>
        <v>82.988247296816738</v>
      </c>
      <c r="K25" s="28">
        <f t="shared" si="8"/>
        <v>82.988247296816738</v>
      </c>
      <c r="L25" s="28">
        <f t="shared" si="8"/>
        <v>82.988247296816738</v>
      </c>
      <c r="M25" s="28">
        <f t="shared" si="8"/>
        <v>82.988247296816738</v>
      </c>
      <c r="N25" s="28">
        <f t="shared" si="8"/>
        <v>82.988247296816738</v>
      </c>
      <c r="O25" s="28">
        <f t="shared" si="8"/>
        <v>82.988247296816738</v>
      </c>
    </row>
    <row r="26" spans="2:15" x14ac:dyDescent="0.25">
      <c r="B26" s="99"/>
      <c r="C26" s="27" t="s">
        <v>36</v>
      </c>
      <c r="D26" s="28">
        <f>(D9-D18-D21)/D6</f>
        <v>101.43008002944266</v>
      </c>
      <c r="E26" s="28">
        <f t="shared" ref="E26:O26" si="9">(E9-E18-E21)/E6</f>
        <v>101.43008002944269</v>
      </c>
      <c r="F26" s="28">
        <f t="shared" si="9"/>
        <v>101.43008002944266</v>
      </c>
      <c r="G26" s="28">
        <f t="shared" si="9"/>
        <v>101.43008002944268</v>
      </c>
      <c r="H26" s="28">
        <f t="shared" si="9"/>
        <v>101.43008002944266</v>
      </c>
      <c r="I26" s="28">
        <f t="shared" si="9"/>
        <v>101.43008002944268</v>
      </c>
      <c r="J26" s="28">
        <f t="shared" si="9"/>
        <v>101.43008002944266</v>
      </c>
      <c r="K26" s="28">
        <f t="shared" si="9"/>
        <v>101.43008002944266</v>
      </c>
      <c r="L26" s="28">
        <f t="shared" si="9"/>
        <v>101.43008002944268</v>
      </c>
      <c r="M26" s="28">
        <f t="shared" si="9"/>
        <v>109.36006810447184</v>
      </c>
      <c r="N26" s="28">
        <f t="shared" si="9"/>
        <v>109.36006810447184</v>
      </c>
      <c r="O26" s="28">
        <f t="shared" si="9"/>
        <v>109.36006810447184</v>
      </c>
    </row>
    <row r="27" spans="2:15" ht="14.45" x14ac:dyDescent="0.3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2:15" ht="14.45" x14ac:dyDescent="0.35"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</row>
  </sheetData>
  <mergeCells count="6">
    <mergeCell ref="B13:C13"/>
    <mergeCell ref="B20:B21"/>
    <mergeCell ref="B25:B26"/>
    <mergeCell ref="B3:B6"/>
    <mergeCell ref="B8:B11"/>
    <mergeCell ref="B17:B18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M4:O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82"/>
  <sheetViews>
    <sheetView workbookViewId="0">
      <selection activeCell="A78" sqref="A78:E82"/>
    </sheetView>
  </sheetViews>
  <sheetFormatPr defaultRowHeight="12.9" x14ac:dyDescent="0.2"/>
  <cols>
    <col min="1" max="1" width="8.75" style="32"/>
    <col min="2" max="2" width="21.5" style="32" customWidth="1"/>
    <col min="3" max="3" width="15.5" style="32" customWidth="1"/>
    <col min="4" max="4" width="21.5" style="32" customWidth="1"/>
    <col min="5" max="5" width="14.5" style="32" customWidth="1"/>
    <col min="6" max="6" width="5.125" style="51" customWidth="1"/>
    <col min="7" max="7" width="16.25" style="32" customWidth="1"/>
    <col min="8" max="9" width="17.125" style="32" customWidth="1"/>
    <col min="10" max="10" width="5.125" style="51" customWidth="1"/>
    <col min="11" max="11" width="26.5" style="32" customWidth="1"/>
    <col min="12" max="12" width="26.875" style="32" customWidth="1"/>
    <col min="13" max="13" width="9.5" style="32" bestFit="1" customWidth="1"/>
    <col min="14" max="14" width="5.125" style="51" customWidth="1"/>
    <col min="15" max="15" width="12.875" style="32" customWidth="1"/>
    <col min="16" max="16" width="14.125" style="32" customWidth="1"/>
    <col min="17" max="17" width="18.875" style="32" customWidth="1"/>
    <col min="18" max="18" width="8.75" style="51" customWidth="1"/>
    <col min="19" max="20" width="18.875" style="32" customWidth="1"/>
    <col min="21" max="21" width="5.5" style="32" customWidth="1"/>
    <col min="22" max="22" width="10.25" style="32" customWidth="1"/>
    <col min="23" max="25" width="9.5" style="32" customWidth="1"/>
    <col min="26" max="257" width="8.75" style="32"/>
    <col min="258" max="258" width="21.5" style="32" customWidth="1"/>
    <col min="259" max="259" width="15.5" style="32" customWidth="1"/>
    <col min="260" max="260" width="21.5" style="32" customWidth="1"/>
    <col min="261" max="261" width="14.5" style="32" customWidth="1"/>
    <col min="262" max="262" width="5.125" style="32" customWidth="1"/>
    <col min="263" max="263" width="16.25" style="32" customWidth="1"/>
    <col min="264" max="265" width="17.125" style="32" customWidth="1"/>
    <col min="266" max="266" width="5.125" style="32" customWidth="1"/>
    <col min="267" max="267" width="26.5" style="32" customWidth="1"/>
    <col min="268" max="268" width="26.875" style="32" customWidth="1"/>
    <col min="269" max="269" width="9.5" style="32" bestFit="1" customWidth="1"/>
    <col min="270" max="270" width="5.125" style="32" customWidth="1"/>
    <col min="271" max="271" width="12.875" style="32" customWidth="1"/>
    <col min="272" max="272" width="14.125" style="32" customWidth="1"/>
    <col min="273" max="273" width="18.875" style="32" customWidth="1"/>
    <col min="274" max="274" width="8.75" style="32" customWidth="1"/>
    <col min="275" max="276" width="18.875" style="32" customWidth="1"/>
    <col min="277" max="277" width="5.5" style="32" customWidth="1"/>
    <col min="278" max="278" width="10.25" style="32" customWidth="1"/>
    <col min="279" max="281" width="9.5" style="32" customWidth="1"/>
    <col min="282" max="513" width="8.75" style="32"/>
    <col min="514" max="514" width="21.5" style="32" customWidth="1"/>
    <col min="515" max="515" width="15.5" style="32" customWidth="1"/>
    <col min="516" max="516" width="21.5" style="32" customWidth="1"/>
    <col min="517" max="517" width="14.5" style="32" customWidth="1"/>
    <col min="518" max="518" width="5.125" style="32" customWidth="1"/>
    <col min="519" max="519" width="16.25" style="32" customWidth="1"/>
    <col min="520" max="521" width="17.125" style="32" customWidth="1"/>
    <col min="522" max="522" width="5.125" style="32" customWidth="1"/>
    <col min="523" max="523" width="26.5" style="32" customWidth="1"/>
    <col min="524" max="524" width="26.875" style="32" customWidth="1"/>
    <col min="525" max="525" width="9.5" style="32" bestFit="1" customWidth="1"/>
    <col min="526" max="526" width="5.125" style="32" customWidth="1"/>
    <col min="527" max="527" width="12.875" style="32" customWidth="1"/>
    <col min="528" max="528" width="14.125" style="32" customWidth="1"/>
    <col min="529" max="529" width="18.875" style="32" customWidth="1"/>
    <col min="530" max="530" width="8.75" style="32" customWidth="1"/>
    <col min="531" max="532" width="18.875" style="32" customWidth="1"/>
    <col min="533" max="533" width="5.5" style="32" customWidth="1"/>
    <col min="534" max="534" width="10.25" style="32" customWidth="1"/>
    <col min="535" max="537" width="9.5" style="32" customWidth="1"/>
    <col min="538" max="769" width="8.75" style="32"/>
    <col min="770" max="770" width="21.5" style="32" customWidth="1"/>
    <col min="771" max="771" width="15.5" style="32" customWidth="1"/>
    <col min="772" max="772" width="21.5" style="32" customWidth="1"/>
    <col min="773" max="773" width="14.5" style="32" customWidth="1"/>
    <col min="774" max="774" width="5.125" style="32" customWidth="1"/>
    <col min="775" max="775" width="16.25" style="32" customWidth="1"/>
    <col min="776" max="777" width="17.125" style="32" customWidth="1"/>
    <col min="778" max="778" width="5.125" style="32" customWidth="1"/>
    <col min="779" max="779" width="26.5" style="32" customWidth="1"/>
    <col min="780" max="780" width="26.875" style="32" customWidth="1"/>
    <col min="781" max="781" width="9.5" style="32" bestFit="1" customWidth="1"/>
    <col min="782" max="782" width="5.125" style="32" customWidth="1"/>
    <col min="783" max="783" width="12.875" style="32" customWidth="1"/>
    <col min="784" max="784" width="14.125" style="32" customWidth="1"/>
    <col min="785" max="785" width="18.875" style="32" customWidth="1"/>
    <col min="786" max="786" width="8.75" style="32" customWidth="1"/>
    <col min="787" max="788" width="18.875" style="32" customWidth="1"/>
    <col min="789" max="789" width="5.5" style="32" customWidth="1"/>
    <col min="790" max="790" width="10.25" style="32" customWidth="1"/>
    <col min="791" max="793" width="9.5" style="32" customWidth="1"/>
    <col min="794" max="1025" width="8.75" style="32"/>
    <col min="1026" max="1026" width="21.5" style="32" customWidth="1"/>
    <col min="1027" max="1027" width="15.5" style="32" customWidth="1"/>
    <col min="1028" max="1028" width="21.5" style="32" customWidth="1"/>
    <col min="1029" max="1029" width="14.5" style="32" customWidth="1"/>
    <col min="1030" max="1030" width="5.125" style="32" customWidth="1"/>
    <col min="1031" max="1031" width="16.25" style="32" customWidth="1"/>
    <col min="1032" max="1033" width="17.125" style="32" customWidth="1"/>
    <col min="1034" max="1034" width="5.125" style="32" customWidth="1"/>
    <col min="1035" max="1035" width="26.5" style="32" customWidth="1"/>
    <col min="1036" max="1036" width="26.875" style="32" customWidth="1"/>
    <col min="1037" max="1037" width="9.5" style="32" bestFit="1" customWidth="1"/>
    <col min="1038" max="1038" width="5.125" style="32" customWidth="1"/>
    <col min="1039" max="1039" width="12.875" style="32" customWidth="1"/>
    <col min="1040" max="1040" width="14.125" style="32" customWidth="1"/>
    <col min="1041" max="1041" width="18.875" style="32" customWidth="1"/>
    <col min="1042" max="1042" width="8.75" style="32" customWidth="1"/>
    <col min="1043" max="1044" width="18.875" style="32" customWidth="1"/>
    <col min="1045" max="1045" width="5.5" style="32" customWidth="1"/>
    <col min="1046" max="1046" width="10.25" style="32" customWidth="1"/>
    <col min="1047" max="1049" width="9.5" style="32" customWidth="1"/>
    <col min="1050" max="1281" width="8.75" style="32"/>
    <col min="1282" max="1282" width="21.5" style="32" customWidth="1"/>
    <col min="1283" max="1283" width="15.5" style="32" customWidth="1"/>
    <col min="1284" max="1284" width="21.5" style="32" customWidth="1"/>
    <col min="1285" max="1285" width="14.5" style="32" customWidth="1"/>
    <col min="1286" max="1286" width="5.125" style="32" customWidth="1"/>
    <col min="1287" max="1287" width="16.25" style="32" customWidth="1"/>
    <col min="1288" max="1289" width="17.125" style="32" customWidth="1"/>
    <col min="1290" max="1290" width="5.125" style="32" customWidth="1"/>
    <col min="1291" max="1291" width="26.5" style="32" customWidth="1"/>
    <col min="1292" max="1292" width="26.875" style="32" customWidth="1"/>
    <col min="1293" max="1293" width="9.5" style="32" bestFit="1" customWidth="1"/>
    <col min="1294" max="1294" width="5.125" style="32" customWidth="1"/>
    <col min="1295" max="1295" width="12.875" style="32" customWidth="1"/>
    <col min="1296" max="1296" width="14.125" style="32" customWidth="1"/>
    <col min="1297" max="1297" width="18.875" style="32" customWidth="1"/>
    <col min="1298" max="1298" width="8.75" style="32" customWidth="1"/>
    <col min="1299" max="1300" width="18.875" style="32" customWidth="1"/>
    <col min="1301" max="1301" width="5.5" style="32" customWidth="1"/>
    <col min="1302" max="1302" width="10.25" style="32" customWidth="1"/>
    <col min="1303" max="1305" width="9.5" style="32" customWidth="1"/>
    <col min="1306" max="1537" width="8.75" style="32"/>
    <col min="1538" max="1538" width="21.5" style="32" customWidth="1"/>
    <col min="1539" max="1539" width="15.5" style="32" customWidth="1"/>
    <col min="1540" max="1540" width="21.5" style="32" customWidth="1"/>
    <col min="1541" max="1541" width="14.5" style="32" customWidth="1"/>
    <col min="1542" max="1542" width="5.125" style="32" customWidth="1"/>
    <col min="1543" max="1543" width="16.25" style="32" customWidth="1"/>
    <col min="1544" max="1545" width="17.125" style="32" customWidth="1"/>
    <col min="1546" max="1546" width="5.125" style="32" customWidth="1"/>
    <col min="1547" max="1547" width="26.5" style="32" customWidth="1"/>
    <col min="1548" max="1548" width="26.875" style="32" customWidth="1"/>
    <col min="1549" max="1549" width="9.5" style="32" bestFit="1" customWidth="1"/>
    <col min="1550" max="1550" width="5.125" style="32" customWidth="1"/>
    <col min="1551" max="1551" width="12.875" style="32" customWidth="1"/>
    <col min="1552" max="1552" width="14.125" style="32" customWidth="1"/>
    <col min="1553" max="1553" width="18.875" style="32" customWidth="1"/>
    <col min="1554" max="1554" width="8.75" style="32" customWidth="1"/>
    <col min="1555" max="1556" width="18.875" style="32" customWidth="1"/>
    <col min="1557" max="1557" width="5.5" style="32" customWidth="1"/>
    <col min="1558" max="1558" width="10.25" style="32" customWidth="1"/>
    <col min="1559" max="1561" width="9.5" style="32" customWidth="1"/>
    <col min="1562" max="1793" width="8.75" style="32"/>
    <col min="1794" max="1794" width="21.5" style="32" customWidth="1"/>
    <col min="1795" max="1795" width="15.5" style="32" customWidth="1"/>
    <col min="1796" max="1796" width="21.5" style="32" customWidth="1"/>
    <col min="1797" max="1797" width="14.5" style="32" customWidth="1"/>
    <col min="1798" max="1798" width="5.125" style="32" customWidth="1"/>
    <col min="1799" max="1799" width="16.25" style="32" customWidth="1"/>
    <col min="1800" max="1801" width="17.125" style="32" customWidth="1"/>
    <col min="1802" max="1802" width="5.125" style="32" customWidth="1"/>
    <col min="1803" max="1803" width="26.5" style="32" customWidth="1"/>
    <col min="1804" max="1804" width="26.875" style="32" customWidth="1"/>
    <col min="1805" max="1805" width="9.5" style="32" bestFit="1" customWidth="1"/>
    <col min="1806" max="1806" width="5.125" style="32" customWidth="1"/>
    <col min="1807" max="1807" width="12.875" style="32" customWidth="1"/>
    <col min="1808" max="1808" width="14.125" style="32" customWidth="1"/>
    <col min="1809" max="1809" width="18.875" style="32" customWidth="1"/>
    <col min="1810" max="1810" width="8.75" style="32" customWidth="1"/>
    <col min="1811" max="1812" width="18.875" style="32" customWidth="1"/>
    <col min="1813" max="1813" width="5.5" style="32" customWidth="1"/>
    <col min="1814" max="1814" width="10.25" style="32" customWidth="1"/>
    <col min="1815" max="1817" width="9.5" style="32" customWidth="1"/>
    <col min="1818" max="2049" width="8.75" style="32"/>
    <col min="2050" max="2050" width="21.5" style="32" customWidth="1"/>
    <col min="2051" max="2051" width="15.5" style="32" customWidth="1"/>
    <col min="2052" max="2052" width="21.5" style="32" customWidth="1"/>
    <col min="2053" max="2053" width="14.5" style="32" customWidth="1"/>
    <col min="2054" max="2054" width="5.125" style="32" customWidth="1"/>
    <col min="2055" max="2055" width="16.25" style="32" customWidth="1"/>
    <col min="2056" max="2057" width="17.125" style="32" customWidth="1"/>
    <col min="2058" max="2058" width="5.125" style="32" customWidth="1"/>
    <col min="2059" max="2059" width="26.5" style="32" customWidth="1"/>
    <col min="2060" max="2060" width="26.875" style="32" customWidth="1"/>
    <col min="2061" max="2061" width="9.5" style="32" bestFit="1" customWidth="1"/>
    <col min="2062" max="2062" width="5.125" style="32" customWidth="1"/>
    <col min="2063" max="2063" width="12.875" style="32" customWidth="1"/>
    <col min="2064" max="2064" width="14.125" style="32" customWidth="1"/>
    <col min="2065" max="2065" width="18.875" style="32" customWidth="1"/>
    <col min="2066" max="2066" width="8.75" style="32" customWidth="1"/>
    <col min="2067" max="2068" width="18.875" style="32" customWidth="1"/>
    <col min="2069" max="2069" width="5.5" style="32" customWidth="1"/>
    <col min="2070" max="2070" width="10.25" style="32" customWidth="1"/>
    <col min="2071" max="2073" width="9.5" style="32" customWidth="1"/>
    <col min="2074" max="2305" width="8.75" style="32"/>
    <col min="2306" max="2306" width="21.5" style="32" customWidth="1"/>
    <col min="2307" max="2307" width="15.5" style="32" customWidth="1"/>
    <col min="2308" max="2308" width="21.5" style="32" customWidth="1"/>
    <col min="2309" max="2309" width="14.5" style="32" customWidth="1"/>
    <col min="2310" max="2310" width="5.125" style="32" customWidth="1"/>
    <col min="2311" max="2311" width="16.25" style="32" customWidth="1"/>
    <col min="2312" max="2313" width="17.125" style="32" customWidth="1"/>
    <col min="2314" max="2314" width="5.125" style="32" customWidth="1"/>
    <col min="2315" max="2315" width="26.5" style="32" customWidth="1"/>
    <col min="2316" max="2316" width="26.875" style="32" customWidth="1"/>
    <col min="2317" max="2317" width="9.5" style="32" bestFit="1" customWidth="1"/>
    <col min="2318" max="2318" width="5.125" style="32" customWidth="1"/>
    <col min="2319" max="2319" width="12.875" style="32" customWidth="1"/>
    <col min="2320" max="2320" width="14.125" style="32" customWidth="1"/>
    <col min="2321" max="2321" width="18.875" style="32" customWidth="1"/>
    <col min="2322" max="2322" width="8.75" style="32" customWidth="1"/>
    <col min="2323" max="2324" width="18.875" style="32" customWidth="1"/>
    <col min="2325" max="2325" width="5.5" style="32" customWidth="1"/>
    <col min="2326" max="2326" width="10.25" style="32" customWidth="1"/>
    <col min="2327" max="2329" width="9.5" style="32" customWidth="1"/>
    <col min="2330" max="2561" width="8.75" style="32"/>
    <col min="2562" max="2562" width="21.5" style="32" customWidth="1"/>
    <col min="2563" max="2563" width="15.5" style="32" customWidth="1"/>
    <col min="2564" max="2564" width="21.5" style="32" customWidth="1"/>
    <col min="2565" max="2565" width="14.5" style="32" customWidth="1"/>
    <col min="2566" max="2566" width="5.125" style="32" customWidth="1"/>
    <col min="2567" max="2567" width="16.25" style="32" customWidth="1"/>
    <col min="2568" max="2569" width="17.125" style="32" customWidth="1"/>
    <col min="2570" max="2570" width="5.125" style="32" customWidth="1"/>
    <col min="2571" max="2571" width="26.5" style="32" customWidth="1"/>
    <col min="2572" max="2572" width="26.875" style="32" customWidth="1"/>
    <col min="2573" max="2573" width="9.5" style="32" bestFit="1" customWidth="1"/>
    <col min="2574" max="2574" width="5.125" style="32" customWidth="1"/>
    <col min="2575" max="2575" width="12.875" style="32" customWidth="1"/>
    <col min="2576" max="2576" width="14.125" style="32" customWidth="1"/>
    <col min="2577" max="2577" width="18.875" style="32" customWidth="1"/>
    <col min="2578" max="2578" width="8.75" style="32" customWidth="1"/>
    <col min="2579" max="2580" width="18.875" style="32" customWidth="1"/>
    <col min="2581" max="2581" width="5.5" style="32" customWidth="1"/>
    <col min="2582" max="2582" width="10.25" style="32" customWidth="1"/>
    <col min="2583" max="2585" width="9.5" style="32" customWidth="1"/>
    <col min="2586" max="2817" width="8.75" style="32"/>
    <col min="2818" max="2818" width="21.5" style="32" customWidth="1"/>
    <col min="2819" max="2819" width="15.5" style="32" customWidth="1"/>
    <col min="2820" max="2820" width="21.5" style="32" customWidth="1"/>
    <col min="2821" max="2821" width="14.5" style="32" customWidth="1"/>
    <col min="2822" max="2822" width="5.125" style="32" customWidth="1"/>
    <col min="2823" max="2823" width="16.25" style="32" customWidth="1"/>
    <col min="2824" max="2825" width="17.125" style="32" customWidth="1"/>
    <col min="2826" max="2826" width="5.125" style="32" customWidth="1"/>
    <col min="2827" max="2827" width="26.5" style="32" customWidth="1"/>
    <col min="2828" max="2828" width="26.875" style="32" customWidth="1"/>
    <col min="2829" max="2829" width="9.5" style="32" bestFit="1" customWidth="1"/>
    <col min="2830" max="2830" width="5.125" style="32" customWidth="1"/>
    <col min="2831" max="2831" width="12.875" style="32" customWidth="1"/>
    <col min="2832" max="2832" width="14.125" style="32" customWidth="1"/>
    <col min="2833" max="2833" width="18.875" style="32" customWidth="1"/>
    <col min="2834" max="2834" width="8.75" style="32" customWidth="1"/>
    <col min="2835" max="2836" width="18.875" style="32" customWidth="1"/>
    <col min="2837" max="2837" width="5.5" style="32" customWidth="1"/>
    <col min="2838" max="2838" width="10.25" style="32" customWidth="1"/>
    <col min="2839" max="2841" width="9.5" style="32" customWidth="1"/>
    <col min="2842" max="3073" width="8.75" style="32"/>
    <col min="3074" max="3074" width="21.5" style="32" customWidth="1"/>
    <col min="3075" max="3075" width="15.5" style="32" customWidth="1"/>
    <col min="3076" max="3076" width="21.5" style="32" customWidth="1"/>
    <col min="3077" max="3077" width="14.5" style="32" customWidth="1"/>
    <col min="3078" max="3078" width="5.125" style="32" customWidth="1"/>
    <col min="3079" max="3079" width="16.25" style="32" customWidth="1"/>
    <col min="3080" max="3081" width="17.125" style="32" customWidth="1"/>
    <col min="3082" max="3082" width="5.125" style="32" customWidth="1"/>
    <col min="3083" max="3083" width="26.5" style="32" customWidth="1"/>
    <col min="3084" max="3084" width="26.875" style="32" customWidth="1"/>
    <col min="3085" max="3085" width="9.5" style="32" bestFit="1" customWidth="1"/>
    <col min="3086" max="3086" width="5.125" style="32" customWidth="1"/>
    <col min="3087" max="3087" width="12.875" style="32" customWidth="1"/>
    <col min="3088" max="3088" width="14.125" style="32" customWidth="1"/>
    <col min="3089" max="3089" width="18.875" style="32" customWidth="1"/>
    <col min="3090" max="3090" width="8.75" style="32" customWidth="1"/>
    <col min="3091" max="3092" width="18.875" style="32" customWidth="1"/>
    <col min="3093" max="3093" width="5.5" style="32" customWidth="1"/>
    <col min="3094" max="3094" width="10.25" style="32" customWidth="1"/>
    <col min="3095" max="3097" width="9.5" style="32" customWidth="1"/>
    <col min="3098" max="3329" width="8.75" style="32"/>
    <col min="3330" max="3330" width="21.5" style="32" customWidth="1"/>
    <col min="3331" max="3331" width="15.5" style="32" customWidth="1"/>
    <col min="3332" max="3332" width="21.5" style="32" customWidth="1"/>
    <col min="3333" max="3333" width="14.5" style="32" customWidth="1"/>
    <col min="3334" max="3334" width="5.125" style="32" customWidth="1"/>
    <col min="3335" max="3335" width="16.25" style="32" customWidth="1"/>
    <col min="3336" max="3337" width="17.125" style="32" customWidth="1"/>
    <col min="3338" max="3338" width="5.125" style="32" customWidth="1"/>
    <col min="3339" max="3339" width="26.5" style="32" customWidth="1"/>
    <col min="3340" max="3340" width="26.875" style="32" customWidth="1"/>
    <col min="3341" max="3341" width="9.5" style="32" bestFit="1" customWidth="1"/>
    <col min="3342" max="3342" width="5.125" style="32" customWidth="1"/>
    <col min="3343" max="3343" width="12.875" style="32" customWidth="1"/>
    <col min="3344" max="3344" width="14.125" style="32" customWidth="1"/>
    <col min="3345" max="3345" width="18.875" style="32" customWidth="1"/>
    <col min="3346" max="3346" width="8.75" style="32" customWidth="1"/>
    <col min="3347" max="3348" width="18.875" style="32" customWidth="1"/>
    <col min="3349" max="3349" width="5.5" style="32" customWidth="1"/>
    <col min="3350" max="3350" width="10.25" style="32" customWidth="1"/>
    <col min="3351" max="3353" width="9.5" style="32" customWidth="1"/>
    <col min="3354" max="3585" width="8.75" style="32"/>
    <col min="3586" max="3586" width="21.5" style="32" customWidth="1"/>
    <col min="3587" max="3587" width="15.5" style="32" customWidth="1"/>
    <col min="3588" max="3588" width="21.5" style="32" customWidth="1"/>
    <col min="3589" max="3589" width="14.5" style="32" customWidth="1"/>
    <col min="3590" max="3590" width="5.125" style="32" customWidth="1"/>
    <col min="3591" max="3591" width="16.25" style="32" customWidth="1"/>
    <col min="3592" max="3593" width="17.125" style="32" customWidth="1"/>
    <col min="3594" max="3594" width="5.125" style="32" customWidth="1"/>
    <col min="3595" max="3595" width="26.5" style="32" customWidth="1"/>
    <col min="3596" max="3596" width="26.875" style="32" customWidth="1"/>
    <col min="3597" max="3597" width="9.5" style="32" bestFit="1" customWidth="1"/>
    <col min="3598" max="3598" width="5.125" style="32" customWidth="1"/>
    <col min="3599" max="3599" width="12.875" style="32" customWidth="1"/>
    <col min="3600" max="3600" width="14.125" style="32" customWidth="1"/>
    <col min="3601" max="3601" width="18.875" style="32" customWidth="1"/>
    <col min="3602" max="3602" width="8.75" style="32" customWidth="1"/>
    <col min="3603" max="3604" width="18.875" style="32" customWidth="1"/>
    <col min="3605" max="3605" width="5.5" style="32" customWidth="1"/>
    <col min="3606" max="3606" width="10.25" style="32" customWidth="1"/>
    <col min="3607" max="3609" width="9.5" style="32" customWidth="1"/>
    <col min="3610" max="3841" width="8.75" style="32"/>
    <col min="3842" max="3842" width="21.5" style="32" customWidth="1"/>
    <col min="3843" max="3843" width="15.5" style="32" customWidth="1"/>
    <col min="3844" max="3844" width="21.5" style="32" customWidth="1"/>
    <col min="3845" max="3845" width="14.5" style="32" customWidth="1"/>
    <col min="3846" max="3846" width="5.125" style="32" customWidth="1"/>
    <col min="3847" max="3847" width="16.25" style="32" customWidth="1"/>
    <col min="3848" max="3849" width="17.125" style="32" customWidth="1"/>
    <col min="3850" max="3850" width="5.125" style="32" customWidth="1"/>
    <col min="3851" max="3851" width="26.5" style="32" customWidth="1"/>
    <col min="3852" max="3852" width="26.875" style="32" customWidth="1"/>
    <col min="3853" max="3853" width="9.5" style="32" bestFit="1" customWidth="1"/>
    <col min="3854" max="3854" width="5.125" style="32" customWidth="1"/>
    <col min="3855" max="3855" width="12.875" style="32" customWidth="1"/>
    <col min="3856" max="3856" width="14.125" style="32" customWidth="1"/>
    <col min="3857" max="3857" width="18.875" style="32" customWidth="1"/>
    <col min="3858" max="3858" width="8.75" style="32" customWidth="1"/>
    <col min="3859" max="3860" width="18.875" style="32" customWidth="1"/>
    <col min="3861" max="3861" width="5.5" style="32" customWidth="1"/>
    <col min="3862" max="3862" width="10.25" style="32" customWidth="1"/>
    <col min="3863" max="3865" width="9.5" style="32" customWidth="1"/>
    <col min="3866" max="4097" width="8.75" style="32"/>
    <col min="4098" max="4098" width="21.5" style="32" customWidth="1"/>
    <col min="4099" max="4099" width="15.5" style="32" customWidth="1"/>
    <col min="4100" max="4100" width="21.5" style="32" customWidth="1"/>
    <col min="4101" max="4101" width="14.5" style="32" customWidth="1"/>
    <col min="4102" max="4102" width="5.125" style="32" customWidth="1"/>
    <col min="4103" max="4103" width="16.25" style="32" customWidth="1"/>
    <col min="4104" max="4105" width="17.125" style="32" customWidth="1"/>
    <col min="4106" max="4106" width="5.125" style="32" customWidth="1"/>
    <col min="4107" max="4107" width="26.5" style="32" customWidth="1"/>
    <col min="4108" max="4108" width="26.875" style="32" customWidth="1"/>
    <col min="4109" max="4109" width="9.5" style="32" bestFit="1" customWidth="1"/>
    <col min="4110" max="4110" width="5.125" style="32" customWidth="1"/>
    <col min="4111" max="4111" width="12.875" style="32" customWidth="1"/>
    <col min="4112" max="4112" width="14.125" style="32" customWidth="1"/>
    <col min="4113" max="4113" width="18.875" style="32" customWidth="1"/>
    <col min="4114" max="4114" width="8.75" style="32" customWidth="1"/>
    <col min="4115" max="4116" width="18.875" style="32" customWidth="1"/>
    <col min="4117" max="4117" width="5.5" style="32" customWidth="1"/>
    <col min="4118" max="4118" width="10.25" style="32" customWidth="1"/>
    <col min="4119" max="4121" width="9.5" style="32" customWidth="1"/>
    <col min="4122" max="4353" width="8.75" style="32"/>
    <col min="4354" max="4354" width="21.5" style="32" customWidth="1"/>
    <col min="4355" max="4355" width="15.5" style="32" customWidth="1"/>
    <col min="4356" max="4356" width="21.5" style="32" customWidth="1"/>
    <col min="4357" max="4357" width="14.5" style="32" customWidth="1"/>
    <col min="4358" max="4358" width="5.125" style="32" customWidth="1"/>
    <col min="4359" max="4359" width="16.25" style="32" customWidth="1"/>
    <col min="4360" max="4361" width="17.125" style="32" customWidth="1"/>
    <col min="4362" max="4362" width="5.125" style="32" customWidth="1"/>
    <col min="4363" max="4363" width="26.5" style="32" customWidth="1"/>
    <col min="4364" max="4364" width="26.875" style="32" customWidth="1"/>
    <col min="4365" max="4365" width="9.5" style="32" bestFit="1" customWidth="1"/>
    <col min="4366" max="4366" width="5.125" style="32" customWidth="1"/>
    <col min="4367" max="4367" width="12.875" style="32" customWidth="1"/>
    <col min="4368" max="4368" width="14.125" style="32" customWidth="1"/>
    <col min="4369" max="4369" width="18.875" style="32" customWidth="1"/>
    <col min="4370" max="4370" width="8.75" style="32" customWidth="1"/>
    <col min="4371" max="4372" width="18.875" style="32" customWidth="1"/>
    <col min="4373" max="4373" width="5.5" style="32" customWidth="1"/>
    <col min="4374" max="4374" width="10.25" style="32" customWidth="1"/>
    <col min="4375" max="4377" width="9.5" style="32" customWidth="1"/>
    <col min="4378" max="4609" width="8.75" style="32"/>
    <col min="4610" max="4610" width="21.5" style="32" customWidth="1"/>
    <col min="4611" max="4611" width="15.5" style="32" customWidth="1"/>
    <col min="4612" max="4612" width="21.5" style="32" customWidth="1"/>
    <col min="4613" max="4613" width="14.5" style="32" customWidth="1"/>
    <col min="4614" max="4614" width="5.125" style="32" customWidth="1"/>
    <col min="4615" max="4615" width="16.25" style="32" customWidth="1"/>
    <col min="4616" max="4617" width="17.125" style="32" customWidth="1"/>
    <col min="4618" max="4618" width="5.125" style="32" customWidth="1"/>
    <col min="4619" max="4619" width="26.5" style="32" customWidth="1"/>
    <col min="4620" max="4620" width="26.875" style="32" customWidth="1"/>
    <col min="4621" max="4621" width="9.5" style="32" bestFit="1" customWidth="1"/>
    <col min="4622" max="4622" width="5.125" style="32" customWidth="1"/>
    <col min="4623" max="4623" width="12.875" style="32" customWidth="1"/>
    <col min="4624" max="4624" width="14.125" style="32" customWidth="1"/>
    <col min="4625" max="4625" width="18.875" style="32" customWidth="1"/>
    <col min="4626" max="4626" width="8.75" style="32" customWidth="1"/>
    <col min="4627" max="4628" width="18.875" style="32" customWidth="1"/>
    <col min="4629" max="4629" width="5.5" style="32" customWidth="1"/>
    <col min="4630" max="4630" width="10.25" style="32" customWidth="1"/>
    <col min="4631" max="4633" width="9.5" style="32" customWidth="1"/>
    <col min="4634" max="4865" width="8.75" style="32"/>
    <col min="4866" max="4866" width="21.5" style="32" customWidth="1"/>
    <col min="4867" max="4867" width="15.5" style="32" customWidth="1"/>
    <col min="4868" max="4868" width="21.5" style="32" customWidth="1"/>
    <col min="4869" max="4869" width="14.5" style="32" customWidth="1"/>
    <col min="4870" max="4870" width="5.125" style="32" customWidth="1"/>
    <col min="4871" max="4871" width="16.25" style="32" customWidth="1"/>
    <col min="4872" max="4873" width="17.125" style="32" customWidth="1"/>
    <col min="4874" max="4874" width="5.125" style="32" customWidth="1"/>
    <col min="4875" max="4875" width="26.5" style="32" customWidth="1"/>
    <col min="4876" max="4876" width="26.875" style="32" customWidth="1"/>
    <col min="4877" max="4877" width="9.5" style="32" bestFit="1" customWidth="1"/>
    <col min="4878" max="4878" width="5.125" style="32" customWidth="1"/>
    <col min="4879" max="4879" width="12.875" style="32" customWidth="1"/>
    <col min="4880" max="4880" width="14.125" style="32" customWidth="1"/>
    <col min="4881" max="4881" width="18.875" style="32" customWidth="1"/>
    <col min="4882" max="4882" width="8.75" style="32" customWidth="1"/>
    <col min="4883" max="4884" width="18.875" style="32" customWidth="1"/>
    <col min="4885" max="4885" width="5.5" style="32" customWidth="1"/>
    <col min="4886" max="4886" width="10.25" style="32" customWidth="1"/>
    <col min="4887" max="4889" width="9.5" style="32" customWidth="1"/>
    <col min="4890" max="5121" width="8.75" style="32"/>
    <col min="5122" max="5122" width="21.5" style="32" customWidth="1"/>
    <col min="5123" max="5123" width="15.5" style="32" customWidth="1"/>
    <col min="5124" max="5124" width="21.5" style="32" customWidth="1"/>
    <col min="5125" max="5125" width="14.5" style="32" customWidth="1"/>
    <col min="5126" max="5126" width="5.125" style="32" customWidth="1"/>
    <col min="5127" max="5127" width="16.25" style="32" customWidth="1"/>
    <col min="5128" max="5129" width="17.125" style="32" customWidth="1"/>
    <col min="5130" max="5130" width="5.125" style="32" customWidth="1"/>
    <col min="5131" max="5131" width="26.5" style="32" customWidth="1"/>
    <col min="5132" max="5132" width="26.875" style="32" customWidth="1"/>
    <col min="5133" max="5133" width="9.5" style="32" bestFit="1" customWidth="1"/>
    <col min="5134" max="5134" width="5.125" style="32" customWidth="1"/>
    <col min="5135" max="5135" width="12.875" style="32" customWidth="1"/>
    <col min="5136" max="5136" width="14.125" style="32" customWidth="1"/>
    <col min="5137" max="5137" width="18.875" style="32" customWidth="1"/>
    <col min="5138" max="5138" width="8.75" style="32" customWidth="1"/>
    <col min="5139" max="5140" width="18.875" style="32" customWidth="1"/>
    <col min="5141" max="5141" width="5.5" style="32" customWidth="1"/>
    <col min="5142" max="5142" width="10.25" style="32" customWidth="1"/>
    <col min="5143" max="5145" width="9.5" style="32" customWidth="1"/>
    <col min="5146" max="5377" width="8.75" style="32"/>
    <col min="5378" max="5378" width="21.5" style="32" customWidth="1"/>
    <col min="5379" max="5379" width="15.5" style="32" customWidth="1"/>
    <col min="5380" max="5380" width="21.5" style="32" customWidth="1"/>
    <col min="5381" max="5381" width="14.5" style="32" customWidth="1"/>
    <col min="5382" max="5382" width="5.125" style="32" customWidth="1"/>
    <col min="5383" max="5383" width="16.25" style="32" customWidth="1"/>
    <col min="5384" max="5385" width="17.125" style="32" customWidth="1"/>
    <col min="5386" max="5386" width="5.125" style="32" customWidth="1"/>
    <col min="5387" max="5387" width="26.5" style="32" customWidth="1"/>
    <col min="5388" max="5388" width="26.875" style="32" customWidth="1"/>
    <col min="5389" max="5389" width="9.5" style="32" bestFit="1" customWidth="1"/>
    <col min="5390" max="5390" width="5.125" style="32" customWidth="1"/>
    <col min="5391" max="5391" width="12.875" style="32" customWidth="1"/>
    <col min="5392" max="5392" width="14.125" style="32" customWidth="1"/>
    <col min="5393" max="5393" width="18.875" style="32" customWidth="1"/>
    <col min="5394" max="5394" width="8.75" style="32" customWidth="1"/>
    <col min="5395" max="5396" width="18.875" style="32" customWidth="1"/>
    <col min="5397" max="5397" width="5.5" style="32" customWidth="1"/>
    <col min="5398" max="5398" width="10.25" style="32" customWidth="1"/>
    <col min="5399" max="5401" width="9.5" style="32" customWidth="1"/>
    <col min="5402" max="5633" width="8.75" style="32"/>
    <col min="5634" max="5634" width="21.5" style="32" customWidth="1"/>
    <col min="5635" max="5635" width="15.5" style="32" customWidth="1"/>
    <col min="5636" max="5636" width="21.5" style="32" customWidth="1"/>
    <col min="5637" max="5637" width="14.5" style="32" customWidth="1"/>
    <col min="5638" max="5638" width="5.125" style="32" customWidth="1"/>
    <col min="5639" max="5639" width="16.25" style="32" customWidth="1"/>
    <col min="5640" max="5641" width="17.125" style="32" customWidth="1"/>
    <col min="5642" max="5642" width="5.125" style="32" customWidth="1"/>
    <col min="5643" max="5643" width="26.5" style="32" customWidth="1"/>
    <col min="5644" max="5644" width="26.875" style="32" customWidth="1"/>
    <col min="5645" max="5645" width="9.5" style="32" bestFit="1" customWidth="1"/>
    <col min="5646" max="5646" width="5.125" style="32" customWidth="1"/>
    <col min="5647" max="5647" width="12.875" style="32" customWidth="1"/>
    <col min="5648" max="5648" width="14.125" style="32" customWidth="1"/>
    <col min="5649" max="5649" width="18.875" style="32" customWidth="1"/>
    <col min="5650" max="5650" width="8.75" style="32" customWidth="1"/>
    <col min="5651" max="5652" width="18.875" style="32" customWidth="1"/>
    <col min="5653" max="5653" width="5.5" style="32" customWidth="1"/>
    <col min="5654" max="5654" width="10.25" style="32" customWidth="1"/>
    <col min="5655" max="5657" width="9.5" style="32" customWidth="1"/>
    <col min="5658" max="5889" width="8.75" style="32"/>
    <col min="5890" max="5890" width="21.5" style="32" customWidth="1"/>
    <col min="5891" max="5891" width="15.5" style="32" customWidth="1"/>
    <col min="5892" max="5892" width="21.5" style="32" customWidth="1"/>
    <col min="5893" max="5893" width="14.5" style="32" customWidth="1"/>
    <col min="5894" max="5894" width="5.125" style="32" customWidth="1"/>
    <col min="5895" max="5895" width="16.25" style="32" customWidth="1"/>
    <col min="5896" max="5897" width="17.125" style="32" customWidth="1"/>
    <col min="5898" max="5898" width="5.125" style="32" customWidth="1"/>
    <col min="5899" max="5899" width="26.5" style="32" customWidth="1"/>
    <col min="5900" max="5900" width="26.875" style="32" customWidth="1"/>
    <col min="5901" max="5901" width="9.5" style="32" bestFit="1" customWidth="1"/>
    <col min="5902" max="5902" width="5.125" style="32" customWidth="1"/>
    <col min="5903" max="5903" width="12.875" style="32" customWidth="1"/>
    <col min="5904" max="5904" width="14.125" style="32" customWidth="1"/>
    <col min="5905" max="5905" width="18.875" style="32" customWidth="1"/>
    <col min="5906" max="5906" width="8.75" style="32" customWidth="1"/>
    <col min="5907" max="5908" width="18.875" style="32" customWidth="1"/>
    <col min="5909" max="5909" width="5.5" style="32" customWidth="1"/>
    <col min="5910" max="5910" width="10.25" style="32" customWidth="1"/>
    <col min="5911" max="5913" width="9.5" style="32" customWidth="1"/>
    <col min="5914" max="6145" width="8.75" style="32"/>
    <col min="6146" max="6146" width="21.5" style="32" customWidth="1"/>
    <col min="6147" max="6147" width="15.5" style="32" customWidth="1"/>
    <col min="6148" max="6148" width="21.5" style="32" customWidth="1"/>
    <col min="6149" max="6149" width="14.5" style="32" customWidth="1"/>
    <col min="6150" max="6150" width="5.125" style="32" customWidth="1"/>
    <col min="6151" max="6151" width="16.25" style="32" customWidth="1"/>
    <col min="6152" max="6153" width="17.125" style="32" customWidth="1"/>
    <col min="6154" max="6154" width="5.125" style="32" customWidth="1"/>
    <col min="6155" max="6155" width="26.5" style="32" customWidth="1"/>
    <col min="6156" max="6156" width="26.875" style="32" customWidth="1"/>
    <col min="6157" max="6157" width="9.5" style="32" bestFit="1" customWidth="1"/>
    <col min="6158" max="6158" width="5.125" style="32" customWidth="1"/>
    <col min="6159" max="6159" width="12.875" style="32" customWidth="1"/>
    <col min="6160" max="6160" width="14.125" style="32" customWidth="1"/>
    <col min="6161" max="6161" width="18.875" style="32" customWidth="1"/>
    <col min="6162" max="6162" width="8.75" style="32" customWidth="1"/>
    <col min="6163" max="6164" width="18.875" style="32" customWidth="1"/>
    <col min="6165" max="6165" width="5.5" style="32" customWidth="1"/>
    <col min="6166" max="6166" width="10.25" style="32" customWidth="1"/>
    <col min="6167" max="6169" width="9.5" style="32" customWidth="1"/>
    <col min="6170" max="6401" width="8.75" style="32"/>
    <col min="6402" max="6402" width="21.5" style="32" customWidth="1"/>
    <col min="6403" max="6403" width="15.5" style="32" customWidth="1"/>
    <col min="6404" max="6404" width="21.5" style="32" customWidth="1"/>
    <col min="6405" max="6405" width="14.5" style="32" customWidth="1"/>
    <col min="6406" max="6406" width="5.125" style="32" customWidth="1"/>
    <col min="6407" max="6407" width="16.25" style="32" customWidth="1"/>
    <col min="6408" max="6409" width="17.125" style="32" customWidth="1"/>
    <col min="6410" max="6410" width="5.125" style="32" customWidth="1"/>
    <col min="6411" max="6411" width="26.5" style="32" customWidth="1"/>
    <col min="6412" max="6412" width="26.875" style="32" customWidth="1"/>
    <col min="6413" max="6413" width="9.5" style="32" bestFit="1" customWidth="1"/>
    <col min="6414" max="6414" width="5.125" style="32" customWidth="1"/>
    <col min="6415" max="6415" width="12.875" style="32" customWidth="1"/>
    <col min="6416" max="6416" width="14.125" style="32" customWidth="1"/>
    <col min="6417" max="6417" width="18.875" style="32" customWidth="1"/>
    <col min="6418" max="6418" width="8.75" style="32" customWidth="1"/>
    <col min="6419" max="6420" width="18.875" style="32" customWidth="1"/>
    <col min="6421" max="6421" width="5.5" style="32" customWidth="1"/>
    <col min="6422" max="6422" width="10.25" style="32" customWidth="1"/>
    <col min="6423" max="6425" width="9.5" style="32" customWidth="1"/>
    <col min="6426" max="6657" width="8.75" style="32"/>
    <col min="6658" max="6658" width="21.5" style="32" customWidth="1"/>
    <col min="6659" max="6659" width="15.5" style="32" customWidth="1"/>
    <col min="6660" max="6660" width="21.5" style="32" customWidth="1"/>
    <col min="6661" max="6661" width="14.5" style="32" customWidth="1"/>
    <col min="6662" max="6662" width="5.125" style="32" customWidth="1"/>
    <col min="6663" max="6663" width="16.25" style="32" customWidth="1"/>
    <col min="6664" max="6665" width="17.125" style="32" customWidth="1"/>
    <col min="6666" max="6666" width="5.125" style="32" customWidth="1"/>
    <col min="6667" max="6667" width="26.5" style="32" customWidth="1"/>
    <col min="6668" max="6668" width="26.875" style="32" customWidth="1"/>
    <col min="6669" max="6669" width="9.5" style="32" bestFit="1" customWidth="1"/>
    <col min="6670" max="6670" width="5.125" style="32" customWidth="1"/>
    <col min="6671" max="6671" width="12.875" style="32" customWidth="1"/>
    <col min="6672" max="6672" width="14.125" style="32" customWidth="1"/>
    <col min="6673" max="6673" width="18.875" style="32" customWidth="1"/>
    <col min="6674" max="6674" width="8.75" style="32" customWidth="1"/>
    <col min="6675" max="6676" width="18.875" style="32" customWidth="1"/>
    <col min="6677" max="6677" width="5.5" style="32" customWidth="1"/>
    <col min="6678" max="6678" width="10.25" style="32" customWidth="1"/>
    <col min="6679" max="6681" width="9.5" style="32" customWidth="1"/>
    <col min="6682" max="6913" width="8.75" style="32"/>
    <col min="6914" max="6914" width="21.5" style="32" customWidth="1"/>
    <col min="6915" max="6915" width="15.5" style="32" customWidth="1"/>
    <col min="6916" max="6916" width="21.5" style="32" customWidth="1"/>
    <col min="6917" max="6917" width="14.5" style="32" customWidth="1"/>
    <col min="6918" max="6918" width="5.125" style="32" customWidth="1"/>
    <col min="6919" max="6919" width="16.25" style="32" customWidth="1"/>
    <col min="6920" max="6921" width="17.125" style="32" customWidth="1"/>
    <col min="6922" max="6922" width="5.125" style="32" customWidth="1"/>
    <col min="6923" max="6923" width="26.5" style="32" customWidth="1"/>
    <col min="6924" max="6924" width="26.875" style="32" customWidth="1"/>
    <col min="6925" max="6925" width="9.5" style="32" bestFit="1" customWidth="1"/>
    <col min="6926" max="6926" width="5.125" style="32" customWidth="1"/>
    <col min="6927" max="6927" width="12.875" style="32" customWidth="1"/>
    <col min="6928" max="6928" width="14.125" style="32" customWidth="1"/>
    <col min="6929" max="6929" width="18.875" style="32" customWidth="1"/>
    <col min="6930" max="6930" width="8.75" style="32" customWidth="1"/>
    <col min="6931" max="6932" width="18.875" style="32" customWidth="1"/>
    <col min="6933" max="6933" width="5.5" style="32" customWidth="1"/>
    <col min="6934" max="6934" width="10.25" style="32" customWidth="1"/>
    <col min="6935" max="6937" width="9.5" style="32" customWidth="1"/>
    <col min="6938" max="7169" width="8.75" style="32"/>
    <col min="7170" max="7170" width="21.5" style="32" customWidth="1"/>
    <col min="7171" max="7171" width="15.5" style="32" customWidth="1"/>
    <col min="7172" max="7172" width="21.5" style="32" customWidth="1"/>
    <col min="7173" max="7173" width="14.5" style="32" customWidth="1"/>
    <col min="7174" max="7174" width="5.125" style="32" customWidth="1"/>
    <col min="7175" max="7175" width="16.25" style="32" customWidth="1"/>
    <col min="7176" max="7177" width="17.125" style="32" customWidth="1"/>
    <col min="7178" max="7178" width="5.125" style="32" customWidth="1"/>
    <col min="7179" max="7179" width="26.5" style="32" customWidth="1"/>
    <col min="7180" max="7180" width="26.875" style="32" customWidth="1"/>
    <col min="7181" max="7181" width="9.5" style="32" bestFit="1" customWidth="1"/>
    <col min="7182" max="7182" width="5.125" style="32" customWidth="1"/>
    <col min="7183" max="7183" width="12.875" style="32" customWidth="1"/>
    <col min="7184" max="7184" width="14.125" style="32" customWidth="1"/>
    <col min="7185" max="7185" width="18.875" style="32" customWidth="1"/>
    <col min="7186" max="7186" width="8.75" style="32" customWidth="1"/>
    <col min="7187" max="7188" width="18.875" style="32" customWidth="1"/>
    <col min="7189" max="7189" width="5.5" style="32" customWidth="1"/>
    <col min="7190" max="7190" width="10.25" style="32" customWidth="1"/>
    <col min="7191" max="7193" width="9.5" style="32" customWidth="1"/>
    <col min="7194" max="7425" width="8.75" style="32"/>
    <col min="7426" max="7426" width="21.5" style="32" customWidth="1"/>
    <col min="7427" max="7427" width="15.5" style="32" customWidth="1"/>
    <col min="7428" max="7428" width="21.5" style="32" customWidth="1"/>
    <col min="7429" max="7429" width="14.5" style="32" customWidth="1"/>
    <col min="7430" max="7430" width="5.125" style="32" customWidth="1"/>
    <col min="7431" max="7431" width="16.25" style="32" customWidth="1"/>
    <col min="7432" max="7433" width="17.125" style="32" customWidth="1"/>
    <col min="7434" max="7434" width="5.125" style="32" customWidth="1"/>
    <col min="7435" max="7435" width="26.5" style="32" customWidth="1"/>
    <col min="7436" max="7436" width="26.875" style="32" customWidth="1"/>
    <col min="7437" max="7437" width="9.5" style="32" bestFit="1" customWidth="1"/>
    <col min="7438" max="7438" width="5.125" style="32" customWidth="1"/>
    <col min="7439" max="7439" width="12.875" style="32" customWidth="1"/>
    <col min="7440" max="7440" width="14.125" style="32" customWidth="1"/>
    <col min="7441" max="7441" width="18.875" style="32" customWidth="1"/>
    <col min="7442" max="7442" width="8.75" style="32" customWidth="1"/>
    <col min="7443" max="7444" width="18.875" style="32" customWidth="1"/>
    <col min="7445" max="7445" width="5.5" style="32" customWidth="1"/>
    <col min="7446" max="7446" width="10.25" style="32" customWidth="1"/>
    <col min="7447" max="7449" width="9.5" style="32" customWidth="1"/>
    <col min="7450" max="7681" width="8.75" style="32"/>
    <col min="7682" max="7682" width="21.5" style="32" customWidth="1"/>
    <col min="7683" max="7683" width="15.5" style="32" customWidth="1"/>
    <col min="7684" max="7684" width="21.5" style="32" customWidth="1"/>
    <col min="7685" max="7685" width="14.5" style="32" customWidth="1"/>
    <col min="7686" max="7686" width="5.125" style="32" customWidth="1"/>
    <col min="7687" max="7687" width="16.25" style="32" customWidth="1"/>
    <col min="7688" max="7689" width="17.125" style="32" customWidth="1"/>
    <col min="7690" max="7690" width="5.125" style="32" customWidth="1"/>
    <col min="7691" max="7691" width="26.5" style="32" customWidth="1"/>
    <col min="7692" max="7692" width="26.875" style="32" customWidth="1"/>
    <col min="7693" max="7693" width="9.5" style="32" bestFit="1" customWidth="1"/>
    <col min="7694" max="7694" width="5.125" style="32" customWidth="1"/>
    <col min="7695" max="7695" width="12.875" style="32" customWidth="1"/>
    <col min="7696" max="7696" width="14.125" style="32" customWidth="1"/>
    <col min="7697" max="7697" width="18.875" style="32" customWidth="1"/>
    <col min="7698" max="7698" width="8.75" style="32" customWidth="1"/>
    <col min="7699" max="7700" width="18.875" style="32" customWidth="1"/>
    <col min="7701" max="7701" width="5.5" style="32" customWidth="1"/>
    <col min="7702" max="7702" width="10.25" style="32" customWidth="1"/>
    <col min="7703" max="7705" width="9.5" style="32" customWidth="1"/>
    <col min="7706" max="7937" width="8.75" style="32"/>
    <col min="7938" max="7938" width="21.5" style="32" customWidth="1"/>
    <col min="7939" max="7939" width="15.5" style="32" customWidth="1"/>
    <col min="7940" max="7940" width="21.5" style="32" customWidth="1"/>
    <col min="7941" max="7941" width="14.5" style="32" customWidth="1"/>
    <col min="7942" max="7942" width="5.125" style="32" customWidth="1"/>
    <col min="7943" max="7943" width="16.25" style="32" customWidth="1"/>
    <col min="7944" max="7945" width="17.125" style="32" customWidth="1"/>
    <col min="7946" max="7946" width="5.125" style="32" customWidth="1"/>
    <col min="7947" max="7947" width="26.5" style="32" customWidth="1"/>
    <col min="7948" max="7948" width="26.875" style="32" customWidth="1"/>
    <col min="7949" max="7949" width="9.5" style="32" bestFit="1" customWidth="1"/>
    <col min="7950" max="7950" width="5.125" style="32" customWidth="1"/>
    <col min="7951" max="7951" width="12.875" style="32" customWidth="1"/>
    <col min="7952" max="7952" width="14.125" style="32" customWidth="1"/>
    <col min="7953" max="7953" width="18.875" style="32" customWidth="1"/>
    <col min="7954" max="7954" width="8.75" style="32" customWidth="1"/>
    <col min="7955" max="7956" width="18.875" style="32" customWidth="1"/>
    <col min="7957" max="7957" width="5.5" style="32" customWidth="1"/>
    <col min="7958" max="7958" width="10.25" style="32" customWidth="1"/>
    <col min="7959" max="7961" width="9.5" style="32" customWidth="1"/>
    <col min="7962" max="8193" width="8.75" style="32"/>
    <col min="8194" max="8194" width="21.5" style="32" customWidth="1"/>
    <col min="8195" max="8195" width="15.5" style="32" customWidth="1"/>
    <col min="8196" max="8196" width="21.5" style="32" customWidth="1"/>
    <col min="8197" max="8197" width="14.5" style="32" customWidth="1"/>
    <col min="8198" max="8198" width="5.125" style="32" customWidth="1"/>
    <col min="8199" max="8199" width="16.25" style="32" customWidth="1"/>
    <col min="8200" max="8201" width="17.125" style="32" customWidth="1"/>
    <col min="8202" max="8202" width="5.125" style="32" customWidth="1"/>
    <col min="8203" max="8203" width="26.5" style="32" customWidth="1"/>
    <col min="8204" max="8204" width="26.875" style="32" customWidth="1"/>
    <col min="8205" max="8205" width="9.5" style="32" bestFit="1" customWidth="1"/>
    <col min="8206" max="8206" width="5.125" style="32" customWidth="1"/>
    <col min="8207" max="8207" width="12.875" style="32" customWidth="1"/>
    <col min="8208" max="8208" width="14.125" style="32" customWidth="1"/>
    <col min="8209" max="8209" width="18.875" style="32" customWidth="1"/>
    <col min="8210" max="8210" width="8.75" style="32" customWidth="1"/>
    <col min="8211" max="8212" width="18.875" style="32" customWidth="1"/>
    <col min="8213" max="8213" width="5.5" style="32" customWidth="1"/>
    <col min="8214" max="8214" width="10.25" style="32" customWidth="1"/>
    <col min="8215" max="8217" width="9.5" style="32" customWidth="1"/>
    <col min="8218" max="8449" width="8.75" style="32"/>
    <col min="8450" max="8450" width="21.5" style="32" customWidth="1"/>
    <col min="8451" max="8451" width="15.5" style="32" customWidth="1"/>
    <col min="8452" max="8452" width="21.5" style="32" customWidth="1"/>
    <col min="8453" max="8453" width="14.5" style="32" customWidth="1"/>
    <col min="8454" max="8454" width="5.125" style="32" customWidth="1"/>
    <col min="8455" max="8455" width="16.25" style="32" customWidth="1"/>
    <col min="8456" max="8457" width="17.125" style="32" customWidth="1"/>
    <col min="8458" max="8458" width="5.125" style="32" customWidth="1"/>
    <col min="8459" max="8459" width="26.5" style="32" customWidth="1"/>
    <col min="8460" max="8460" width="26.875" style="32" customWidth="1"/>
    <col min="8461" max="8461" width="9.5" style="32" bestFit="1" customWidth="1"/>
    <col min="8462" max="8462" width="5.125" style="32" customWidth="1"/>
    <col min="8463" max="8463" width="12.875" style="32" customWidth="1"/>
    <col min="8464" max="8464" width="14.125" style="32" customWidth="1"/>
    <col min="8465" max="8465" width="18.875" style="32" customWidth="1"/>
    <col min="8466" max="8466" width="8.75" style="32" customWidth="1"/>
    <col min="8467" max="8468" width="18.875" style="32" customWidth="1"/>
    <col min="8469" max="8469" width="5.5" style="32" customWidth="1"/>
    <col min="8470" max="8470" width="10.25" style="32" customWidth="1"/>
    <col min="8471" max="8473" width="9.5" style="32" customWidth="1"/>
    <col min="8474" max="8705" width="8.75" style="32"/>
    <col min="8706" max="8706" width="21.5" style="32" customWidth="1"/>
    <col min="8707" max="8707" width="15.5" style="32" customWidth="1"/>
    <col min="8708" max="8708" width="21.5" style="32" customWidth="1"/>
    <col min="8709" max="8709" width="14.5" style="32" customWidth="1"/>
    <col min="8710" max="8710" width="5.125" style="32" customWidth="1"/>
    <col min="8711" max="8711" width="16.25" style="32" customWidth="1"/>
    <col min="8712" max="8713" width="17.125" style="32" customWidth="1"/>
    <col min="8714" max="8714" width="5.125" style="32" customWidth="1"/>
    <col min="8715" max="8715" width="26.5" style="32" customWidth="1"/>
    <col min="8716" max="8716" width="26.875" style="32" customWidth="1"/>
    <col min="8717" max="8717" width="9.5" style="32" bestFit="1" customWidth="1"/>
    <col min="8718" max="8718" width="5.125" style="32" customWidth="1"/>
    <col min="8719" max="8719" width="12.875" style="32" customWidth="1"/>
    <col min="8720" max="8720" width="14.125" style="32" customWidth="1"/>
    <col min="8721" max="8721" width="18.875" style="32" customWidth="1"/>
    <col min="8722" max="8722" width="8.75" style="32" customWidth="1"/>
    <col min="8723" max="8724" width="18.875" style="32" customWidth="1"/>
    <col min="8725" max="8725" width="5.5" style="32" customWidth="1"/>
    <col min="8726" max="8726" width="10.25" style="32" customWidth="1"/>
    <col min="8727" max="8729" width="9.5" style="32" customWidth="1"/>
    <col min="8730" max="8961" width="8.75" style="32"/>
    <col min="8962" max="8962" width="21.5" style="32" customWidth="1"/>
    <col min="8963" max="8963" width="15.5" style="32" customWidth="1"/>
    <col min="8964" max="8964" width="21.5" style="32" customWidth="1"/>
    <col min="8965" max="8965" width="14.5" style="32" customWidth="1"/>
    <col min="8966" max="8966" width="5.125" style="32" customWidth="1"/>
    <col min="8967" max="8967" width="16.25" style="32" customWidth="1"/>
    <col min="8968" max="8969" width="17.125" style="32" customWidth="1"/>
    <col min="8970" max="8970" width="5.125" style="32" customWidth="1"/>
    <col min="8971" max="8971" width="26.5" style="32" customWidth="1"/>
    <col min="8972" max="8972" width="26.875" style="32" customWidth="1"/>
    <col min="8973" max="8973" width="9.5" style="32" bestFit="1" customWidth="1"/>
    <col min="8974" max="8974" width="5.125" style="32" customWidth="1"/>
    <col min="8975" max="8975" width="12.875" style="32" customWidth="1"/>
    <col min="8976" max="8976" width="14.125" style="32" customWidth="1"/>
    <col min="8977" max="8977" width="18.875" style="32" customWidth="1"/>
    <col min="8978" max="8978" width="8.75" style="32" customWidth="1"/>
    <col min="8979" max="8980" width="18.875" style="32" customWidth="1"/>
    <col min="8981" max="8981" width="5.5" style="32" customWidth="1"/>
    <col min="8982" max="8982" width="10.25" style="32" customWidth="1"/>
    <col min="8983" max="8985" width="9.5" style="32" customWidth="1"/>
    <col min="8986" max="9217" width="8.75" style="32"/>
    <col min="9218" max="9218" width="21.5" style="32" customWidth="1"/>
    <col min="9219" max="9219" width="15.5" style="32" customWidth="1"/>
    <col min="9220" max="9220" width="21.5" style="32" customWidth="1"/>
    <col min="9221" max="9221" width="14.5" style="32" customWidth="1"/>
    <col min="9222" max="9222" width="5.125" style="32" customWidth="1"/>
    <col min="9223" max="9223" width="16.25" style="32" customWidth="1"/>
    <col min="9224" max="9225" width="17.125" style="32" customWidth="1"/>
    <col min="9226" max="9226" width="5.125" style="32" customWidth="1"/>
    <col min="9227" max="9227" width="26.5" style="32" customWidth="1"/>
    <col min="9228" max="9228" width="26.875" style="32" customWidth="1"/>
    <col min="9229" max="9229" width="9.5" style="32" bestFit="1" customWidth="1"/>
    <col min="9230" max="9230" width="5.125" style="32" customWidth="1"/>
    <col min="9231" max="9231" width="12.875" style="32" customWidth="1"/>
    <col min="9232" max="9232" width="14.125" style="32" customWidth="1"/>
    <col min="9233" max="9233" width="18.875" style="32" customWidth="1"/>
    <col min="9234" max="9234" width="8.75" style="32" customWidth="1"/>
    <col min="9235" max="9236" width="18.875" style="32" customWidth="1"/>
    <col min="9237" max="9237" width="5.5" style="32" customWidth="1"/>
    <col min="9238" max="9238" width="10.25" style="32" customWidth="1"/>
    <col min="9239" max="9241" width="9.5" style="32" customWidth="1"/>
    <col min="9242" max="9473" width="8.75" style="32"/>
    <col min="9474" max="9474" width="21.5" style="32" customWidth="1"/>
    <col min="9475" max="9475" width="15.5" style="32" customWidth="1"/>
    <col min="9476" max="9476" width="21.5" style="32" customWidth="1"/>
    <col min="9477" max="9477" width="14.5" style="32" customWidth="1"/>
    <col min="9478" max="9478" width="5.125" style="32" customWidth="1"/>
    <col min="9479" max="9479" width="16.25" style="32" customWidth="1"/>
    <col min="9480" max="9481" width="17.125" style="32" customWidth="1"/>
    <col min="9482" max="9482" width="5.125" style="32" customWidth="1"/>
    <col min="9483" max="9483" width="26.5" style="32" customWidth="1"/>
    <col min="9484" max="9484" width="26.875" style="32" customWidth="1"/>
    <col min="9485" max="9485" width="9.5" style="32" bestFit="1" customWidth="1"/>
    <col min="9486" max="9486" width="5.125" style="32" customWidth="1"/>
    <col min="9487" max="9487" width="12.875" style="32" customWidth="1"/>
    <col min="9488" max="9488" width="14.125" style="32" customWidth="1"/>
    <col min="9489" max="9489" width="18.875" style="32" customWidth="1"/>
    <col min="9490" max="9490" width="8.75" style="32" customWidth="1"/>
    <col min="9491" max="9492" width="18.875" style="32" customWidth="1"/>
    <col min="9493" max="9493" width="5.5" style="32" customWidth="1"/>
    <col min="9494" max="9494" width="10.25" style="32" customWidth="1"/>
    <col min="9495" max="9497" width="9.5" style="32" customWidth="1"/>
    <col min="9498" max="9729" width="8.75" style="32"/>
    <col min="9730" max="9730" width="21.5" style="32" customWidth="1"/>
    <col min="9731" max="9731" width="15.5" style="32" customWidth="1"/>
    <col min="9732" max="9732" width="21.5" style="32" customWidth="1"/>
    <col min="9733" max="9733" width="14.5" style="32" customWidth="1"/>
    <col min="9734" max="9734" width="5.125" style="32" customWidth="1"/>
    <col min="9735" max="9735" width="16.25" style="32" customWidth="1"/>
    <col min="9736" max="9737" width="17.125" style="32" customWidth="1"/>
    <col min="9738" max="9738" width="5.125" style="32" customWidth="1"/>
    <col min="9739" max="9739" width="26.5" style="32" customWidth="1"/>
    <col min="9740" max="9740" width="26.875" style="32" customWidth="1"/>
    <col min="9741" max="9741" width="9.5" style="32" bestFit="1" customWidth="1"/>
    <col min="9742" max="9742" width="5.125" style="32" customWidth="1"/>
    <col min="9743" max="9743" width="12.875" style="32" customWidth="1"/>
    <col min="9744" max="9744" width="14.125" style="32" customWidth="1"/>
    <col min="9745" max="9745" width="18.875" style="32" customWidth="1"/>
    <col min="9746" max="9746" width="8.75" style="32" customWidth="1"/>
    <col min="9747" max="9748" width="18.875" style="32" customWidth="1"/>
    <col min="9749" max="9749" width="5.5" style="32" customWidth="1"/>
    <col min="9750" max="9750" width="10.25" style="32" customWidth="1"/>
    <col min="9751" max="9753" width="9.5" style="32" customWidth="1"/>
    <col min="9754" max="9985" width="8.75" style="32"/>
    <col min="9986" max="9986" width="21.5" style="32" customWidth="1"/>
    <col min="9987" max="9987" width="15.5" style="32" customWidth="1"/>
    <col min="9988" max="9988" width="21.5" style="32" customWidth="1"/>
    <col min="9989" max="9989" width="14.5" style="32" customWidth="1"/>
    <col min="9990" max="9990" width="5.125" style="32" customWidth="1"/>
    <col min="9991" max="9991" width="16.25" style="32" customWidth="1"/>
    <col min="9992" max="9993" width="17.125" style="32" customWidth="1"/>
    <col min="9994" max="9994" width="5.125" style="32" customWidth="1"/>
    <col min="9995" max="9995" width="26.5" style="32" customWidth="1"/>
    <col min="9996" max="9996" width="26.875" style="32" customWidth="1"/>
    <col min="9997" max="9997" width="9.5" style="32" bestFit="1" customWidth="1"/>
    <col min="9998" max="9998" width="5.125" style="32" customWidth="1"/>
    <col min="9999" max="9999" width="12.875" style="32" customWidth="1"/>
    <col min="10000" max="10000" width="14.125" style="32" customWidth="1"/>
    <col min="10001" max="10001" width="18.875" style="32" customWidth="1"/>
    <col min="10002" max="10002" width="8.75" style="32" customWidth="1"/>
    <col min="10003" max="10004" width="18.875" style="32" customWidth="1"/>
    <col min="10005" max="10005" width="5.5" style="32" customWidth="1"/>
    <col min="10006" max="10006" width="10.25" style="32" customWidth="1"/>
    <col min="10007" max="10009" width="9.5" style="32" customWidth="1"/>
    <col min="10010" max="10241" width="8.75" style="32"/>
    <col min="10242" max="10242" width="21.5" style="32" customWidth="1"/>
    <col min="10243" max="10243" width="15.5" style="32" customWidth="1"/>
    <col min="10244" max="10244" width="21.5" style="32" customWidth="1"/>
    <col min="10245" max="10245" width="14.5" style="32" customWidth="1"/>
    <col min="10246" max="10246" width="5.125" style="32" customWidth="1"/>
    <col min="10247" max="10247" width="16.25" style="32" customWidth="1"/>
    <col min="10248" max="10249" width="17.125" style="32" customWidth="1"/>
    <col min="10250" max="10250" width="5.125" style="32" customWidth="1"/>
    <col min="10251" max="10251" width="26.5" style="32" customWidth="1"/>
    <col min="10252" max="10252" width="26.875" style="32" customWidth="1"/>
    <col min="10253" max="10253" width="9.5" style="32" bestFit="1" customWidth="1"/>
    <col min="10254" max="10254" width="5.125" style="32" customWidth="1"/>
    <col min="10255" max="10255" width="12.875" style="32" customWidth="1"/>
    <col min="10256" max="10256" width="14.125" style="32" customWidth="1"/>
    <col min="10257" max="10257" width="18.875" style="32" customWidth="1"/>
    <col min="10258" max="10258" width="8.75" style="32" customWidth="1"/>
    <col min="10259" max="10260" width="18.875" style="32" customWidth="1"/>
    <col min="10261" max="10261" width="5.5" style="32" customWidth="1"/>
    <col min="10262" max="10262" width="10.25" style="32" customWidth="1"/>
    <col min="10263" max="10265" width="9.5" style="32" customWidth="1"/>
    <col min="10266" max="10497" width="8.75" style="32"/>
    <col min="10498" max="10498" width="21.5" style="32" customWidth="1"/>
    <col min="10499" max="10499" width="15.5" style="32" customWidth="1"/>
    <col min="10500" max="10500" width="21.5" style="32" customWidth="1"/>
    <col min="10501" max="10501" width="14.5" style="32" customWidth="1"/>
    <col min="10502" max="10502" width="5.125" style="32" customWidth="1"/>
    <col min="10503" max="10503" width="16.25" style="32" customWidth="1"/>
    <col min="10504" max="10505" width="17.125" style="32" customWidth="1"/>
    <col min="10506" max="10506" width="5.125" style="32" customWidth="1"/>
    <col min="10507" max="10507" width="26.5" style="32" customWidth="1"/>
    <col min="10508" max="10508" width="26.875" style="32" customWidth="1"/>
    <col min="10509" max="10509" width="9.5" style="32" bestFit="1" customWidth="1"/>
    <col min="10510" max="10510" width="5.125" style="32" customWidth="1"/>
    <col min="10511" max="10511" width="12.875" style="32" customWidth="1"/>
    <col min="10512" max="10512" width="14.125" style="32" customWidth="1"/>
    <col min="10513" max="10513" width="18.875" style="32" customWidth="1"/>
    <col min="10514" max="10514" width="8.75" style="32" customWidth="1"/>
    <col min="10515" max="10516" width="18.875" style="32" customWidth="1"/>
    <col min="10517" max="10517" width="5.5" style="32" customWidth="1"/>
    <col min="10518" max="10518" width="10.25" style="32" customWidth="1"/>
    <col min="10519" max="10521" width="9.5" style="32" customWidth="1"/>
    <col min="10522" max="10753" width="8.75" style="32"/>
    <col min="10754" max="10754" width="21.5" style="32" customWidth="1"/>
    <col min="10755" max="10755" width="15.5" style="32" customWidth="1"/>
    <col min="10756" max="10756" width="21.5" style="32" customWidth="1"/>
    <col min="10757" max="10757" width="14.5" style="32" customWidth="1"/>
    <col min="10758" max="10758" width="5.125" style="32" customWidth="1"/>
    <col min="10759" max="10759" width="16.25" style="32" customWidth="1"/>
    <col min="10760" max="10761" width="17.125" style="32" customWidth="1"/>
    <col min="10762" max="10762" width="5.125" style="32" customWidth="1"/>
    <col min="10763" max="10763" width="26.5" style="32" customWidth="1"/>
    <col min="10764" max="10764" width="26.875" style="32" customWidth="1"/>
    <col min="10765" max="10765" width="9.5" style="32" bestFit="1" customWidth="1"/>
    <col min="10766" max="10766" width="5.125" style="32" customWidth="1"/>
    <col min="10767" max="10767" width="12.875" style="32" customWidth="1"/>
    <col min="10768" max="10768" width="14.125" style="32" customWidth="1"/>
    <col min="10769" max="10769" width="18.875" style="32" customWidth="1"/>
    <col min="10770" max="10770" width="8.75" style="32" customWidth="1"/>
    <col min="10771" max="10772" width="18.875" style="32" customWidth="1"/>
    <col min="10773" max="10773" width="5.5" style="32" customWidth="1"/>
    <col min="10774" max="10774" width="10.25" style="32" customWidth="1"/>
    <col min="10775" max="10777" width="9.5" style="32" customWidth="1"/>
    <col min="10778" max="11009" width="8.75" style="32"/>
    <col min="11010" max="11010" width="21.5" style="32" customWidth="1"/>
    <col min="11011" max="11011" width="15.5" style="32" customWidth="1"/>
    <col min="11012" max="11012" width="21.5" style="32" customWidth="1"/>
    <col min="11013" max="11013" width="14.5" style="32" customWidth="1"/>
    <col min="11014" max="11014" width="5.125" style="32" customWidth="1"/>
    <col min="11015" max="11015" width="16.25" style="32" customWidth="1"/>
    <col min="11016" max="11017" width="17.125" style="32" customWidth="1"/>
    <col min="11018" max="11018" width="5.125" style="32" customWidth="1"/>
    <col min="11019" max="11019" width="26.5" style="32" customWidth="1"/>
    <col min="11020" max="11020" width="26.875" style="32" customWidth="1"/>
    <col min="11021" max="11021" width="9.5" style="32" bestFit="1" customWidth="1"/>
    <col min="11022" max="11022" width="5.125" style="32" customWidth="1"/>
    <col min="11023" max="11023" width="12.875" style="32" customWidth="1"/>
    <col min="11024" max="11024" width="14.125" style="32" customWidth="1"/>
    <col min="11025" max="11025" width="18.875" style="32" customWidth="1"/>
    <col min="11026" max="11026" width="8.75" style="32" customWidth="1"/>
    <col min="11027" max="11028" width="18.875" style="32" customWidth="1"/>
    <col min="11029" max="11029" width="5.5" style="32" customWidth="1"/>
    <col min="11030" max="11030" width="10.25" style="32" customWidth="1"/>
    <col min="11031" max="11033" width="9.5" style="32" customWidth="1"/>
    <col min="11034" max="11265" width="8.75" style="32"/>
    <col min="11266" max="11266" width="21.5" style="32" customWidth="1"/>
    <col min="11267" max="11267" width="15.5" style="32" customWidth="1"/>
    <col min="11268" max="11268" width="21.5" style="32" customWidth="1"/>
    <col min="11269" max="11269" width="14.5" style="32" customWidth="1"/>
    <col min="11270" max="11270" width="5.125" style="32" customWidth="1"/>
    <col min="11271" max="11271" width="16.25" style="32" customWidth="1"/>
    <col min="11272" max="11273" width="17.125" style="32" customWidth="1"/>
    <col min="11274" max="11274" width="5.125" style="32" customWidth="1"/>
    <col min="11275" max="11275" width="26.5" style="32" customWidth="1"/>
    <col min="11276" max="11276" width="26.875" style="32" customWidth="1"/>
    <col min="11277" max="11277" width="9.5" style="32" bestFit="1" customWidth="1"/>
    <col min="11278" max="11278" width="5.125" style="32" customWidth="1"/>
    <col min="11279" max="11279" width="12.875" style="32" customWidth="1"/>
    <col min="11280" max="11280" width="14.125" style="32" customWidth="1"/>
    <col min="11281" max="11281" width="18.875" style="32" customWidth="1"/>
    <col min="11282" max="11282" width="8.75" style="32" customWidth="1"/>
    <col min="11283" max="11284" width="18.875" style="32" customWidth="1"/>
    <col min="11285" max="11285" width="5.5" style="32" customWidth="1"/>
    <col min="11286" max="11286" width="10.25" style="32" customWidth="1"/>
    <col min="11287" max="11289" width="9.5" style="32" customWidth="1"/>
    <col min="11290" max="11521" width="8.75" style="32"/>
    <col min="11522" max="11522" width="21.5" style="32" customWidth="1"/>
    <col min="11523" max="11523" width="15.5" style="32" customWidth="1"/>
    <col min="11524" max="11524" width="21.5" style="32" customWidth="1"/>
    <col min="11525" max="11525" width="14.5" style="32" customWidth="1"/>
    <col min="11526" max="11526" width="5.125" style="32" customWidth="1"/>
    <col min="11527" max="11527" width="16.25" style="32" customWidth="1"/>
    <col min="11528" max="11529" width="17.125" style="32" customWidth="1"/>
    <col min="11530" max="11530" width="5.125" style="32" customWidth="1"/>
    <col min="11531" max="11531" width="26.5" style="32" customWidth="1"/>
    <col min="11532" max="11532" width="26.875" style="32" customWidth="1"/>
    <col min="11533" max="11533" width="9.5" style="32" bestFit="1" customWidth="1"/>
    <col min="11534" max="11534" width="5.125" style="32" customWidth="1"/>
    <col min="11535" max="11535" width="12.875" style="32" customWidth="1"/>
    <col min="11536" max="11536" width="14.125" style="32" customWidth="1"/>
    <col min="11537" max="11537" width="18.875" style="32" customWidth="1"/>
    <col min="11538" max="11538" width="8.75" style="32" customWidth="1"/>
    <col min="11539" max="11540" width="18.875" style="32" customWidth="1"/>
    <col min="11541" max="11541" width="5.5" style="32" customWidth="1"/>
    <col min="11542" max="11542" width="10.25" style="32" customWidth="1"/>
    <col min="11543" max="11545" width="9.5" style="32" customWidth="1"/>
    <col min="11546" max="11777" width="8.75" style="32"/>
    <col min="11778" max="11778" width="21.5" style="32" customWidth="1"/>
    <col min="11779" max="11779" width="15.5" style="32" customWidth="1"/>
    <col min="11780" max="11780" width="21.5" style="32" customWidth="1"/>
    <col min="11781" max="11781" width="14.5" style="32" customWidth="1"/>
    <col min="11782" max="11782" width="5.125" style="32" customWidth="1"/>
    <col min="11783" max="11783" width="16.25" style="32" customWidth="1"/>
    <col min="11784" max="11785" width="17.125" style="32" customWidth="1"/>
    <col min="11786" max="11786" width="5.125" style="32" customWidth="1"/>
    <col min="11787" max="11787" width="26.5" style="32" customWidth="1"/>
    <col min="11788" max="11788" width="26.875" style="32" customWidth="1"/>
    <col min="11789" max="11789" width="9.5" style="32" bestFit="1" customWidth="1"/>
    <col min="11790" max="11790" width="5.125" style="32" customWidth="1"/>
    <col min="11791" max="11791" width="12.875" style="32" customWidth="1"/>
    <col min="11792" max="11792" width="14.125" style="32" customWidth="1"/>
    <col min="11793" max="11793" width="18.875" style="32" customWidth="1"/>
    <col min="11794" max="11794" width="8.75" style="32" customWidth="1"/>
    <col min="11795" max="11796" width="18.875" style="32" customWidth="1"/>
    <col min="11797" max="11797" width="5.5" style="32" customWidth="1"/>
    <col min="11798" max="11798" width="10.25" style="32" customWidth="1"/>
    <col min="11799" max="11801" width="9.5" style="32" customWidth="1"/>
    <col min="11802" max="12033" width="8.75" style="32"/>
    <col min="12034" max="12034" width="21.5" style="32" customWidth="1"/>
    <col min="12035" max="12035" width="15.5" style="32" customWidth="1"/>
    <col min="12036" max="12036" width="21.5" style="32" customWidth="1"/>
    <col min="12037" max="12037" width="14.5" style="32" customWidth="1"/>
    <col min="12038" max="12038" width="5.125" style="32" customWidth="1"/>
    <col min="12039" max="12039" width="16.25" style="32" customWidth="1"/>
    <col min="12040" max="12041" width="17.125" style="32" customWidth="1"/>
    <col min="12042" max="12042" width="5.125" style="32" customWidth="1"/>
    <col min="12043" max="12043" width="26.5" style="32" customWidth="1"/>
    <col min="12044" max="12044" width="26.875" style="32" customWidth="1"/>
    <col min="12045" max="12045" width="9.5" style="32" bestFit="1" customWidth="1"/>
    <col min="12046" max="12046" width="5.125" style="32" customWidth="1"/>
    <col min="12047" max="12047" width="12.875" style="32" customWidth="1"/>
    <col min="12048" max="12048" width="14.125" style="32" customWidth="1"/>
    <col min="12049" max="12049" width="18.875" style="32" customWidth="1"/>
    <col min="12050" max="12050" width="8.75" style="32" customWidth="1"/>
    <col min="12051" max="12052" width="18.875" style="32" customWidth="1"/>
    <col min="12053" max="12053" width="5.5" style="32" customWidth="1"/>
    <col min="12054" max="12054" width="10.25" style="32" customWidth="1"/>
    <col min="12055" max="12057" width="9.5" style="32" customWidth="1"/>
    <col min="12058" max="12289" width="8.75" style="32"/>
    <col min="12290" max="12290" width="21.5" style="32" customWidth="1"/>
    <col min="12291" max="12291" width="15.5" style="32" customWidth="1"/>
    <col min="12292" max="12292" width="21.5" style="32" customWidth="1"/>
    <col min="12293" max="12293" width="14.5" style="32" customWidth="1"/>
    <col min="12294" max="12294" width="5.125" style="32" customWidth="1"/>
    <col min="12295" max="12295" width="16.25" style="32" customWidth="1"/>
    <col min="12296" max="12297" width="17.125" style="32" customWidth="1"/>
    <col min="12298" max="12298" width="5.125" style="32" customWidth="1"/>
    <col min="12299" max="12299" width="26.5" style="32" customWidth="1"/>
    <col min="12300" max="12300" width="26.875" style="32" customWidth="1"/>
    <col min="12301" max="12301" width="9.5" style="32" bestFit="1" customWidth="1"/>
    <col min="12302" max="12302" width="5.125" style="32" customWidth="1"/>
    <col min="12303" max="12303" width="12.875" style="32" customWidth="1"/>
    <col min="12304" max="12304" width="14.125" style="32" customWidth="1"/>
    <col min="12305" max="12305" width="18.875" style="32" customWidth="1"/>
    <col min="12306" max="12306" width="8.75" style="32" customWidth="1"/>
    <col min="12307" max="12308" width="18.875" style="32" customWidth="1"/>
    <col min="12309" max="12309" width="5.5" style="32" customWidth="1"/>
    <col min="12310" max="12310" width="10.25" style="32" customWidth="1"/>
    <col min="12311" max="12313" width="9.5" style="32" customWidth="1"/>
    <col min="12314" max="12545" width="8.75" style="32"/>
    <col min="12546" max="12546" width="21.5" style="32" customWidth="1"/>
    <col min="12547" max="12547" width="15.5" style="32" customWidth="1"/>
    <col min="12548" max="12548" width="21.5" style="32" customWidth="1"/>
    <col min="12549" max="12549" width="14.5" style="32" customWidth="1"/>
    <col min="12550" max="12550" width="5.125" style="32" customWidth="1"/>
    <col min="12551" max="12551" width="16.25" style="32" customWidth="1"/>
    <col min="12552" max="12553" width="17.125" style="32" customWidth="1"/>
    <col min="12554" max="12554" width="5.125" style="32" customWidth="1"/>
    <col min="12555" max="12555" width="26.5" style="32" customWidth="1"/>
    <col min="12556" max="12556" width="26.875" style="32" customWidth="1"/>
    <col min="12557" max="12557" width="9.5" style="32" bestFit="1" customWidth="1"/>
    <col min="12558" max="12558" width="5.125" style="32" customWidth="1"/>
    <col min="12559" max="12559" width="12.875" style="32" customWidth="1"/>
    <col min="12560" max="12560" width="14.125" style="32" customWidth="1"/>
    <col min="12561" max="12561" width="18.875" style="32" customWidth="1"/>
    <col min="12562" max="12562" width="8.75" style="32" customWidth="1"/>
    <col min="12563" max="12564" width="18.875" style="32" customWidth="1"/>
    <col min="12565" max="12565" width="5.5" style="32" customWidth="1"/>
    <col min="12566" max="12566" width="10.25" style="32" customWidth="1"/>
    <col min="12567" max="12569" width="9.5" style="32" customWidth="1"/>
    <col min="12570" max="12801" width="8.75" style="32"/>
    <col min="12802" max="12802" width="21.5" style="32" customWidth="1"/>
    <col min="12803" max="12803" width="15.5" style="32" customWidth="1"/>
    <col min="12804" max="12804" width="21.5" style="32" customWidth="1"/>
    <col min="12805" max="12805" width="14.5" style="32" customWidth="1"/>
    <col min="12806" max="12806" width="5.125" style="32" customWidth="1"/>
    <col min="12807" max="12807" width="16.25" style="32" customWidth="1"/>
    <col min="12808" max="12809" width="17.125" style="32" customWidth="1"/>
    <col min="12810" max="12810" width="5.125" style="32" customWidth="1"/>
    <col min="12811" max="12811" width="26.5" style="32" customWidth="1"/>
    <col min="12812" max="12812" width="26.875" style="32" customWidth="1"/>
    <col min="12813" max="12813" width="9.5" style="32" bestFit="1" customWidth="1"/>
    <col min="12814" max="12814" width="5.125" style="32" customWidth="1"/>
    <col min="12815" max="12815" width="12.875" style="32" customWidth="1"/>
    <col min="12816" max="12816" width="14.125" style="32" customWidth="1"/>
    <col min="12817" max="12817" width="18.875" style="32" customWidth="1"/>
    <col min="12818" max="12818" width="8.75" style="32" customWidth="1"/>
    <col min="12819" max="12820" width="18.875" style="32" customWidth="1"/>
    <col min="12821" max="12821" width="5.5" style="32" customWidth="1"/>
    <col min="12822" max="12822" width="10.25" style="32" customWidth="1"/>
    <col min="12823" max="12825" width="9.5" style="32" customWidth="1"/>
    <col min="12826" max="13057" width="8.75" style="32"/>
    <col min="13058" max="13058" width="21.5" style="32" customWidth="1"/>
    <col min="13059" max="13059" width="15.5" style="32" customWidth="1"/>
    <col min="13060" max="13060" width="21.5" style="32" customWidth="1"/>
    <col min="13061" max="13061" width="14.5" style="32" customWidth="1"/>
    <col min="13062" max="13062" width="5.125" style="32" customWidth="1"/>
    <col min="13063" max="13063" width="16.25" style="32" customWidth="1"/>
    <col min="13064" max="13065" width="17.125" style="32" customWidth="1"/>
    <col min="13066" max="13066" width="5.125" style="32" customWidth="1"/>
    <col min="13067" max="13067" width="26.5" style="32" customWidth="1"/>
    <col min="13068" max="13068" width="26.875" style="32" customWidth="1"/>
    <col min="13069" max="13069" width="9.5" style="32" bestFit="1" customWidth="1"/>
    <col min="13070" max="13070" width="5.125" style="32" customWidth="1"/>
    <col min="13071" max="13071" width="12.875" style="32" customWidth="1"/>
    <col min="13072" max="13072" width="14.125" style="32" customWidth="1"/>
    <col min="13073" max="13073" width="18.875" style="32" customWidth="1"/>
    <col min="13074" max="13074" width="8.75" style="32" customWidth="1"/>
    <col min="13075" max="13076" width="18.875" style="32" customWidth="1"/>
    <col min="13077" max="13077" width="5.5" style="32" customWidth="1"/>
    <col min="13078" max="13078" width="10.25" style="32" customWidth="1"/>
    <col min="13079" max="13081" width="9.5" style="32" customWidth="1"/>
    <col min="13082" max="13313" width="8.75" style="32"/>
    <col min="13314" max="13314" width="21.5" style="32" customWidth="1"/>
    <col min="13315" max="13315" width="15.5" style="32" customWidth="1"/>
    <col min="13316" max="13316" width="21.5" style="32" customWidth="1"/>
    <col min="13317" max="13317" width="14.5" style="32" customWidth="1"/>
    <col min="13318" max="13318" width="5.125" style="32" customWidth="1"/>
    <col min="13319" max="13319" width="16.25" style="32" customWidth="1"/>
    <col min="13320" max="13321" width="17.125" style="32" customWidth="1"/>
    <col min="13322" max="13322" width="5.125" style="32" customWidth="1"/>
    <col min="13323" max="13323" width="26.5" style="32" customWidth="1"/>
    <col min="13324" max="13324" width="26.875" style="32" customWidth="1"/>
    <col min="13325" max="13325" width="9.5" style="32" bestFit="1" customWidth="1"/>
    <col min="13326" max="13326" width="5.125" style="32" customWidth="1"/>
    <col min="13327" max="13327" width="12.875" style="32" customWidth="1"/>
    <col min="13328" max="13328" width="14.125" style="32" customWidth="1"/>
    <col min="13329" max="13329" width="18.875" style="32" customWidth="1"/>
    <col min="13330" max="13330" width="8.75" style="32" customWidth="1"/>
    <col min="13331" max="13332" width="18.875" style="32" customWidth="1"/>
    <col min="13333" max="13333" width="5.5" style="32" customWidth="1"/>
    <col min="13334" max="13334" width="10.25" style="32" customWidth="1"/>
    <col min="13335" max="13337" width="9.5" style="32" customWidth="1"/>
    <col min="13338" max="13569" width="8.75" style="32"/>
    <col min="13570" max="13570" width="21.5" style="32" customWidth="1"/>
    <col min="13571" max="13571" width="15.5" style="32" customWidth="1"/>
    <col min="13572" max="13572" width="21.5" style="32" customWidth="1"/>
    <col min="13573" max="13573" width="14.5" style="32" customWidth="1"/>
    <col min="13574" max="13574" width="5.125" style="32" customWidth="1"/>
    <col min="13575" max="13575" width="16.25" style="32" customWidth="1"/>
    <col min="13576" max="13577" width="17.125" style="32" customWidth="1"/>
    <col min="13578" max="13578" width="5.125" style="32" customWidth="1"/>
    <col min="13579" max="13579" width="26.5" style="32" customWidth="1"/>
    <col min="13580" max="13580" width="26.875" style="32" customWidth="1"/>
    <col min="13581" max="13581" width="9.5" style="32" bestFit="1" customWidth="1"/>
    <col min="13582" max="13582" width="5.125" style="32" customWidth="1"/>
    <col min="13583" max="13583" width="12.875" style="32" customWidth="1"/>
    <col min="13584" max="13584" width="14.125" style="32" customWidth="1"/>
    <col min="13585" max="13585" width="18.875" style="32" customWidth="1"/>
    <col min="13586" max="13586" width="8.75" style="32" customWidth="1"/>
    <col min="13587" max="13588" width="18.875" style="32" customWidth="1"/>
    <col min="13589" max="13589" width="5.5" style="32" customWidth="1"/>
    <col min="13590" max="13590" width="10.25" style="32" customWidth="1"/>
    <col min="13591" max="13593" width="9.5" style="32" customWidth="1"/>
    <col min="13594" max="13825" width="8.75" style="32"/>
    <col min="13826" max="13826" width="21.5" style="32" customWidth="1"/>
    <col min="13827" max="13827" width="15.5" style="32" customWidth="1"/>
    <col min="13828" max="13828" width="21.5" style="32" customWidth="1"/>
    <col min="13829" max="13829" width="14.5" style="32" customWidth="1"/>
    <col min="13830" max="13830" width="5.125" style="32" customWidth="1"/>
    <col min="13831" max="13831" width="16.25" style="32" customWidth="1"/>
    <col min="13832" max="13833" width="17.125" style="32" customWidth="1"/>
    <col min="13834" max="13834" width="5.125" style="32" customWidth="1"/>
    <col min="13835" max="13835" width="26.5" style="32" customWidth="1"/>
    <col min="13836" max="13836" width="26.875" style="32" customWidth="1"/>
    <col min="13837" max="13837" width="9.5" style="32" bestFit="1" customWidth="1"/>
    <col min="13838" max="13838" width="5.125" style="32" customWidth="1"/>
    <col min="13839" max="13839" width="12.875" style="32" customWidth="1"/>
    <col min="13840" max="13840" width="14.125" style="32" customWidth="1"/>
    <col min="13841" max="13841" width="18.875" style="32" customWidth="1"/>
    <col min="13842" max="13842" width="8.75" style="32" customWidth="1"/>
    <col min="13843" max="13844" width="18.875" style="32" customWidth="1"/>
    <col min="13845" max="13845" width="5.5" style="32" customWidth="1"/>
    <col min="13846" max="13846" width="10.25" style="32" customWidth="1"/>
    <col min="13847" max="13849" width="9.5" style="32" customWidth="1"/>
    <col min="13850" max="14081" width="8.75" style="32"/>
    <col min="14082" max="14082" width="21.5" style="32" customWidth="1"/>
    <col min="14083" max="14083" width="15.5" style="32" customWidth="1"/>
    <col min="14084" max="14084" width="21.5" style="32" customWidth="1"/>
    <col min="14085" max="14085" width="14.5" style="32" customWidth="1"/>
    <col min="14086" max="14086" width="5.125" style="32" customWidth="1"/>
    <col min="14087" max="14087" width="16.25" style="32" customWidth="1"/>
    <col min="14088" max="14089" width="17.125" style="32" customWidth="1"/>
    <col min="14090" max="14090" width="5.125" style="32" customWidth="1"/>
    <col min="14091" max="14091" width="26.5" style="32" customWidth="1"/>
    <col min="14092" max="14092" width="26.875" style="32" customWidth="1"/>
    <col min="14093" max="14093" width="9.5" style="32" bestFit="1" customWidth="1"/>
    <col min="14094" max="14094" width="5.125" style="32" customWidth="1"/>
    <col min="14095" max="14095" width="12.875" style="32" customWidth="1"/>
    <col min="14096" max="14096" width="14.125" style="32" customWidth="1"/>
    <col min="14097" max="14097" width="18.875" style="32" customWidth="1"/>
    <col min="14098" max="14098" width="8.75" style="32" customWidth="1"/>
    <col min="14099" max="14100" width="18.875" style="32" customWidth="1"/>
    <col min="14101" max="14101" width="5.5" style="32" customWidth="1"/>
    <col min="14102" max="14102" width="10.25" style="32" customWidth="1"/>
    <col min="14103" max="14105" width="9.5" style="32" customWidth="1"/>
    <col min="14106" max="14337" width="8.75" style="32"/>
    <col min="14338" max="14338" width="21.5" style="32" customWidth="1"/>
    <col min="14339" max="14339" width="15.5" style="32" customWidth="1"/>
    <col min="14340" max="14340" width="21.5" style="32" customWidth="1"/>
    <col min="14341" max="14341" width="14.5" style="32" customWidth="1"/>
    <col min="14342" max="14342" width="5.125" style="32" customWidth="1"/>
    <col min="14343" max="14343" width="16.25" style="32" customWidth="1"/>
    <col min="14344" max="14345" width="17.125" style="32" customWidth="1"/>
    <col min="14346" max="14346" width="5.125" style="32" customWidth="1"/>
    <col min="14347" max="14347" width="26.5" style="32" customWidth="1"/>
    <col min="14348" max="14348" width="26.875" style="32" customWidth="1"/>
    <col min="14349" max="14349" width="9.5" style="32" bestFit="1" customWidth="1"/>
    <col min="14350" max="14350" width="5.125" style="32" customWidth="1"/>
    <col min="14351" max="14351" width="12.875" style="32" customWidth="1"/>
    <col min="14352" max="14352" width="14.125" style="32" customWidth="1"/>
    <col min="14353" max="14353" width="18.875" style="32" customWidth="1"/>
    <col min="14354" max="14354" width="8.75" style="32" customWidth="1"/>
    <col min="14355" max="14356" width="18.875" style="32" customWidth="1"/>
    <col min="14357" max="14357" width="5.5" style="32" customWidth="1"/>
    <col min="14358" max="14358" width="10.25" style="32" customWidth="1"/>
    <col min="14359" max="14361" width="9.5" style="32" customWidth="1"/>
    <col min="14362" max="14593" width="8.75" style="32"/>
    <col min="14594" max="14594" width="21.5" style="32" customWidth="1"/>
    <col min="14595" max="14595" width="15.5" style="32" customWidth="1"/>
    <col min="14596" max="14596" width="21.5" style="32" customWidth="1"/>
    <col min="14597" max="14597" width="14.5" style="32" customWidth="1"/>
    <col min="14598" max="14598" width="5.125" style="32" customWidth="1"/>
    <col min="14599" max="14599" width="16.25" style="32" customWidth="1"/>
    <col min="14600" max="14601" width="17.125" style="32" customWidth="1"/>
    <col min="14602" max="14602" width="5.125" style="32" customWidth="1"/>
    <col min="14603" max="14603" width="26.5" style="32" customWidth="1"/>
    <col min="14604" max="14604" width="26.875" style="32" customWidth="1"/>
    <col min="14605" max="14605" width="9.5" style="32" bestFit="1" customWidth="1"/>
    <col min="14606" max="14606" width="5.125" style="32" customWidth="1"/>
    <col min="14607" max="14607" width="12.875" style="32" customWidth="1"/>
    <col min="14608" max="14608" width="14.125" style="32" customWidth="1"/>
    <col min="14609" max="14609" width="18.875" style="32" customWidth="1"/>
    <col min="14610" max="14610" width="8.75" style="32" customWidth="1"/>
    <col min="14611" max="14612" width="18.875" style="32" customWidth="1"/>
    <col min="14613" max="14613" width="5.5" style="32" customWidth="1"/>
    <col min="14614" max="14614" width="10.25" style="32" customWidth="1"/>
    <col min="14615" max="14617" width="9.5" style="32" customWidth="1"/>
    <col min="14618" max="14849" width="8.75" style="32"/>
    <col min="14850" max="14850" width="21.5" style="32" customWidth="1"/>
    <col min="14851" max="14851" width="15.5" style="32" customWidth="1"/>
    <col min="14852" max="14852" width="21.5" style="32" customWidth="1"/>
    <col min="14853" max="14853" width="14.5" style="32" customWidth="1"/>
    <col min="14854" max="14854" width="5.125" style="32" customWidth="1"/>
    <col min="14855" max="14855" width="16.25" style="32" customWidth="1"/>
    <col min="14856" max="14857" width="17.125" style="32" customWidth="1"/>
    <col min="14858" max="14858" width="5.125" style="32" customWidth="1"/>
    <col min="14859" max="14859" width="26.5" style="32" customWidth="1"/>
    <col min="14860" max="14860" width="26.875" style="32" customWidth="1"/>
    <col min="14861" max="14861" width="9.5" style="32" bestFit="1" customWidth="1"/>
    <col min="14862" max="14862" width="5.125" style="32" customWidth="1"/>
    <col min="14863" max="14863" width="12.875" style="32" customWidth="1"/>
    <col min="14864" max="14864" width="14.125" style="32" customWidth="1"/>
    <col min="14865" max="14865" width="18.875" style="32" customWidth="1"/>
    <col min="14866" max="14866" width="8.75" style="32" customWidth="1"/>
    <col min="14867" max="14868" width="18.875" style="32" customWidth="1"/>
    <col min="14869" max="14869" width="5.5" style="32" customWidth="1"/>
    <col min="14870" max="14870" width="10.25" style="32" customWidth="1"/>
    <col min="14871" max="14873" width="9.5" style="32" customWidth="1"/>
    <col min="14874" max="15105" width="8.75" style="32"/>
    <col min="15106" max="15106" width="21.5" style="32" customWidth="1"/>
    <col min="15107" max="15107" width="15.5" style="32" customWidth="1"/>
    <col min="15108" max="15108" width="21.5" style="32" customWidth="1"/>
    <col min="15109" max="15109" width="14.5" style="32" customWidth="1"/>
    <col min="15110" max="15110" width="5.125" style="32" customWidth="1"/>
    <col min="15111" max="15111" width="16.25" style="32" customWidth="1"/>
    <col min="15112" max="15113" width="17.125" style="32" customWidth="1"/>
    <col min="15114" max="15114" width="5.125" style="32" customWidth="1"/>
    <col min="15115" max="15115" width="26.5" style="32" customWidth="1"/>
    <col min="15116" max="15116" width="26.875" style="32" customWidth="1"/>
    <col min="15117" max="15117" width="9.5" style="32" bestFit="1" customWidth="1"/>
    <col min="15118" max="15118" width="5.125" style="32" customWidth="1"/>
    <col min="15119" max="15119" width="12.875" style="32" customWidth="1"/>
    <col min="15120" max="15120" width="14.125" style="32" customWidth="1"/>
    <col min="15121" max="15121" width="18.875" style="32" customWidth="1"/>
    <col min="15122" max="15122" width="8.75" style="32" customWidth="1"/>
    <col min="15123" max="15124" width="18.875" style="32" customWidth="1"/>
    <col min="15125" max="15125" width="5.5" style="32" customWidth="1"/>
    <col min="15126" max="15126" width="10.25" style="32" customWidth="1"/>
    <col min="15127" max="15129" width="9.5" style="32" customWidth="1"/>
    <col min="15130" max="15361" width="8.75" style="32"/>
    <col min="15362" max="15362" width="21.5" style="32" customWidth="1"/>
    <col min="15363" max="15363" width="15.5" style="32" customWidth="1"/>
    <col min="15364" max="15364" width="21.5" style="32" customWidth="1"/>
    <col min="15365" max="15365" width="14.5" style="32" customWidth="1"/>
    <col min="15366" max="15366" width="5.125" style="32" customWidth="1"/>
    <col min="15367" max="15367" width="16.25" style="32" customWidth="1"/>
    <col min="15368" max="15369" width="17.125" style="32" customWidth="1"/>
    <col min="15370" max="15370" width="5.125" style="32" customWidth="1"/>
    <col min="15371" max="15371" width="26.5" style="32" customWidth="1"/>
    <col min="15372" max="15372" width="26.875" style="32" customWidth="1"/>
    <col min="15373" max="15373" width="9.5" style="32" bestFit="1" customWidth="1"/>
    <col min="15374" max="15374" width="5.125" style="32" customWidth="1"/>
    <col min="15375" max="15375" width="12.875" style="32" customWidth="1"/>
    <col min="15376" max="15376" width="14.125" style="32" customWidth="1"/>
    <col min="15377" max="15377" width="18.875" style="32" customWidth="1"/>
    <col min="15378" max="15378" width="8.75" style="32" customWidth="1"/>
    <col min="15379" max="15380" width="18.875" style="32" customWidth="1"/>
    <col min="15381" max="15381" width="5.5" style="32" customWidth="1"/>
    <col min="15382" max="15382" width="10.25" style="32" customWidth="1"/>
    <col min="15383" max="15385" width="9.5" style="32" customWidth="1"/>
    <col min="15386" max="15617" width="8.75" style="32"/>
    <col min="15618" max="15618" width="21.5" style="32" customWidth="1"/>
    <col min="15619" max="15619" width="15.5" style="32" customWidth="1"/>
    <col min="15620" max="15620" width="21.5" style="32" customWidth="1"/>
    <col min="15621" max="15621" width="14.5" style="32" customWidth="1"/>
    <col min="15622" max="15622" width="5.125" style="32" customWidth="1"/>
    <col min="15623" max="15623" width="16.25" style="32" customWidth="1"/>
    <col min="15624" max="15625" width="17.125" style="32" customWidth="1"/>
    <col min="15626" max="15626" width="5.125" style="32" customWidth="1"/>
    <col min="15627" max="15627" width="26.5" style="32" customWidth="1"/>
    <col min="15628" max="15628" width="26.875" style="32" customWidth="1"/>
    <col min="15629" max="15629" width="9.5" style="32" bestFit="1" customWidth="1"/>
    <col min="15630" max="15630" width="5.125" style="32" customWidth="1"/>
    <col min="15631" max="15631" width="12.875" style="32" customWidth="1"/>
    <col min="15632" max="15632" width="14.125" style="32" customWidth="1"/>
    <col min="15633" max="15633" width="18.875" style="32" customWidth="1"/>
    <col min="15634" max="15634" width="8.75" style="32" customWidth="1"/>
    <col min="15635" max="15636" width="18.875" style="32" customWidth="1"/>
    <col min="15637" max="15637" width="5.5" style="32" customWidth="1"/>
    <col min="15638" max="15638" width="10.25" style="32" customWidth="1"/>
    <col min="15639" max="15641" width="9.5" style="32" customWidth="1"/>
    <col min="15642" max="15873" width="8.75" style="32"/>
    <col min="15874" max="15874" width="21.5" style="32" customWidth="1"/>
    <col min="15875" max="15875" width="15.5" style="32" customWidth="1"/>
    <col min="15876" max="15876" width="21.5" style="32" customWidth="1"/>
    <col min="15877" max="15877" width="14.5" style="32" customWidth="1"/>
    <col min="15878" max="15878" width="5.125" style="32" customWidth="1"/>
    <col min="15879" max="15879" width="16.25" style="32" customWidth="1"/>
    <col min="15880" max="15881" width="17.125" style="32" customWidth="1"/>
    <col min="15882" max="15882" width="5.125" style="32" customWidth="1"/>
    <col min="15883" max="15883" width="26.5" style="32" customWidth="1"/>
    <col min="15884" max="15884" width="26.875" style="32" customWidth="1"/>
    <col min="15885" max="15885" width="9.5" style="32" bestFit="1" customWidth="1"/>
    <col min="15886" max="15886" width="5.125" style="32" customWidth="1"/>
    <col min="15887" max="15887" width="12.875" style="32" customWidth="1"/>
    <col min="15888" max="15888" width="14.125" style="32" customWidth="1"/>
    <col min="15889" max="15889" width="18.875" style="32" customWidth="1"/>
    <col min="15890" max="15890" width="8.75" style="32" customWidth="1"/>
    <col min="15891" max="15892" width="18.875" style="32" customWidth="1"/>
    <col min="15893" max="15893" width="5.5" style="32" customWidth="1"/>
    <col min="15894" max="15894" width="10.25" style="32" customWidth="1"/>
    <col min="15895" max="15897" width="9.5" style="32" customWidth="1"/>
    <col min="15898" max="16129" width="8.75" style="32"/>
    <col min="16130" max="16130" width="21.5" style="32" customWidth="1"/>
    <col min="16131" max="16131" width="15.5" style="32" customWidth="1"/>
    <col min="16132" max="16132" width="21.5" style="32" customWidth="1"/>
    <col min="16133" max="16133" width="14.5" style="32" customWidth="1"/>
    <col min="16134" max="16134" width="5.125" style="32" customWidth="1"/>
    <col min="16135" max="16135" width="16.25" style="32" customWidth="1"/>
    <col min="16136" max="16137" width="17.125" style="32" customWidth="1"/>
    <col min="16138" max="16138" width="5.125" style="32" customWidth="1"/>
    <col min="16139" max="16139" width="26.5" style="32" customWidth="1"/>
    <col min="16140" max="16140" width="26.875" style="32" customWidth="1"/>
    <col min="16141" max="16141" width="9.5" style="32" bestFit="1" customWidth="1"/>
    <col min="16142" max="16142" width="5.125" style="32" customWidth="1"/>
    <col min="16143" max="16143" width="12.875" style="32" customWidth="1"/>
    <col min="16144" max="16144" width="14.125" style="32" customWidth="1"/>
    <col min="16145" max="16145" width="18.875" style="32" customWidth="1"/>
    <col min="16146" max="16146" width="8.75" style="32" customWidth="1"/>
    <col min="16147" max="16148" width="18.875" style="32" customWidth="1"/>
    <col min="16149" max="16149" width="5.5" style="32" customWidth="1"/>
    <col min="16150" max="16150" width="10.25" style="32" customWidth="1"/>
    <col min="16151" max="16153" width="9.5" style="32" customWidth="1"/>
    <col min="16154" max="16384" width="8.75" style="32"/>
  </cols>
  <sheetData>
    <row r="2" spans="2:25" ht="12.6" x14ac:dyDescent="0.25">
      <c r="V2" s="100"/>
      <c r="W2" s="100"/>
      <c r="X2" s="100"/>
      <c r="Y2" s="100"/>
    </row>
    <row r="3" spans="2:25" ht="61.5" customHeight="1" x14ac:dyDescent="0.2">
      <c r="B3" s="33" t="s">
        <v>45</v>
      </c>
      <c r="C3" s="34" t="s">
        <v>46</v>
      </c>
      <c r="D3" s="34" t="s">
        <v>47</v>
      </c>
      <c r="E3" s="34" t="s">
        <v>48</v>
      </c>
      <c r="G3" s="35" t="s">
        <v>49</v>
      </c>
      <c r="H3" s="35" t="s">
        <v>50</v>
      </c>
      <c r="I3" s="34" t="s">
        <v>51</v>
      </c>
      <c r="K3" s="34" t="s">
        <v>52</v>
      </c>
      <c r="L3" s="34" t="s">
        <v>53</v>
      </c>
      <c r="M3" s="34" t="s">
        <v>54</v>
      </c>
      <c r="O3" s="34" t="s">
        <v>55</v>
      </c>
      <c r="P3" s="34" t="s">
        <v>56</v>
      </c>
      <c r="Q3" s="34" t="s">
        <v>57</v>
      </c>
      <c r="S3" s="34" t="s">
        <v>58</v>
      </c>
      <c r="T3" s="34" t="s">
        <v>59</v>
      </c>
      <c r="V3" s="34">
        <v>717007</v>
      </c>
      <c r="W3" s="34">
        <v>717008</v>
      </c>
      <c r="X3" s="34">
        <v>717003</v>
      </c>
      <c r="Y3" s="34">
        <v>717004</v>
      </c>
    </row>
    <row r="4" spans="2:25" ht="14.45" x14ac:dyDescent="0.35">
      <c r="B4" s="36">
        <v>43466</v>
      </c>
      <c r="C4" s="37">
        <f>'[2]Consumo Diário'!$C$42</f>
        <v>128045.29799999998</v>
      </c>
      <c r="D4" s="37">
        <f>'[2]Consumo Diário'!$D$42</f>
        <v>1038.452</v>
      </c>
      <c r="E4" s="37">
        <f>C4+D4</f>
        <v>129083.74999999999</v>
      </c>
      <c r="F4" s="52"/>
      <c r="G4" s="37">
        <f t="shared" ref="G4:H23" si="0">O4-C4-K4</f>
        <v>4251.2205633361191</v>
      </c>
      <c r="H4" s="37">
        <f t="shared" si="0"/>
        <v>338.97115333333323</v>
      </c>
      <c r="I4" s="37">
        <f>G4+H4</f>
        <v>4590.191716669452</v>
      </c>
      <c r="J4" s="52"/>
      <c r="K4" s="38">
        <f>'[2]Consumo Diário'!$DX$42</f>
        <v>6649.0374366639408</v>
      </c>
      <c r="L4" s="38">
        <f>'[2]Consumo Diário'!$DY$42</f>
        <v>163.88884666666667</v>
      </c>
      <c r="M4" s="38">
        <f>K4+L4</f>
        <v>6812.9262833306075</v>
      </c>
      <c r="N4" s="52"/>
      <c r="O4" s="39">
        <f>'[2]Consumo Diário'!$DS$42</f>
        <v>138945.55600000004</v>
      </c>
      <c r="P4" s="39">
        <f>'[2]Consumo Diário'!$DT$42</f>
        <v>1541.3119999999999</v>
      </c>
      <c r="Q4" s="39">
        <f>O4+P4</f>
        <v>140486.86800000005</v>
      </c>
      <c r="S4" s="40">
        <f>(E4+I4)/Q4</f>
        <v>0.95150488881757544</v>
      </c>
      <c r="T4" s="40">
        <f>M4/Q4</f>
        <v>4.8495111182424576E-2</v>
      </c>
      <c r="V4" s="40">
        <f>(C4+G4)/Q4</f>
        <v>0.94170024890394788</v>
      </c>
      <c r="W4" s="40">
        <f>(D4+H4)/Q4</f>
        <v>9.8046399136276045E-3</v>
      </c>
      <c r="X4" s="40">
        <f>K4/Q4</f>
        <v>4.732853348730031E-2</v>
      </c>
      <c r="Y4" s="40">
        <f>L4/Q4</f>
        <v>1.1665776951242633E-3</v>
      </c>
    </row>
    <row r="5" spans="2:25" ht="14.45" x14ac:dyDescent="0.35">
      <c r="B5" s="36">
        <v>43497</v>
      </c>
      <c r="C5" s="37">
        <f>'[3]Consumo Diário'!$C$42</f>
        <v>117316.54099999998</v>
      </c>
      <c r="D5" s="37">
        <f>'[3]Consumo Diário'!$D$42</f>
        <v>1002.2690000000001</v>
      </c>
      <c r="E5" s="37">
        <f t="shared" ref="E5:E38" si="1">C5+D5</f>
        <v>118318.80999999998</v>
      </c>
      <c r="F5" s="53"/>
      <c r="G5" s="37">
        <f t="shared" si="0"/>
        <v>4164.4959366666817</v>
      </c>
      <c r="H5" s="37">
        <f t="shared" si="0"/>
        <v>240.19136666666643</v>
      </c>
      <c r="I5" s="37">
        <f t="shared" ref="I5:I38" si="2">G5+H5</f>
        <v>4404.6873033333477</v>
      </c>
      <c r="J5" s="52"/>
      <c r="K5" s="38">
        <f>'[3]Consumo Diário'!$DX$42</f>
        <v>5975.6210633333312</v>
      </c>
      <c r="L5" s="38">
        <f>'[3]Consumo Diário'!$DY$42</f>
        <v>211.75563333333335</v>
      </c>
      <c r="M5" s="38">
        <f t="shared" ref="M5:M38" si="3">K5+L5</f>
        <v>6187.3766966666644</v>
      </c>
      <c r="N5" s="52"/>
      <c r="O5" s="39">
        <f>'[3]Consumo Diário'!$DS$42</f>
        <v>127456.658</v>
      </c>
      <c r="P5" s="39">
        <f>'[3]Consumo Diário'!$DT$42</f>
        <v>1454.2159999999999</v>
      </c>
      <c r="Q5" s="39">
        <f t="shared" ref="Q5:Q38" si="4">O5+P5</f>
        <v>128910.874</v>
      </c>
      <c r="R5" s="54"/>
      <c r="S5" s="40">
        <f t="shared" ref="S5:S37" si="5">(E5+I5)/Q5</f>
        <v>0.95200267824833262</v>
      </c>
      <c r="T5" s="40">
        <f t="shared" ref="T5:T37" si="6">M5/Q5</f>
        <v>4.7997321751667474E-2</v>
      </c>
      <c r="V5" s="40">
        <f t="shared" ref="V5:V35" si="7">(C5+G5)/Q5</f>
        <v>0.94236454355795207</v>
      </c>
      <c r="W5" s="40">
        <f t="shared" ref="W5:W35" si="8">(D5+H5)/Q5</f>
        <v>9.6381346903804763E-3</v>
      </c>
      <c r="X5" s="40">
        <f t="shared" ref="X5:X35" si="9">K5/Q5</f>
        <v>4.6354670307590433E-2</v>
      </c>
      <c r="Y5" s="40">
        <f t="shared" ref="Y5:Y35" si="10">L5/Q5</f>
        <v>1.6426514440770401E-3</v>
      </c>
    </row>
    <row r="6" spans="2:25" ht="14.45" x14ac:dyDescent="0.35">
      <c r="B6" s="36">
        <v>43525</v>
      </c>
      <c r="C6" s="37">
        <f>'[4]Consumo Diário'!$C$42</f>
        <v>130503.71</v>
      </c>
      <c r="D6" s="37">
        <f>'[4]Consumo Diário'!$D$42</f>
        <v>955.99000000000012</v>
      </c>
      <c r="E6" s="37">
        <f t="shared" si="1"/>
        <v>131459.70000000001</v>
      </c>
      <c r="F6" s="53"/>
      <c r="G6" s="37">
        <f t="shared" si="0"/>
        <v>4776.9969485714537</v>
      </c>
      <c r="H6" s="37">
        <f t="shared" si="0"/>
        <v>204.14739999999989</v>
      </c>
      <c r="I6" s="37">
        <f t="shared" si="2"/>
        <v>4981.1443485714535</v>
      </c>
      <c r="J6" s="53"/>
      <c r="K6" s="38">
        <f>'[4]Consumo Diário'!$DX$42</f>
        <v>6735.3500514285697</v>
      </c>
      <c r="L6" s="38">
        <f>'[4]Consumo Diário'!$DY$42</f>
        <v>269.45560000000006</v>
      </c>
      <c r="M6" s="38">
        <f t="shared" si="3"/>
        <v>7004.8056514285699</v>
      </c>
      <c r="N6" s="52"/>
      <c r="O6" s="39">
        <f>'[4]Consumo Diário'!$DS$42</f>
        <v>142016.05700000003</v>
      </c>
      <c r="P6" s="39">
        <f>'[4]Consumo Diário'!$DT$42</f>
        <v>1429.5930000000001</v>
      </c>
      <c r="Q6" s="39">
        <f t="shared" si="4"/>
        <v>143445.65000000002</v>
      </c>
      <c r="R6" s="54"/>
      <c r="S6" s="40">
        <f t="shared" si="5"/>
        <v>0.95116752824900197</v>
      </c>
      <c r="T6" s="40">
        <f t="shared" si="6"/>
        <v>4.8832471750998155E-2</v>
      </c>
      <c r="V6" s="40">
        <f t="shared" si="7"/>
        <v>0.94307988390426223</v>
      </c>
      <c r="W6" s="40">
        <f t="shared" si="8"/>
        <v>8.0876443447396272E-3</v>
      </c>
      <c r="X6" s="40">
        <f t="shared" si="9"/>
        <v>4.6954020923106195E-2</v>
      </c>
      <c r="Y6" s="40">
        <f t="shared" si="10"/>
        <v>1.8784508278919577E-3</v>
      </c>
    </row>
    <row r="7" spans="2:25" ht="14.45" x14ac:dyDescent="0.35">
      <c r="B7" s="36">
        <v>43556</v>
      </c>
      <c r="C7" s="37">
        <f>'[5]Consumo Diário'!$C$42</f>
        <v>126449.82799999999</v>
      </c>
      <c r="D7" s="37">
        <f>'[5]Consumo Diário'!$D$42</f>
        <v>1016.962</v>
      </c>
      <c r="E7" s="37">
        <f t="shared" si="1"/>
        <v>127466.79</v>
      </c>
      <c r="F7" s="53"/>
      <c r="G7" s="37">
        <f t="shared" si="0"/>
        <v>5057.7774050646585</v>
      </c>
      <c r="H7" s="37">
        <f t="shared" si="0"/>
        <v>254.58674999999977</v>
      </c>
      <c r="I7" s="37">
        <f t="shared" si="2"/>
        <v>5312.364155064658</v>
      </c>
      <c r="J7" s="53"/>
      <c r="K7" s="38">
        <f>'[5]Consumo Diário'!$DX$42</f>
        <v>6441.9155949353844</v>
      </c>
      <c r="L7" s="38">
        <f>'[5]Consumo Diário'!$DY$42</f>
        <v>265.04825</v>
      </c>
      <c r="M7" s="38">
        <f t="shared" si="3"/>
        <v>6706.9638449353843</v>
      </c>
      <c r="N7" s="52"/>
      <c r="O7" s="39">
        <f>'[5]Consumo Diário'!$DS$42</f>
        <v>137949.52100000004</v>
      </c>
      <c r="P7" s="39">
        <f>'[5]Consumo Diário'!$DT$42</f>
        <v>1536.5969999999998</v>
      </c>
      <c r="Q7" s="39">
        <f t="shared" si="4"/>
        <v>139486.11800000005</v>
      </c>
      <c r="R7" s="54"/>
      <c r="S7" s="40">
        <f t="shared" si="5"/>
        <v>0.95191662123011134</v>
      </c>
      <c r="T7" s="40">
        <f t="shared" si="6"/>
        <v>4.8083378769888642E-2</v>
      </c>
      <c r="V7" s="40">
        <f t="shared" si="7"/>
        <v>0.94280066927566664</v>
      </c>
      <c r="W7" s="40">
        <f t="shared" si="8"/>
        <v>9.1159519544446663E-3</v>
      </c>
      <c r="X7" s="40">
        <f t="shared" si="9"/>
        <v>4.6183202223287784E-2</v>
      </c>
      <c r="Y7" s="40">
        <f t="shared" si="10"/>
        <v>1.9001765466008589E-3</v>
      </c>
    </row>
    <row r="8" spans="2:25" ht="14.45" x14ac:dyDescent="0.35">
      <c r="B8" s="36">
        <v>43586</v>
      </c>
      <c r="C8" s="37">
        <f>'[6]Consumo Diário'!$C$42</f>
        <v>128349.50500000002</v>
      </c>
      <c r="D8" s="37">
        <f>'[6]Consumo Diário'!$D$42</f>
        <v>1006.995</v>
      </c>
      <c r="E8" s="37">
        <f t="shared" si="1"/>
        <v>129356.50000000001</v>
      </c>
      <c r="F8" s="53"/>
      <c r="G8" s="37">
        <f t="shared" si="0"/>
        <v>5059.0495327272811</v>
      </c>
      <c r="H8" s="37">
        <f t="shared" si="0"/>
        <v>241.33126363636367</v>
      </c>
      <c r="I8" s="37">
        <f t="shared" si="2"/>
        <v>5300.3807963636445</v>
      </c>
      <c r="J8" s="53"/>
      <c r="K8" s="38">
        <f>'[6]Consumo Diário'!$DX$42</f>
        <v>5845.8614672727263</v>
      </c>
      <c r="L8" s="38">
        <f>'[6]Consumo Diário'!$DY$42</f>
        <v>249.47073636363635</v>
      </c>
      <c r="M8" s="38">
        <f t="shared" si="3"/>
        <v>6095.3322036363625</v>
      </c>
      <c r="N8" s="52"/>
      <c r="O8" s="39">
        <f>'[6]Consumo Diário'!$DS$42</f>
        <v>139254.41600000003</v>
      </c>
      <c r="P8" s="39">
        <f>'[6]Consumo Diário'!$DT$42</f>
        <v>1497.797</v>
      </c>
      <c r="Q8" s="39">
        <f t="shared" si="4"/>
        <v>140752.21300000002</v>
      </c>
      <c r="R8" s="54"/>
      <c r="S8" s="40">
        <f t="shared" si="5"/>
        <v>0.95669459063044104</v>
      </c>
      <c r="T8" s="40">
        <f t="shared" si="6"/>
        <v>4.3305409369558984E-2</v>
      </c>
      <c r="V8" s="40">
        <f t="shared" si="7"/>
        <v>0.94782562695996331</v>
      </c>
      <c r="W8" s="40">
        <f t="shared" si="8"/>
        <v>8.8689636704778734E-3</v>
      </c>
      <c r="X8" s="40">
        <f t="shared" si="9"/>
        <v>4.1532998612765867E-2</v>
      </c>
      <c r="Y8" s="40">
        <f t="shared" si="10"/>
        <v>1.7724107567931191E-3</v>
      </c>
    </row>
    <row r="9" spans="2:25" ht="14.45" x14ac:dyDescent="0.35">
      <c r="B9" s="36">
        <v>43617</v>
      </c>
      <c r="C9" s="37">
        <f>'[7]Consumo Diário'!$C$42</f>
        <v>102197.69099999998</v>
      </c>
      <c r="D9" s="37">
        <f>'[7]Consumo Diário'!$D$42</f>
        <v>902.18899999999996</v>
      </c>
      <c r="E9" s="37">
        <f t="shared" si="1"/>
        <v>103099.87999999998</v>
      </c>
      <c r="F9" s="53"/>
      <c r="G9" s="37">
        <f t="shared" si="0"/>
        <v>4162.7026636363753</v>
      </c>
      <c r="H9" s="37">
        <f t="shared" si="0"/>
        <v>238.2177090909089</v>
      </c>
      <c r="I9" s="37">
        <f t="shared" si="2"/>
        <v>4400.9203727272843</v>
      </c>
      <c r="J9" s="53"/>
      <c r="K9" s="38">
        <f>'[7]Consumo Diário'!$DX$42</f>
        <v>6155.3413363636337</v>
      </c>
      <c r="L9" s="38">
        <f>'[7]Consumo Diário'!$DY$42</f>
        <v>241.31429090909091</v>
      </c>
      <c r="M9" s="38">
        <f t="shared" si="3"/>
        <v>6396.6556272727248</v>
      </c>
      <c r="N9" s="52"/>
      <c r="O9" s="39">
        <f>'[7]Consumo Diário'!$DS$42</f>
        <v>112515.73499999999</v>
      </c>
      <c r="P9" s="39">
        <f>'[7]Consumo Diário'!$DT$42</f>
        <v>1381.7209999999998</v>
      </c>
      <c r="Q9" s="39">
        <f t="shared" si="4"/>
        <v>113897.45599999999</v>
      </c>
      <c r="R9" s="54"/>
      <c r="S9" s="40">
        <f t="shared" si="5"/>
        <v>0.9438384679349402</v>
      </c>
      <c r="T9" s="40">
        <f t="shared" si="6"/>
        <v>5.6161532065059694E-2</v>
      </c>
      <c r="V9" s="40">
        <f t="shared" si="7"/>
        <v>0.93382589391317361</v>
      </c>
      <c r="W9" s="40">
        <f t="shared" si="8"/>
        <v>1.001257402176664E-2</v>
      </c>
      <c r="X9" s="40">
        <f t="shared" si="9"/>
        <v>5.4042834252273679E-2</v>
      </c>
      <c r="Y9" s="40">
        <f t="shared" si="10"/>
        <v>2.1186978127860109E-3</v>
      </c>
    </row>
    <row r="10" spans="2:25" ht="14.45" x14ac:dyDescent="0.35">
      <c r="B10" s="36">
        <v>43647</v>
      </c>
      <c r="C10" s="37">
        <f>'[8]Consumo Diário'!$C$42</f>
        <v>91509.01999999999</v>
      </c>
      <c r="D10" s="37">
        <f>'[8]Consumo Diário'!$D$42</f>
        <v>1139.96</v>
      </c>
      <c r="E10" s="37">
        <f t="shared" si="1"/>
        <v>92648.98</v>
      </c>
      <c r="F10" s="53"/>
      <c r="G10" s="37">
        <f t="shared" si="0"/>
        <v>4034.2525727272905</v>
      </c>
      <c r="H10" s="37">
        <f t="shared" si="0"/>
        <v>294.59516363636368</v>
      </c>
      <c r="I10" s="37">
        <f t="shared" si="2"/>
        <v>4328.8477363636539</v>
      </c>
      <c r="J10" s="53"/>
      <c r="K10" s="38">
        <f>'[8]Consumo Diário'!$DX$42</f>
        <v>5707.7444272727271</v>
      </c>
      <c r="L10" s="38">
        <f>'[8]Consumo Diário'!$DY$42</f>
        <v>281.91483636363631</v>
      </c>
      <c r="M10" s="38">
        <f t="shared" si="3"/>
        <v>5989.659263636363</v>
      </c>
      <c r="N10" s="52"/>
      <c r="O10" s="39">
        <f>'[8]Consumo Diário'!$DS$42</f>
        <v>101251.01700000001</v>
      </c>
      <c r="P10" s="39">
        <f>'[8]Consumo Diário'!$DT$42</f>
        <v>1716.47</v>
      </c>
      <c r="Q10" s="39">
        <f t="shared" si="4"/>
        <v>102967.48700000001</v>
      </c>
      <c r="R10" s="54"/>
      <c r="S10" s="40">
        <f t="shared" si="5"/>
        <v>0.94182960623641943</v>
      </c>
      <c r="T10" s="40">
        <f t="shared" si="6"/>
        <v>5.8170393763580561E-2</v>
      </c>
      <c r="V10" s="40">
        <f t="shared" si="7"/>
        <v>0.92789748838608899</v>
      </c>
      <c r="W10" s="40">
        <f t="shared" si="8"/>
        <v>1.3932117850330401E-2</v>
      </c>
      <c r="X10" s="40">
        <f t="shared" si="9"/>
        <v>5.5432492270814829E-2</v>
      </c>
      <c r="Y10" s="40">
        <f t="shared" si="10"/>
        <v>2.7379014927657336E-3</v>
      </c>
    </row>
    <row r="11" spans="2:25" ht="14.45" x14ac:dyDescent="0.35">
      <c r="B11" s="36">
        <v>43678</v>
      </c>
      <c r="C11" s="37">
        <f>'[9]Consumo Diário'!$C$42</f>
        <v>91402.032000000007</v>
      </c>
      <c r="D11" s="37">
        <f>'[9]Consumo Diário'!$D$42</f>
        <v>1125.498</v>
      </c>
      <c r="E11" s="37">
        <f t="shared" si="1"/>
        <v>92527.530000000013</v>
      </c>
      <c r="F11" s="53"/>
      <c r="G11" s="37">
        <f t="shared" si="0"/>
        <v>3977.6534000000074</v>
      </c>
      <c r="H11" s="37">
        <f t="shared" si="0"/>
        <v>263.36560000000009</v>
      </c>
      <c r="I11" s="37">
        <f t="shared" si="2"/>
        <v>4241.0190000000075</v>
      </c>
      <c r="J11" s="53"/>
      <c r="K11" s="38">
        <f>'[9]Consumo Diário'!$DX$42</f>
        <v>5616.7725999999993</v>
      </c>
      <c r="L11" s="38">
        <f>'[9]Consumo Diário'!$DY$42</f>
        <v>267.54639999999995</v>
      </c>
      <c r="M11" s="38">
        <f t="shared" si="3"/>
        <v>5884.3189999999995</v>
      </c>
      <c r="N11" s="52"/>
      <c r="O11" s="39">
        <f>'[9]Consumo Diário'!$DS$42</f>
        <v>100996.45800000001</v>
      </c>
      <c r="P11" s="39">
        <f>'[9]Consumo Diário'!$DT$42</f>
        <v>1656.41</v>
      </c>
      <c r="Q11" s="39">
        <f t="shared" si="4"/>
        <v>102652.86800000002</v>
      </c>
      <c r="R11" s="54"/>
      <c r="S11" s="40">
        <f t="shared" si="5"/>
        <v>0.942677500252599</v>
      </c>
      <c r="T11" s="40">
        <f t="shared" si="6"/>
        <v>5.7322499747401098E-2</v>
      </c>
      <c r="V11" s="40">
        <f t="shared" si="7"/>
        <v>0.92914778961655509</v>
      </c>
      <c r="W11" s="40">
        <f t="shared" si="8"/>
        <v>1.3529710636043796E-2</v>
      </c>
      <c r="X11" s="40">
        <f t="shared" si="9"/>
        <v>5.4716178022420167E-2</v>
      </c>
      <c r="Y11" s="40">
        <f t="shared" si="10"/>
        <v>2.606321724980932E-3</v>
      </c>
    </row>
    <row r="12" spans="2:25" ht="14.45" x14ac:dyDescent="0.35">
      <c r="B12" s="36">
        <v>43709</v>
      </c>
      <c r="C12" s="37">
        <f>'[10]Consumo Diário'!$C$42</f>
        <v>88616.603999999992</v>
      </c>
      <c r="D12" s="37">
        <f>'[10]Consumo Diário'!$D$42</f>
        <v>1006.6459999999998</v>
      </c>
      <c r="E12" s="37">
        <f t="shared" si="1"/>
        <v>89623.249999999985</v>
      </c>
      <c r="F12" s="53"/>
      <c r="G12" s="37">
        <f t="shared" si="0"/>
        <v>3964.7493999999842</v>
      </c>
      <c r="H12" s="37">
        <f t="shared" si="0"/>
        <v>260.59020000000027</v>
      </c>
      <c r="I12" s="37">
        <f t="shared" si="2"/>
        <v>4225.3395999999848</v>
      </c>
      <c r="J12" s="53"/>
      <c r="K12" s="38">
        <f>'[10]Consumo Diário'!$DX$42</f>
        <v>5364.5346000000009</v>
      </c>
      <c r="L12" s="38">
        <f>'[10]Consumo Diário'!$DY$42</f>
        <v>238.19080000000002</v>
      </c>
      <c r="M12" s="38">
        <f t="shared" si="3"/>
        <v>5602.7254000000012</v>
      </c>
      <c r="N12" s="52"/>
      <c r="O12" s="39">
        <f>'[10]Consumo Diário'!$DS$42</f>
        <v>97945.887999999977</v>
      </c>
      <c r="P12" s="39">
        <f>'[10]Consumo Diário'!$DT$42</f>
        <v>1505.4270000000001</v>
      </c>
      <c r="Q12" s="39">
        <f t="shared" si="4"/>
        <v>99451.314999999973</v>
      </c>
      <c r="R12" s="54"/>
      <c r="S12" s="40">
        <f t="shared" si="5"/>
        <v>0.94366363682571719</v>
      </c>
      <c r="T12" s="40">
        <f t="shared" si="6"/>
        <v>5.6336363174282839E-2</v>
      </c>
      <c r="V12" s="40">
        <f t="shared" si="7"/>
        <v>0.93092135986336633</v>
      </c>
      <c r="W12" s="40">
        <f t="shared" si="8"/>
        <v>1.2742276962350878E-2</v>
      </c>
      <c r="X12" s="40">
        <f t="shared" si="9"/>
        <v>5.3941313898162153E-2</v>
      </c>
      <c r="Y12" s="40">
        <f t="shared" si="10"/>
        <v>2.3950492761206838E-3</v>
      </c>
    </row>
    <row r="13" spans="2:25" ht="14.45" x14ac:dyDescent="0.35">
      <c r="B13" s="36">
        <v>43739</v>
      </c>
      <c r="C13" s="37">
        <f>'[11]Consumo Diário'!$C$42</f>
        <v>92023.941999999995</v>
      </c>
      <c r="D13" s="37">
        <f>'[11]Consumo Diário'!$D$42</f>
        <v>1226.1680000000001</v>
      </c>
      <c r="E13" s="37">
        <f t="shared" si="1"/>
        <v>93250.11</v>
      </c>
      <c r="F13" s="53"/>
      <c r="G13" s="37">
        <f t="shared" si="0"/>
        <v>3226.0328999999892</v>
      </c>
      <c r="H13" s="37">
        <f t="shared" si="0"/>
        <v>199.44900000000001</v>
      </c>
      <c r="I13" s="37">
        <f t="shared" si="2"/>
        <v>3425.4818999999893</v>
      </c>
      <c r="J13" s="53"/>
      <c r="K13" s="38">
        <f>'[11]Consumo Diário'!$DT$42</f>
        <v>5718.3920999999991</v>
      </c>
      <c r="L13" s="38">
        <f>'[11]Consumo Diário'!$DU$42</f>
        <v>287.73399999999998</v>
      </c>
      <c r="M13" s="38">
        <f t="shared" si="3"/>
        <v>6006.1260999999995</v>
      </c>
      <c r="N13" s="52"/>
      <c r="O13" s="39">
        <f>'[11]Consumo Diário'!$DO$42</f>
        <v>100968.36699999998</v>
      </c>
      <c r="P13" s="39">
        <f>'[11]Consumo Diário'!$DP$42</f>
        <v>1713.3510000000001</v>
      </c>
      <c r="Q13" s="39">
        <f t="shared" si="4"/>
        <v>102681.71799999998</v>
      </c>
      <c r="R13" s="54"/>
      <c r="S13" s="40">
        <f t="shared" si="5"/>
        <v>0.94150734700406946</v>
      </c>
      <c r="T13" s="40">
        <f t="shared" si="6"/>
        <v>5.8492652995930594E-2</v>
      </c>
      <c r="V13" s="40">
        <f t="shared" si="7"/>
        <v>0.927623502559628</v>
      </c>
      <c r="W13" s="40">
        <f t="shared" si="8"/>
        <v>1.3883844444441419E-2</v>
      </c>
      <c r="X13" s="40">
        <f t="shared" si="9"/>
        <v>5.5690459912250398E-2</v>
      </c>
      <c r="Y13" s="40">
        <f t="shared" si="10"/>
        <v>2.8021930836801935E-3</v>
      </c>
    </row>
    <row r="14" spans="2:25" ht="14.45" x14ac:dyDescent="0.35">
      <c r="B14" s="36">
        <v>43770</v>
      </c>
      <c r="C14" s="37">
        <f>'[12]Consumo Diário'!$C$42</f>
        <v>94358.725000000006</v>
      </c>
      <c r="D14" s="37">
        <f>'[12]Consumo Diário'!$D$42</f>
        <v>1006.117</v>
      </c>
      <c r="E14" s="37">
        <f t="shared" si="1"/>
        <v>95364.842000000004</v>
      </c>
      <c r="F14" s="53"/>
      <c r="G14" s="37">
        <f t="shared" si="0"/>
        <v>3695.7019999999948</v>
      </c>
      <c r="H14" s="37">
        <f t="shared" si="0"/>
        <v>204.45860000000005</v>
      </c>
      <c r="I14" s="37">
        <f t="shared" si="2"/>
        <v>3900.1605999999947</v>
      </c>
      <c r="J14" s="53"/>
      <c r="K14" s="38">
        <f>'[12]Consumo Diário'!$DT$42</f>
        <v>5397.6219999999985</v>
      </c>
      <c r="L14" s="38">
        <f>'[12]Consumo Diário'!$DU$42</f>
        <v>243.5204</v>
      </c>
      <c r="M14" s="38">
        <f t="shared" si="3"/>
        <v>5641.1423999999988</v>
      </c>
      <c r="N14" s="52"/>
      <c r="O14" s="39">
        <f>'[12]Consumo Diário'!$DO$42</f>
        <v>103452.049</v>
      </c>
      <c r="P14" s="39">
        <f>'[12]Consumo Diário'!$DP$42</f>
        <v>1454.096</v>
      </c>
      <c r="Q14" s="39">
        <f t="shared" si="4"/>
        <v>104906.145</v>
      </c>
      <c r="R14" s="54"/>
      <c r="S14" s="40">
        <f t="shared" si="5"/>
        <v>0.94622676869882116</v>
      </c>
      <c r="T14" s="40">
        <f t="shared" si="6"/>
        <v>5.3773231301178767E-2</v>
      </c>
      <c r="V14" s="40">
        <f t="shared" si="7"/>
        <v>0.93468716251083284</v>
      </c>
      <c r="W14" s="40">
        <f t="shared" si="8"/>
        <v>1.1539606187988322E-2</v>
      </c>
      <c r="X14" s="40">
        <f t="shared" si="9"/>
        <v>5.1451914470787181E-2</v>
      </c>
      <c r="Y14" s="40">
        <f t="shared" si="10"/>
        <v>2.3213168303915848E-3</v>
      </c>
    </row>
    <row r="15" spans="2:25" ht="14.45" x14ac:dyDescent="0.35">
      <c r="B15" s="36">
        <v>43800</v>
      </c>
      <c r="C15" s="37">
        <f>'[13]Consumo Diário'!$C$42</f>
        <v>125856.379</v>
      </c>
      <c r="D15" s="37">
        <f>'[13]Consumo Diário'!$D$42</f>
        <v>948.05000000000007</v>
      </c>
      <c r="E15" s="37">
        <f t="shared" si="1"/>
        <v>126804.429</v>
      </c>
      <c r="F15" s="53"/>
      <c r="G15" s="37">
        <f t="shared" si="0"/>
        <v>4804.4613000000309</v>
      </c>
      <c r="H15" s="37">
        <f t="shared" si="0"/>
        <v>306.76939999999956</v>
      </c>
      <c r="I15" s="37">
        <f t="shared" si="2"/>
        <v>5111.2307000000301</v>
      </c>
      <c r="J15" s="53"/>
      <c r="K15" s="38">
        <f>'[13]Consumo Diário'!$DT$42</f>
        <v>6743.4746999999998</v>
      </c>
      <c r="L15" s="38">
        <f>'[13]Consumo Diário'!$DU$42</f>
        <v>295.42460000000005</v>
      </c>
      <c r="M15" s="38">
        <f t="shared" si="3"/>
        <v>7038.8993</v>
      </c>
      <c r="N15" s="52"/>
      <c r="O15" s="39">
        <f>'[13]Consumo Diário'!$DO$42</f>
        <v>137404.31500000003</v>
      </c>
      <c r="P15" s="39">
        <f>'[13]Consumo Diário'!$DP$42</f>
        <v>1550.2439999999997</v>
      </c>
      <c r="Q15" s="39">
        <f t="shared" si="4"/>
        <v>138954.55900000004</v>
      </c>
      <c r="R15" s="54"/>
      <c r="S15" s="40">
        <f t="shared" si="5"/>
        <v>0.94934387651145735</v>
      </c>
      <c r="T15" s="40">
        <f t="shared" si="6"/>
        <v>5.0656123488542738E-2</v>
      </c>
      <c r="V15" s="40">
        <f t="shared" si="7"/>
        <v>0.94031344664265382</v>
      </c>
      <c r="W15" s="40">
        <f t="shared" si="8"/>
        <v>9.0304298688033639E-3</v>
      </c>
      <c r="X15" s="40">
        <f t="shared" si="9"/>
        <v>4.8530071618592935E-2</v>
      </c>
      <c r="Y15" s="40">
        <f t="shared" si="10"/>
        <v>2.1260518699498013E-3</v>
      </c>
    </row>
    <row r="16" spans="2:25" ht="14.45" x14ac:dyDescent="0.35">
      <c r="B16" s="36">
        <v>43831</v>
      </c>
      <c r="C16" s="37">
        <f>'[14]Consumo Diário'!$C$42</f>
        <v>126534.02600000001</v>
      </c>
      <c r="D16" s="37">
        <f>'[14]Consumo Diário'!$D$42</f>
        <v>1003.6680000000003</v>
      </c>
      <c r="E16" s="37">
        <f t="shared" si="1"/>
        <v>127537.69400000002</v>
      </c>
      <c r="F16" s="53"/>
      <c r="G16" s="37">
        <f t="shared" si="0"/>
        <v>4892.1755999999659</v>
      </c>
      <c r="H16" s="37">
        <f t="shared" si="0"/>
        <v>294.87139999999971</v>
      </c>
      <c r="I16" s="37">
        <f t="shared" si="2"/>
        <v>5187.0469999999659</v>
      </c>
      <c r="J16" s="53"/>
      <c r="K16" s="38">
        <f>'[14]Consumo Diário'!$DT$42</f>
        <v>6989.1944000000003</v>
      </c>
      <c r="L16" s="38">
        <f>'[14]Consumo Diário'!$DU$42</f>
        <v>293.54559999999998</v>
      </c>
      <c r="M16" s="38">
        <f t="shared" si="3"/>
        <v>7282.7400000000007</v>
      </c>
      <c r="N16" s="52"/>
      <c r="O16" s="39">
        <f>'[14]Consumo Diário'!$DO$42</f>
        <v>138415.39599999998</v>
      </c>
      <c r="P16" s="39">
        <f>'[14]Consumo Diário'!$DP$42</f>
        <v>1592.085</v>
      </c>
      <c r="Q16" s="39">
        <f t="shared" si="4"/>
        <v>140007.48099999997</v>
      </c>
      <c r="R16" s="54"/>
      <c r="S16" s="40">
        <f t="shared" si="5"/>
        <v>0.94798320812585724</v>
      </c>
      <c r="T16" s="40">
        <f t="shared" si="6"/>
        <v>5.20167918741428E-2</v>
      </c>
      <c r="V16" s="40">
        <f t="shared" si="7"/>
        <v>0.93870842230209117</v>
      </c>
      <c r="W16" s="40">
        <f t="shared" si="8"/>
        <v>9.2747858237660907E-3</v>
      </c>
      <c r="X16" s="40">
        <f t="shared" si="9"/>
        <v>4.9920149624004748E-2</v>
      </c>
      <c r="Y16" s="40">
        <f t="shared" si="10"/>
        <v>2.0966422501380484E-3</v>
      </c>
    </row>
    <row r="17" spans="2:25" ht="14.45" x14ac:dyDescent="0.35">
      <c r="B17" s="36">
        <v>43862</v>
      </c>
      <c r="C17" s="37">
        <f>'[14]Consumo Diário'!$C$42</f>
        <v>126534.02600000001</v>
      </c>
      <c r="D17" s="37">
        <f>'[14]Consumo Diário'!$D$42</f>
        <v>1003.6680000000003</v>
      </c>
      <c r="E17" s="37">
        <f t="shared" si="1"/>
        <v>127537.69400000002</v>
      </c>
      <c r="F17" s="53"/>
      <c r="G17" s="37">
        <f t="shared" si="0"/>
        <v>1747.0056000000113</v>
      </c>
      <c r="H17" s="37">
        <f t="shared" si="0"/>
        <v>103.47639999999973</v>
      </c>
      <c r="I17" s="37">
        <f t="shared" si="2"/>
        <v>1850.4820000000111</v>
      </c>
      <c r="J17" s="53"/>
      <c r="K17" s="38">
        <f>'[14]Consumo Diário'!$DT$42</f>
        <v>6989.1944000000003</v>
      </c>
      <c r="L17" s="38">
        <f>'[14]Consumo Diário'!$DU$42</f>
        <v>293.54559999999998</v>
      </c>
      <c r="M17" s="38">
        <f t="shared" si="3"/>
        <v>7282.7400000000007</v>
      </c>
      <c r="N17" s="52"/>
      <c r="O17" s="39">
        <f>'[15]Consumo Diário'!$DN$42</f>
        <v>135270.22600000002</v>
      </c>
      <c r="P17" s="39">
        <f>'[15]Consumo Diário'!$DO$42</f>
        <v>1400.69</v>
      </c>
      <c r="Q17" s="39">
        <f t="shared" si="4"/>
        <v>136670.91600000003</v>
      </c>
      <c r="R17" s="54"/>
      <c r="S17" s="40">
        <f t="shared" si="5"/>
        <v>0.94671331536257508</v>
      </c>
      <c r="T17" s="40">
        <f t="shared" si="6"/>
        <v>5.3286684637424975E-2</v>
      </c>
      <c r="V17" s="40">
        <f t="shared" si="7"/>
        <v>0.93861251065296136</v>
      </c>
      <c r="W17" s="40">
        <f t="shared" si="8"/>
        <v>8.1008047096135655E-3</v>
      </c>
      <c r="X17" s="40">
        <f t="shared" si="9"/>
        <v>5.1138856785009026E-2</v>
      </c>
      <c r="Y17" s="40">
        <f t="shared" si="10"/>
        <v>2.1478278524159444E-3</v>
      </c>
    </row>
    <row r="18" spans="2:25" ht="14.45" x14ac:dyDescent="0.35">
      <c r="B18" s="36">
        <v>43891</v>
      </c>
      <c r="C18" s="37">
        <f>'[15]Consumo Diário'!$C$42</f>
        <v>124104.38399999999</v>
      </c>
      <c r="D18" s="37">
        <f>'[15]Consumo Diário'!$D$42</f>
        <v>891.38</v>
      </c>
      <c r="E18" s="37">
        <f t="shared" si="1"/>
        <v>124995.764</v>
      </c>
      <c r="F18" s="53"/>
      <c r="G18" s="37">
        <f t="shared" si="0"/>
        <v>10504.427599999988</v>
      </c>
      <c r="H18" s="37">
        <f t="shared" si="0"/>
        <v>465.13559999999995</v>
      </c>
      <c r="I18" s="37">
        <f t="shared" si="2"/>
        <v>10969.563199999988</v>
      </c>
      <c r="J18" s="53"/>
      <c r="K18" s="38">
        <f>'[15]Consumo Diário'!$DS$42</f>
        <v>6540.3073999999979</v>
      </c>
      <c r="L18" s="38">
        <f>'[15]Consumo Diário'!$DT$42</f>
        <v>261.8614</v>
      </c>
      <c r="M18" s="38">
        <f t="shared" si="3"/>
        <v>6802.1687999999976</v>
      </c>
      <c r="N18" s="52"/>
      <c r="O18" s="39">
        <f>'[16]Consumo Diário'!$ED$42</f>
        <v>141149.11899999998</v>
      </c>
      <c r="P18" s="39">
        <f>'[16]Consumo Diário'!$EE$42</f>
        <v>1618.377</v>
      </c>
      <c r="Q18" s="39">
        <f t="shared" si="4"/>
        <v>142767.49599999998</v>
      </c>
      <c r="R18" s="54"/>
      <c r="S18" s="40">
        <f t="shared" si="5"/>
        <v>0.95235491977809839</v>
      </c>
      <c r="T18" s="40">
        <f t="shared" si="6"/>
        <v>4.7645080221901476E-2</v>
      </c>
      <c r="V18" s="40">
        <f t="shared" si="7"/>
        <v>0.94285334807581134</v>
      </c>
      <c r="W18" s="40">
        <f t="shared" si="8"/>
        <v>9.501571702287194E-3</v>
      </c>
      <c r="X18" s="40">
        <f t="shared" si="9"/>
        <v>4.5810899422092537E-2</v>
      </c>
      <c r="Y18" s="40">
        <f t="shared" si="10"/>
        <v>1.8341807998089427E-3</v>
      </c>
    </row>
    <row r="19" spans="2:25" ht="14.45" x14ac:dyDescent="0.35">
      <c r="B19" s="36">
        <v>43922</v>
      </c>
      <c r="C19" s="37">
        <f>'[16]Consumo Diário'!$C$42</f>
        <v>129409.28700000001</v>
      </c>
      <c r="D19" s="37">
        <f>'[16]Consumo Diário'!$D$42</f>
        <v>1008.7499999999999</v>
      </c>
      <c r="E19" s="37">
        <f t="shared" si="1"/>
        <v>130418.03700000001</v>
      </c>
      <c r="F19" s="53"/>
      <c r="G19" s="37">
        <f t="shared" si="0"/>
        <v>7294.4595570383335</v>
      </c>
      <c r="H19" s="37">
        <f t="shared" si="0"/>
        <v>303.34354258774243</v>
      </c>
      <c r="I19" s="37">
        <f t="shared" si="2"/>
        <v>7597.8030996260759</v>
      </c>
      <c r="J19" s="53"/>
      <c r="K19" s="38">
        <f>'[16]Consumo Diário'!$EI$42</f>
        <v>6895.1214429616721</v>
      </c>
      <c r="L19" s="38">
        <f>'[16]Consumo Diário'!$EJ$42</f>
        <v>306.28345741225763</v>
      </c>
      <c r="M19" s="38">
        <f t="shared" si="3"/>
        <v>7201.4049003739301</v>
      </c>
      <c r="N19" s="52"/>
      <c r="O19" s="39">
        <f>'[17]Consumo Diário'!$ED$42</f>
        <v>143598.86800000002</v>
      </c>
      <c r="P19" s="39">
        <f>'[16]Consumo Diário'!$EE$42</f>
        <v>1618.377</v>
      </c>
      <c r="Q19" s="39">
        <f t="shared" si="4"/>
        <v>145217.24500000002</v>
      </c>
      <c r="R19" s="54"/>
      <c r="S19" s="40">
        <f t="shared" si="5"/>
        <v>0.95040943725124416</v>
      </c>
      <c r="T19" s="40">
        <f t="shared" si="6"/>
        <v>4.9590562748755694E-2</v>
      </c>
      <c r="V19" s="40">
        <f t="shared" si="7"/>
        <v>0.94137405345376379</v>
      </c>
      <c r="W19" s="40">
        <f t="shared" si="8"/>
        <v>9.0353837974804039E-3</v>
      </c>
      <c r="X19" s="40">
        <f t="shared" si="9"/>
        <v>4.7481423042846395E-2</v>
      </c>
      <c r="Y19" s="40">
        <f t="shared" si="10"/>
        <v>2.1091397059092919E-3</v>
      </c>
    </row>
    <row r="20" spans="2:25" ht="14.45" x14ac:dyDescent="0.35">
      <c r="B20" s="36">
        <v>43952</v>
      </c>
      <c r="C20" s="37">
        <f>'[18]Consumo Diário'!$C$42</f>
        <v>137360.64299999998</v>
      </c>
      <c r="D20" s="37">
        <f>'[18]Consumo Diário'!$D$42</f>
        <v>950.99399999999991</v>
      </c>
      <c r="E20" s="37">
        <f t="shared" si="1"/>
        <v>138311.63699999999</v>
      </c>
      <c r="F20" s="53"/>
      <c r="G20" s="37">
        <f t="shared" si="0"/>
        <v>4897.5224215234412</v>
      </c>
      <c r="H20" s="37">
        <f t="shared" si="0"/>
        <v>261.48373447808746</v>
      </c>
      <c r="I20" s="37">
        <f t="shared" si="2"/>
        <v>5159.0061560015283</v>
      </c>
      <c r="J20" s="53"/>
      <c r="K20" s="38">
        <f>'[18]Consumo Diário'!$EI$42</f>
        <v>6856.1425784766252</v>
      </c>
      <c r="L20" s="38">
        <f>'[18]Consumo Diário'!$EJ$42</f>
        <v>290.46926552191275</v>
      </c>
      <c r="M20" s="38">
        <f t="shared" si="3"/>
        <v>7146.6118439985376</v>
      </c>
      <c r="N20" s="52"/>
      <c r="O20" s="39">
        <f>'[18]Consumo Diário'!$ED$42</f>
        <v>149114.30800000005</v>
      </c>
      <c r="P20" s="39">
        <f>'[18]Consumo Diário'!$EE$42</f>
        <v>1502.9470000000001</v>
      </c>
      <c r="Q20" s="39">
        <f t="shared" si="4"/>
        <v>150617.25500000006</v>
      </c>
      <c r="R20" s="54"/>
      <c r="S20" s="40">
        <f t="shared" si="5"/>
        <v>0.95255117453841165</v>
      </c>
      <c r="T20" s="40">
        <f t="shared" si="6"/>
        <v>4.7448825461588282E-2</v>
      </c>
      <c r="V20" s="40">
        <f t="shared" si="7"/>
        <v>0.94450111590151709</v>
      </c>
      <c r="W20" s="40">
        <f t="shared" si="8"/>
        <v>8.05005863689447E-3</v>
      </c>
      <c r="X20" s="40">
        <f t="shared" si="9"/>
        <v>4.5520299639484348E-2</v>
      </c>
      <c r="Y20" s="40">
        <f t="shared" si="10"/>
        <v>1.9285258221039324E-3</v>
      </c>
    </row>
    <row r="21" spans="2:25" ht="14.45" x14ac:dyDescent="0.35">
      <c r="B21" s="36">
        <v>43983</v>
      </c>
      <c r="C21" s="37">
        <f>'[19]Consumo Diário'!$C$42</f>
        <v>132342.079</v>
      </c>
      <c r="D21" s="37">
        <f>'[19]Consumo Diário'!$D$42</f>
        <v>961.61500000000012</v>
      </c>
      <c r="E21" s="37">
        <f t="shared" si="1"/>
        <v>133303.69399999999</v>
      </c>
      <c r="F21" s="53"/>
      <c r="G21" s="37">
        <f t="shared" si="0"/>
        <v>4988.1317829022028</v>
      </c>
      <c r="H21" s="37">
        <f t="shared" si="0"/>
        <v>309.07096413136645</v>
      </c>
      <c r="I21" s="37">
        <f t="shared" si="2"/>
        <v>5297.2027470335688</v>
      </c>
      <c r="J21" s="53"/>
      <c r="K21" s="38">
        <f>'[19]Consumo Diário'!$EI$42</f>
        <v>6473.553217097824</v>
      </c>
      <c r="L21" s="38">
        <f>'[19]Consumo Diário'!$EJ$42</f>
        <v>297.53503586863343</v>
      </c>
      <c r="M21" s="38">
        <f t="shared" si="3"/>
        <v>6771.0882529664577</v>
      </c>
      <c r="N21" s="52"/>
      <c r="O21" s="39">
        <f>'[19]Consumo Diário'!$ED$42</f>
        <v>143803.76400000002</v>
      </c>
      <c r="P21" s="39">
        <f>'[19]Consumo Diário'!$EE$42</f>
        <v>1568.221</v>
      </c>
      <c r="Q21" s="39">
        <f t="shared" si="4"/>
        <v>145371.98500000002</v>
      </c>
      <c r="R21" s="54"/>
      <c r="S21" s="40">
        <f t="shared" si="5"/>
        <v>0.95342233063016602</v>
      </c>
      <c r="T21" s="40">
        <f t="shared" si="6"/>
        <v>4.6577669369833929E-2</v>
      </c>
      <c r="V21" s="40">
        <f t="shared" si="7"/>
        <v>0.94468140324906602</v>
      </c>
      <c r="W21" s="40">
        <f t="shared" si="8"/>
        <v>8.7409273811000551E-3</v>
      </c>
      <c r="X21" s="40">
        <f t="shared" si="9"/>
        <v>4.4530954276354028E-2</v>
      </c>
      <c r="Y21" s="40">
        <f t="shared" si="10"/>
        <v>2.0467150934798985E-3</v>
      </c>
    </row>
    <row r="22" spans="2:25" ht="14.45" x14ac:dyDescent="0.35">
      <c r="B22" s="36">
        <v>44013</v>
      </c>
      <c r="C22" s="37">
        <f>'[20]Consumo Diário'!$C$42</f>
        <v>136582.7274</v>
      </c>
      <c r="D22" s="37">
        <f>'[20]Consumo Diário'!$D$42</f>
        <v>1046.4178999999999</v>
      </c>
      <c r="E22" s="37">
        <f t="shared" si="1"/>
        <v>137629.1453</v>
      </c>
      <c r="F22" s="53"/>
      <c r="G22" s="37">
        <f t="shared" si="0"/>
        <v>4923.470174074062</v>
      </c>
      <c r="H22" s="37">
        <f t="shared" si="0"/>
        <v>315.10317058134734</v>
      </c>
      <c r="I22" s="37">
        <f t="shared" si="2"/>
        <v>5238.5733446554095</v>
      </c>
      <c r="J22" s="53"/>
      <c r="K22" s="38">
        <f>'[20]Consumo Diário'!$EI$42</f>
        <v>6750.2004259259211</v>
      </c>
      <c r="L22" s="38">
        <f>'[20]Consumo Diário'!$EJ$42</f>
        <v>350.8609294186528</v>
      </c>
      <c r="M22" s="38">
        <f t="shared" si="3"/>
        <v>7101.0613553445737</v>
      </c>
      <c r="N22" s="52"/>
      <c r="O22" s="39">
        <f>'[20]Consumo Diário'!$ED$42</f>
        <v>148256.39799999999</v>
      </c>
      <c r="P22" s="39">
        <f>'[20]Consumo Diário'!$EE$42</f>
        <v>1712.3820000000001</v>
      </c>
      <c r="Q22" s="39">
        <f t="shared" si="4"/>
        <v>149968.78</v>
      </c>
      <c r="R22" s="54"/>
      <c r="S22" s="40">
        <f t="shared" si="5"/>
        <v>0.9526497357960465</v>
      </c>
      <c r="T22" s="40">
        <f t="shared" si="6"/>
        <v>4.7350264203953475E-2</v>
      </c>
      <c r="V22" s="40">
        <f t="shared" si="7"/>
        <v>0.94357103907942752</v>
      </c>
      <c r="W22" s="40">
        <f t="shared" si="8"/>
        <v>9.0786967166189333E-3</v>
      </c>
      <c r="X22" s="40">
        <f t="shared" si="9"/>
        <v>4.5010704400782094E-2</v>
      </c>
      <c r="Y22" s="40">
        <f t="shared" si="10"/>
        <v>2.3395598031713855E-3</v>
      </c>
    </row>
    <row r="23" spans="2:25" ht="14.45" x14ac:dyDescent="0.35">
      <c r="B23" s="36">
        <v>44044</v>
      </c>
      <c r="C23" s="37">
        <f>'[21]Consumo Diário'!$C$42</f>
        <v>139258.68</v>
      </c>
      <c r="D23" s="37">
        <f>'[21]Consumo Diário'!$D$42</f>
        <v>1017.0250000000001</v>
      </c>
      <c r="E23" s="37">
        <f t="shared" si="1"/>
        <v>140275.70499999999</v>
      </c>
      <c r="F23" s="53"/>
      <c r="G23" s="37">
        <f t="shared" si="0"/>
        <v>4943.6308964098871</v>
      </c>
      <c r="H23" s="37">
        <f t="shared" si="0"/>
        <v>284.38390206648836</v>
      </c>
      <c r="I23" s="37">
        <f t="shared" si="2"/>
        <v>5228.0147984763753</v>
      </c>
      <c r="J23" s="53"/>
      <c r="K23" s="38">
        <f>'[21]Consumo Diário'!$EI$42</f>
        <v>7040.4301035900999</v>
      </c>
      <c r="L23" s="38">
        <f>'[21]Consumo Diário'!$EJ$42</f>
        <v>281.94409793351139</v>
      </c>
      <c r="M23" s="38">
        <f t="shared" si="3"/>
        <v>7322.3742015236112</v>
      </c>
      <c r="N23" s="52"/>
      <c r="O23" s="39">
        <f>'[21]Consumo Diário'!$ED$42</f>
        <v>151242.74099999998</v>
      </c>
      <c r="P23" s="39">
        <f>'[21]Consumo Diário'!$EE$42</f>
        <v>1583.3529999999998</v>
      </c>
      <c r="Q23" s="39">
        <f t="shared" si="4"/>
        <v>152826.09399999998</v>
      </c>
      <c r="R23" s="54"/>
      <c r="S23" s="40">
        <f t="shared" si="5"/>
        <v>0.95208688510010853</v>
      </c>
      <c r="T23" s="40">
        <f t="shared" si="6"/>
        <v>4.7913114899891453E-2</v>
      </c>
      <c r="V23" s="40">
        <f t="shared" si="7"/>
        <v>0.94357126536525826</v>
      </c>
      <c r="W23" s="40">
        <f t="shared" si="8"/>
        <v>8.5156197348503111E-3</v>
      </c>
      <c r="X23" s="40">
        <f t="shared" si="9"/>
        <v>4.6068246065296289E-2</v>
      </c>
      <c r="Y23" s="40">
        <f t="shared" si="10"/>
        <v>1.8448688345951668E-3</v>
      </c>
    </row>
    <row r="24" spans="2:25" ht="14.45" x14ac:dyDescent="0.35">
      <c r="B24" s="36">
        <v>44075</v>
      </c>
      <c r="C24" s="37">
        <v>130047.22799999996</v>
      </c>
      <c r="D24" s="37">
        <v>1037.2089999999998</v>
      </c>
      <c r="E24" s="37">
        <f t="shared" si="1"/>
        <v>131084.43699999995</v>
      </c>
      <c r="F24" s="53"/>
      <c r="G24" s="37">
        <f t="shared" ref="G24:H35" si="11">O24-C24-K24</f>
        <v>4692.3853586526329</v>
      </c>
      <c r="H24" s="37">
        <f t="shared" si="11"/>
        <v>285.72194050452043</v>
      </c>
      <c r="I24" s="37">
        <f t="shared" si="2"/>
        <v>4978.1072991571536</v>
      </c>
      <c r="J24" s="53"/>
      <c r="K24" s="38">
        <v>6644.4096413474235</v>
      </c>
      <c r="L24" s="38">
        <v>266.65505949547975</v>
      </c>
      <c r="M24" s="38">
        <f t="shared" si="3"/>
        <v>6911.0647008429032</v>
      </c>
      <c r="N24" s="52"/>
      <c r="O24" s="39">
        <v>141384.02300000002</v>
      </c>
      <c r="P24" s="39">
        <v>1589.586</v>
      </c>
      <c r="Q24" s="39">
        <f t="shared" si="4"/>
        <v>142973.60900000003</v>
      </c>
      <c r="R24" s="54"/>
      <c r="S24" s="40">
        <f t="shared" si="5"/>
        <v>0.9516619553134249</v>
      </c>
      <c r="T24" s="40">
        <f t="shared" si="6"/>
        <v>4.8338044686575002E-2</v>
      </c>
      <c r="V24" s="40">
        <f t="shared" si="7"/>
        <v>0.94240898233640147</v>
      </c>
      <c r="W24" s="40">
        <f t="shared" si="8"/>
        <v>9.2529729770234742E-3</v>
      </c>
      <c r="X24" s="40">
        <f t="shared" si="9"/>
        <v>4.6472979788510636E-2</v>
      </c>
      <c r="Y24" s="40">
        <f t="shared" si="10"/>
        <v>1.8650648980643673E-3</v>
      </c>
    </row>
    <row r="25" spans="2:25" ht="14.45" x14ac:dyDescent="0.35">
      <c r="B25" s="36">
        <v>44105</v>
      </c>
      <c r="C25" s="37">
        <v>131971.46500000003</v>
      </c>
      <c r="D25" s="37">
        <v>959.06899999999996</v>
      </c>
      <c r="E25" s="37">
        <f t="shared" si="1"/>
        <v>132930.53400000001</v>
      </c>
      <c r="F25" s="53"/>
      <c r="G25" s="37">
        <f t="shared" si="11"/>
        <v>5206.2973513197403</v>
      </c>
      <c r="H25" s="37">
        <f t="shared" si="11"/>
        <v>280.57778030853211</v>
      </c>
      <c r="I25" s="37">
        <f t="shared" si="2"/>
        <v>5486.8751316282724</v>
      </c>
      <c r="J25" s="53"/>
      <c r="K25" s="38">
        <v>6886.7356486801973</v>
      </c>
      <c r="L25" s="38">
        <v>308.77721969146745</v>
      </c>
      <c r="M25" s="38">
        <f t="shared" si="3"/>
        <v>7195.5128683716648</v>
      </c>
      <c r="N25" s="52"/>
      <c r="O25" s="39">
        <v>144064.49799999996</v>
      </c>
      <c r="P25" s="39">
        <v>1548.4239999999995</v>
      </c>
      <c r="Q25" s="39">
        <f t="shared" si="4"/>
        <v>145612.92199999996</v>
      </c>
      <c r="R25" s="54"/>
      <c r="S25" s="40">
        <f t="shared" si="5"/>
        <v>0.95058465437310791</v>
      </c>
      <c r="T25" s="40">
        <f t="shared" si="6"/>
        <v>4.9415345626892003E-2</v>
      </c>
      <c r="V25" s="40">
        <f t="shared" si="7"/>
        <v>0.94207135237159656</v>
      </c>
      <c r="W25" s="40">
        <f t="shared" si="8"/>
        <v>8.5133020015114615E-3</v>
      </c>
      <c r="X25" s="40">
        <f t="shared" si="9"/>
        <v>4.7294811161609676E-2</v>
      </c>
      <c r="Y25" s="40">
        <f t="shared" si="10"/>
        <v>2.1205344652823295E-3</v>
      </c>
    </row>
    <row r="26" spans="2:25" ht="14.45" x14ac:dyDescent="0.35">
      <c r="B26" s="36">
        <v>44136</v>
      </c>
      <c r="C26" s="37">
        <v>105349.78530000002</v>
      </c>
      <c r="D26" s="37">
        <v>903.23099999999999</v>
      </c>
      <c r="E26" s="37">
        <f t="shared" si="1"/>
        <v>106253.01630000002</v>
      </c>
      <c r="F26" s="53"/>
      <c r="G26" s="37">
        <f t="shared" si="11"/>
        <v>3976.5510512157553</v>
      </c>
      <c r="H26" s="37">
        <f t="shared" si="11"/>
        <v>280.28073005995861</v>
      </c>
      <c r="I26" s="37">
        <f t="shared" si="2"/>
        <v>4256.8317812757141</v>
      </c>
      <c r="J26" s="53"/>
      <c r="K26" s="38">
        <v>5328.8666487842211</v>
      </c>
      <c r="L26" s="38">
        <v>259.90826994004146</v>
      </c>
      <c r="M26" s="38">
        <f t="shared" si="3"/>
        <v>5588.7749187242625</v>
      </c>
      <c r="N26" s="52"/>
      <c r="O26" s="39">
        <v>114655.20299999999</v>
      </c>
      <c r="P26" s="39">
        <v>1443.42</v>
      </c>
      <c r="Q26" s="39">
        <f t="shared" si="4"/>
        <v>116098.62299999999</v>
      </c>
      <c r="R26" s="54"/>
      <c r="S26" s="40">
        <f t="shared" si="5"/>
        <v>0.95186183285977255</v>
      </c>
      <c r="T26" s="40">
        <f t="shared" si="6"/>
        <v>4.813816714022752E-2</v>
      </c>
      <c r="V26" s="40">
        <f t="shared" si="7"/>
        <v>0.94166781247022868</v>
      </c>
      <c r="W26" s="40">
        <f t="shared" si="8"/>
        <v>1.01940203895438E-2</v>
      </c>
      <c r="X26" s="40">
        <f t="shared" si="9"/>
        <v>4.5899481932565399E-2</v>
      </c>
      <c r="Y26" s="40">
        <f t="shared" si="10"/>
        <v>2.2386852076621225E-3</v>
      </c>
    </row>
    <row r="27" spans="2:25" ht="14.45" x14ac:dyDescent="0.35">
      <c r="B27" s="36">
        <v>44166</v>
      </c>
      <c r="C27" s="37">
        <v>134346.25810000001</v>
      </c>
      <c r="D27" s="37">
        <v>1021.5759999999998</v>
      </c>
      <c r="E27" s="37">
        <f t="shared" si="1"/>
        <v>135367.83410000001</v>
      </c>
      <c r="F27" s="53"/>
      <c r="G27" s="37">
        <f t="shared" si="11"/>
        <v>4945.3745012161717</v>
      </c>
      <c r="H27" s="37">
        <f t="shared" si="11"/>
        <v>273.8194244517635</v>
      </c>
      <c r="I27" s="37">
        <f t="shared" si="2"/>
        <v>5219.1939256679352</v>
      </c>
      <c r="J27" s="53"/>
      <c r="K27" s="38">
        <v>6782.3413987838385</v>
      </c>
      <c r="L27" s="38">
        <v>295.96457554823661</v>
      </c>
      <c r="M27" s="38">
        <f t="shared" si="3"/>
        <v>7078.3059743320755</v>
      </c>
      <c r="N27" s="52"/>
      <c r="O27" s="39">
        <v>146073.97400000002</v>
      </c>
      <c r="P27" s="39">
        <v>1591.36</v>
      </c>
      <c r="Q27" s="39">
        <f t="shared" si="4"/>
        <v>147665.334</v>
      </c>
      <c r="R27" s="54"/>
      <c r="S27" s="40">
        <f t="shared" si="5"/>
        <v>0.95206521542603861</v>
      </c>
      <c r="T27" s="40">
        <f t="shared" si="6"/>
        <v>4.7934784573961518E-2</v>
      </c>
      <c r="V27" s="40">
        <f t="shared" si="7"/>
        <v>0.94329270674467292</v>
      </c>
      <c r="W27" s="40">
        <f t="shared" si="8"/>
        <v>8.7725086813656844E-3</v>
      </c>
      <c r="X27" s="40">
        <f t="shared" si="9"/>
        <v>4.5930491707578694E-2</v>
      </c>
      <c r="Y27" s="40">
        <f t="shared" si="10"/>
        <v>2.0042928663828209E-3</v>
      </c>
    </row>
    <row r="28" spans="2:25" ht="14.45" x14ac:dyDescent="0.35">
      <c r="B28" s="36">
        <v>44197</v>
      </c>
      <c r="C28" s="37">
        <v>136708.41530000005</v>
      </c>
      <c r="D28" s="37">
        <v>933.0492999999999</v>
      </c>
      <c r="E28" s="37">
        <f t="shared" si="1"/>
        <v>137641.46460000006</v>
      </c>
      <c r="F28" s="53"/>
      <c r="G28" s="37">
        <f t="shared" si="11"/>
        <v>4967.8050457325089</v>
      </c>
      <c r="H28" s="37">
        <f t="shared" si="11"/>
        <v>252.57242556328077</v>
      </c>
      <c r="I28" s="37">
        <f t="shared" si="2"/>
        <v>5220.3774712957893</v>
      </c>
      <c r="J28" s="53"/>
      <c r="K28" s="38">
        <v>6982.6416542674624</v>
      </c>
      <c r="L28" s="38">
        <v>300.43627443671932</v>
      </c>
      <c r="M28" s="38">
        <f t="shared" si="3"/>
        <v>7283.0779287041814</v>
      </c>
      <c r="N28" s="52"/>
      <c r="O28" s="39">
        <v>148658.86200000002</v>
      </c>
      <c r="P28" s="39">
        <v>1486.058</v>
      </c>
      <c r="Q28" s="39">
        <f t="shared" si="4"/>
        <v>150144.92000000001</v>
      </c>
      <c r="R28" s="54"/>
      <c r="S28" s="40">
        <f t="shared" si="5"/>
        <v>0.9514930113605965</v>
      </c>
      <c r="T28" s="40">
        <f t="shared" si="6"/>
        <v>4.8506988639403725E-2</v>
      </c>
      <c r="V28" s="40">
        <f t="shared" si="7"/>
        <v>0.943596495610591</v>
      </c>
      <c r="W28" s="40">
        <f t="shared" si="8"/>
        <v>7.896515750005266E-3</v>
      </c>
      <c r="X28" s="40">
        <f t="shared" si="9"/>
        <v>4.6506013352083188E-2</v>
      </c>
      <c r="Y28" s="40">
        <f t="shared" si="10"/>
        <v>2.0009752873205388E-3</v>
      </c>
    </row>
    <row r="29" spans="2:25" ht="14.45" x14ac:dyDescent="0.35">
      <c r="B29" s="36">
        <v>44228</v>
      </c>
      <c r="C29" s="37">
        <v>121541.18059999998</v>
      </c>
      <c r="D29" s="37">
        <v>849.93549999999993</v>
      </c>
      <c r="E29" s="37">
        <f t="shared" si="1"/>
        <v>122391.11609999998</v>
      </c>
      <c r="F29" s="53"/>
      <c r="G29" s="37">
        <f t="shared" si="11"/>
        <v>4592.6935102520783</v>
      </c>
      <c r="H29" s="37">
        <f t="shared" si="11"/>
        <v>255.72467232769776</v>
      </c>
      <c r="I29" s="37">
        <f t="shared" si="2"/>
        <v>4848.4181825797759</v>
      </c>
      <c r="J29" s="53"/>
      <c r="K29" s="38">
        <v>6289.763889747921</v>
      </c>
      <c r="L29" s="38">
        <v>287.29582767230244</v>
      </c>
      <c r="M29" s="38">
        <f t="shared" si="3"/>
        <v>6577.059717420223</v>
      </c>
      <c r="N29" s="52"/>
      <c r="O29" s="39">
        <v>132423.63799999998</v>
      </c>
      <c r="P29" s="39">
        <v>1392.9560000000001</v>
      </c>
      <c r="Q29" s="39">
        <f t="shared" si="4"/>
        <v>133816.59399999998</v>
      </c>
      <c r="R29" s="54"/>
      <c r="S29" s="40">
        <f t="shared" si="5"/>
        <v>0.95085019338169507</v>
      </c>
      <c r="T29" s="40">
        <f t="shared" si="6"/>
        <v>4.9149806618304932E-2</v>
      </c>
      <c r="V29" s="40">
        <f t="shared" si="7"/>
        <v>0.94258768916396174</v>
      </c>
      <c r="W29" s="40">
        <f t="shared" si="8"/>
        <v>8.2625042177332485E-3</v>
      </c>
      <c r="X29" s="40">
        <f t="shared" si="9"/>
        <v>4.7002869388141216E-2</v>
      </c>
      <c r="Y29" s="40">
        <f t="shared" si="10"/>
        <v>2.1469372301637156E-3</v>
      </c>
    </row>
    <row r="30" spans="2:25" ht="14.45" x14ac:dyDescent="0.35">
      <c r="B30" s="36">
        <v>44256</v>
      </c>
      <c r="C30" s="37">
        <v>139845.57020000002</v>
      </c>
      <c r="D30" s="37">
        <v>977.94990000000041</v>
      </c>
      <c r="E30" s="37">
        <f t="shared" si="1"/>
        <v>140823.52010000002</v>
      </c>
      <c r="F30" s="53"/>
      <c r="G30" s="37">
        <f t="shared" si="11"/>
        <v>5056.7823415917155</v>
      </c>
      <c r="H30" s="37">
        <f t="shared" si="11"/>
        <v>308.69938584881601</v>
      </c>
      <c r="I30" s="37">
        <f t="shared" si="2"/>
        <v>5365.4817274405314</v>
      </c>
      <c r="J30" s="53"/>
      <c r="K30" s="38">
        <v>6941.3564584082706</v>
      </c>
      <c r="L30" s="38">
        <v>339.79071415118364</v>
      </c>
      <c r="M30" s="38">
        <f t="shared" si="3"/>
        <v>7281.1471725594538</v>
      </c>
      <c r="N30" s="52"/>
      <c r="O30" s="39">
        <v>151843.709</v>
      </c>
      <c r="P30" s="39">
        <v>1626.44</v>
      </c>
      <c r="Q30" s="39">
        <f t="shared" si="4"/>
        <v>153470.149</v>
      </c>
      <c r="R30" s="54"/>
      <c r="S30" s="40">
        <f t="shared" si="5"/>
        <v>0.95255659019032124</v>
      </c>
      <c r="T30" s="40">
        <f t="shared" si="6"/>
        <v>4.7443409809678712E-2</v>
      </c>
      <c r="V30" s="40">
        <f t="shared" si="7"/>
        <v>0.94417287977997422</v>
      </c>
      <c r="W30" s="40">
        <f t="shared" si="8"/>
        <v>8.3837104103470731E-3</v>
      </c>
      <c r="X30" s="40">
        <f t="shared" si="9"/>
        <v>4.5229358957671113E-2</v>
      </c>
      <c r="Y30" s="40">
        <f t="shared" si="10"/>
        <v>2.214050852007602E-3</v>
      </c>
    </row>
    <row r="31" spans="2:25" ht="14.45" x14ac:dyDescent="0.35">
      <c r="B31" s="36">
        <v>44287</v>
      </c>
      <c r="C31" s="37">
        <v>133727.97769999999</v>
      </c>
      <c r="D31" s="37">
        <v>844.8968000000001</v>
      </c>
      <c r="E31" s="37">
        <f t="shared" si="1"/>
        <v>134572.87449999998</v>
      </c>
      <c r="F31" s="53"/>
      <c r="G31" s="37">
        <f t="shared" si="11"/>
        <v>4793.3791198449107</v>
      </c>
      <c r="H31" s="37">
        <f t="shared" si="11"/>
        <v>262.06844956708062</v>
      </c>
      <c r="I31" s="37">
        <f t="shared" si="2"/>
        <v>5055.447569411991</v>
      </c>
      <c r="J31" s="53"/>
      <c r="K31" s="38">
        <v>6537.5211801551268</v>
      </c>
      <c r="L31" s="38">
        <v>285.99275043291937</v>
      </c>
      <c r="M31" s="38">
        <f t="shared" si="3"/>
        <v>6823.5139305880457</v>
      </c>
      <c r="N31" s="52"/>
      <c r="O31" s="39">
        <v>145058.87800000003</v>
      </c>
      <c r="P31" s="39">
        <v>1392.9580000000001</v>
      </c>
      <c r="Q31" s="39">
        <f t="shared" si="4"/>
        <v>146451.83600000004</v>
      </c>
      <c r="R31" s="54"/>
      <c r="S31" s="40">
        <f t="shared" si="5"/>
        <v>0.95340779523864727</v>
      </c>
      <c r="T31" s="40">
        <f t="shared" si="6"/>
        <v>4.6592204761352694E-2</v>
      </c>
      <c r="V31" s="40">
        <f t="shared" si="7"/>
        <v>0.94584923346297178</v>
      </c>
      <c r="W31" s="40">
        <f t="shared" si="8"/>
        <v>7.558561775675386E-3</v>
      </c>
      <c r="X31" s="40">
        <f t="shared" si="9"/>
        <v>4.4639393801489284E-2</v>
      </c>
      <c r="Y31" s="40">
        <f t="shared" si="10"/>
        <v>1.9528109598634139E-3</v>
      </c>
    </row>
    <row r="32" spans="2:25" ht="14.45" x14ac:dyDescent="0.35">
      <c r="B32" s="36">
        <v>44317</v>
      </c>
      <c r="C32" s="37">
        <v>140733.49480000001</v>
      </c>
      <c r="D32" s="37">
        <v>955.19819999999993</v>
      </c>
      <c r="E32" s="37">
        <f t="shared" si="1"/>
        <v>141688.69300000003</v>
      </c>
      <c r="F32" s="53"/>
      <c r="G32" s="37">
        <f t="shared" si="11"/>
        <v>4828.935928252321</v>
      </c>
      <c r="H32" s="37">
        <f t="shared" si="11"/>
        <v>274.88061268293012</v>
      </c>
      <c r="I32" s="37">
        <f t="shared" si="2"/>
        <v>5103.8165409352514</v>
      </c>
      <c r="J32" s="53"/>
      <c r="K32" s="38">
        <v>6828.520271747665</v>
      </c>
      <c r="L32" s="38">
        <v>322.96018731706971</v>
      </c>
      <c r="M32" s="38">
        <f t="shared" si="3"/>
        <v>7151.4804590647345</v>
      </c>
      <c r="N32" s="52"/>
      <c r="O32" s="39">
        <v>152390.951</v>
      </c>
      <c r="P32" s="39">
        <v>1553.0389999999998</v>
      </c>
      <c r="Q32" s="39">
        <f t="shared" si="4"/>
        <v>153943.99</v>
      </c>
      <c r="R32" s="54"/>
      <c r="S32" s="40">
        <f t="shared" si="5"/>
        <v>0.95354491942774311</v>
      </c>
      <c r="T32" s="40">
        <f t="shared" si="6"/>
        <v>4.6455080572257057E-2</v>
      </c>
      <c r="V32" s="40">
        <f t="shared" si="7"/>
        <v>0.94555448853997059</v>
      </c>
      <c r="W32" s="40">
        <f t="shared" si="8"/>
        <v>7.99043088777243E-3</v>
      </c>
      <c r="X32" s="40">
        <f t="shared" si="9"/>
        <v>4.4357173487238222E-2</v>
      </c>
      <c r="Y32" s="40">
        <f t="shared" si="10"/>
        <v>2.0979070850188418E-3</v>
      </c>
    </row>
    <row r="33" spans="2:25" ht="14.45" x14ac:dyDescent="0.35">
      <c r="B33" s="36">
        <v>44348</v>
      </c>
      <c r="C33" s="37">
        <v>121078.1004</v>
      </c>
      <c r="D33" s="37">
        <v>948.37360000000001</v>
      </c>
      <c r="E33" s="37">
        <f t="shared" si="1"/>
        <v>122026.474</v>
      </c>
      <c r="F33" s="53"/>
      <c r="G33" s="37">
        <f t="shared" si="11"/>
        <v>4382.9936892378573</v>
      </c>
      <c r="H33" s="37">
        <f t="shared" si="11"/>
        <v>283.04308980039332</v>
      </c>
      <c r="I33" s="37">
        <f t="shared" si="2"/>
        <v>4666.0367790382506</v>
      </c>
      <c r="J33" s="53"/>
      <c r="K33" s="38">
        <v>6240.707910762143</v>
      </c>
      <c r="L33" s="38">
        <v>323.10431019960686</v>
      </c>
      <c r="M33" s="38">
        <f t="shared" si="3"/>
        <v>6563.8122209617495</v>
      </c>
      <c r="N33" s="52"/>
      <c r="O33" s="39">
        <v>131701.802</v>
      </c>
      <c r="P33" s="39">
        <v>1554.5210000000002</v>
      </c>
      <c r="Q33" s="39">
        <f t="shared" si="4"/>
        <v>133256.323</v>
      </c>
      <c r="R33" s="54"/>
      <c r="S33" s="40">
        <f t="shared" si="5"/>
        <v>0.95074295858394831</v>
      </c>
      <c r="T33" s="40">
        <f t="shared" si="6"/>
        <v>4.9257041416051597E-2</v>
      </c>
      <c r="V33" s="40">
        <f t="shared" si="7"/>
        <v>0.94150199603840079</v>
      </c>
      <c r="W33" s="40">
        <f t="shared" si="8"/>
        <v>9.2409625455476003E-3</v>
      </c>
      <c r="X33" s="40">
        <f t="shared" si="9"/>
        <v>4.6832358647342705E-2</v>
      </c>
      <c r="Y33" s="40">
        <f t="shared" si="10"/>
        <v>2.4246827687088952E-3</v>
      </c>
    </row>
    <row r="34" spans="2:25" ht="14.45" x14ac:dyDescent="0.35">
      <c r="B34" s="36">
        <v>44378</v>
      </c>
      <c r="C34" s="37">
        <v>139929.78140000004</v>
      </c>
      <c r="D34" s="37">
        <v>968.38540000000012</v>
      </c>
      <c r="E34" s="37">
        <f t="shared" si="1"/>
        <v>140898.16680000004</v>
      </c>
      <c r="F34" s="53"/>
      <c r="G34" s="37">
        <f t="shared" si="11"/>
        <v>5005.9059122679901</v>
      </c>
      <c r="H34" s="37">
        <f t="shared" si="11"/>
        <v>303.02505710023604</v>
      </c>
      <c r="I34" s="37">
        <f t="shared" si="2"/>
        <v>5308.9309693682262</v>
      </c>
      <c r="J34" s="53"/>
      <c r="K34" s="38">
        <v>6769.8176877319784</v>
      </c>
      <c r="L34" s="38">
        <v>354.57654289976347</v>
      </c>
      <c r="M34" s="38">
        <f t="shared" si="3"/>
        <v>7124.3942306317422</v>
      </c>
      <c r="N34" s="52"/>
      <c r="O34" s="39">
        <v>151705.505</v>
      </c>
      <c r="P34" s="39">
        <v>1625.9869999999996</v>
      </c>
      <c r="Q34" s="39">
        <f t="shared" si="4"/>
        <v>153331.492</v>
      </c>
      <c r="R34" s="54"/>
      <c r="S34" s="40">
        <f t="shared" si="5"/>
        <v>0.9535360013934272</v>
      </c>
      <c r="T34" s="40">
        <f t="shared" si="6"/>
        <v>4.6463998606572889E-2</v>
      </c>
      <c r="V34" s="40">
        <f t="shared" si="7"/>
        <v>0.94524409448952607</v>
      </c>
      <c r="W34" s="40">
        <f t="shared" si="8"/>
        <v>8.2919069039009696E-3</v>
      </c>
      <c r="X34" s="40">
        <f t="shared" si="9"/>
        <v>4.4151515122098847E-2</v>
      </c>
      <c r="Y34" s="40">
        <f t="shared" si="10"/>
        <v>2.3124834844740405E-3</v>
      </c>
    </row>
    <row r="35" spans="2:25" ht="14.45" x14ac:dyDescent="0.35">
      <c r="B35" s="36">
        <v>44409</v>
      </c>
      <c r="C35" s="37">
        <v>142073.76449999999</v>
      </c>
      <c r="D35" s="37">
        <v>979.47970000000021</v>
      </c>
      <c r="E35" s="37">
        <f t="shared" si="1"/>
        <v>143053.24419999999</v>
      </c>
      <c r="F35" s="53"/>
      <c r="G35" s="37">
        <f t="shared" si="11"/>
        <v>5281.6307581381907</v>
      </c>
      <c r="H35" s="37">
        <f t="shared" si="11"/>
        <v>301.75567144046209</v>
      </c>
      <c r="I35" s="37">
        <f t="shared" si="2"/>
        <v>5583.3864295786525</v>
      </c>
      <c r="J35" s="53"/>
      <c r="K35" s="38">
        <v>6886.3397418618051</v>
      </c>
      <c r="L35" s="38">
        <v>364.91162855953763</v>
      </c>
      <c r="M35" s="38">
        <f t="shared" si="3"/>
        <v>7251.2513704213425</v>
      </c>
      <c r="N35" s="52"/>
      <c r="O35" s="39">
        <v>154241.73499999999</v>
      </c>
      <c r="P35" s="39">
        <v>1646.1469999999999</v>
      </c>
      <c r="Q35" s="39">
        <f t="shared" si="4"/>
        <v>155887.88199999998</v>
      </c>
      <c r="R35" s="54"/>
      <c r="S35" s="40">
        <f t="shared" si="5"/>
        <v>0.95348418826794146</v>
      </c>
      <c r="T35" s="40">
        <f t="shared" si="6"/>
        <v>4.6515811732058453E-2</v>
      </c>
      <c r="V35" s="40">
        <f t="shared" si="7"/>
        <v>0.94526523401054485</v>
      </c>
      <c r="W35" s="40">
        <f t="shared" si="8"/>
        <v>8.218954257396752E-3</v>
      </c>
      <c r="X35" s="40">
        <f t="shared" si="9"/>
        <v>4.4174952238184913E-2</v>
      </c>
      <c r="Y35" s="40">
        <f t="shared" si="10"/>
        <v>2.3408594938735369E-3</v>
      </c>
    </row>
    <row r="36" spans="2:25" ht="14.3" x14ac:dyDescent="0.25">
      <c r="B36" s="36">
        <v>44440</v>
      </c>
      <c r="C36" s="37">
        <v>137045.2004</v>
      </c>
      <c r="D36" s="37">
        <v>928.75540000000001</v>
      </c>
      <c r="E36" s="37">
        <f t="shared" si="1"/>
        <v>137973.9558</v>
      </c>
      <c r="F36" s="53"/>
      <c r="G36" s="37">
        <f>4355.1715+937.7245</f>
        <v>5292.8960000000006</v>
      </c>
      <c r="H36" s="37">
        <f>186.2257+89.8605</f>
        <v>276.08619999999996</v>
      </c>
      <c r="I36" s="37">
        <f t="shared" si="2"/>
        <v>5568.9822000000004</v>
      </c>
      <c r="J36" s="53"/>
      <c r="K36" s="38">
        <v>6646.6646000000001</v>
      </c>
      <c r="L36" s="38">
        <v>324.28120000000001</v>
      </c>
      <c r="M36" s="38">
        <f t="shared" si="3"/>
        <v>6970.9458000000004</v>
      </c>
      <c r="N36" s="52"/>
      <c r="O36" s="39">
        <v>148979.378</v>
      </c>
      <c r="P36" s="39">
        <v>1541.9939999999999</v>
      </c>
      <c r="Q36" s="39">
        <f t="shared" si="4"/>
        <v>150521.372</v>
      </c>
      <c r="R36" s="54"/>
      <c r="S36" s="40">
        <f t="shared" si="5"/>
        <v>0.9536382514504318</v>
      </c>
      <c r="T36" s="40">
        <f t="shared" si="6"/>
        <v>4.631200013244631E-2</v>
      </c>
      <c r="V36" s="40">
        <f t="shared" ref="V36:V37" si="12">(C36+G36)/Q36</f>
        <v>0.945633796109698</v>
      </c>
      <c r="W36" s="40">
        <f t="shared" ref="W36:W37" si="13">(D36+H36)/Q36</f>
        <v>8.0044553407339382E-3</v>
      </c>
      <c r="X36" s="40">
        <f t="shared" ref="X36:X37" si="14">K36/Q36</f>
        <v>4.4157613710829054E-2</v>
      </c>
      <c r="Y36" s="40">
        <f t="shared" ref="Y36:Y37" si="15">L36/Q36</f>
        <v>2.1543864216172571E-3</v>
      </c>
    </row>
    <row r="37" spans="2:25" ht="14.3" x14ac:dyDescent="0.25">
      <c r="B37" s="36">
        <v>44470</v>
      </c>
      <c r="C37" s="37">
        <v>141694.61170000001</v>
      </c>
      <c r="D37" s="37">
        <v>858.28740000000005</v>
      </c>
      <c r="E37" s="37">
        <f t="shared" si="1"/>
        <v>142552.89910000001</v>
      </c>
      <c r="F37" s="53"/>
      <c r="G37" s="37">
        <f>4734.6159+918.8488</f>
        <v>5653.4646999999995</v>
      </c>
      <c r="H37" s="37">
        <f>195.6931+80.9342</f>
        <v>276.62729999999999</v>
      </c>
      <c r="I37" s="37">
        <f t="shared" si="2"/>
        <v>5930.0919999999996</v>
      </c>
      <c r="J37" s="53"/>
      <c r="K37" s="38">
        <v>6816.5335999999998</v>
      </c>
      <c r="L37" s="38">
        <v>328.38729999999998</v>
      </c>
      <c r="M37" s="38">
        <f t="shared" si="3"/>
        <v>7144.9209000000001</v>
      </c>
      <c r="N37" s="52"/>
      <c r="O37" s="39">
        <v>154159.16699999999</v>
      </c>
      <c r="P37" s="39">
        <v>1463.1379999999999</v>
      </c>
      <c r="Q37" s="39">
        <f t="shared" si="4"/>
        <v>155622.30499999999</v>
      </c>
      <c r="R37" s="54"/>
      <c r="S37" s="40">
        <f t="shared" si="5"/>
        <v>0.95412409615703875</v>
      </c>
      <c r="T37" s="40">
        <f t="shared" si="6"/>
        <v>4.5911933382557217E-2</v>
      </c>
      <c r="V37" s="40">
        <f t="shared" si="12"/>
        <v>0.94683134528819646</v>
      </c>
      <c r="W37" s="40">
        <f t="shared" si="13"/>
        <v>7.2927508688423555E-3</v>
      </c>
      <c r="X37" s="40">
        <f t="shared" si="14"/>
        <v>4.380177764363534E-2</v>
      </c>
      <c r="Y37" s="40">
        <f t="shared" si="15"/>
        <v>2.1101557389218723E-3</v>
      </c>
    </row>
    <row r="38" spans="2:25" ht="14.3" x14ac:dyDescent="0.25">
      <c r="B38" s="36">
        <v>44501</v>
      </c>
      <c r="C38" s="37">
        <f>'[22]Consumo Diário'!$C$42</f>
        <v>136942.60150000002</v>
      </c>
      <c r="D38" s="37">
        <f>'[22]Consumo Diário'!$D$42</f>
        <v>864.08480000000009</v>
      </c>
      <c r="E38" s="37">
        <f t="shared" si="1"/>
        <v>137806.68630000003</v>
      </c>
      <c r="F38" s="53"/>
      <c r="G38" s="37">
        <f t="shared" ref="G38:H38" si="16">O38-C38-K38</f>
        <v>5158.9242357388512</v>
      </c>
      <c r="H38" s="37">
        <f t="shared" si="16"/>
        <v>276.65421592634374</v>
      </c>
      <c r="I38" s="37">
        <f t="shared" si="2"/>
        <v>5435.5784516651947</v>
      </c>
      <c r="J38" s="53"/>
      <c r="K38" s="38">
        <f>'[22]Consumo Diário'!$EI$42</f>
        <v>6599.6262642611318</v>
      </c>
      <c r="L38" s="38">
        <f>'[22]Consumo Diário'!$EJ$42</f>
        <v>292.5249840736563</v>
      </c>
      <c r="M38" s="38">
        <f t="shared" si="3"/>
        <v>6892.1512483347879</v>
      </c>
      <c r="N38" s="52"/>
      <c r="O38" s="39">
        <f>'[22]Consumo Diário'!$ED$42</f>
        <v>148701.152</v>
      </c>
      <c r="P38" s="39">
        <f>'[22]Consumo Diário'!$EE$42</f>
        <v>1433.2640000000001</v>
      </c>
      <c r="Q38" s="39">
        <f t="shared" si="4"/>
        <v>150134.416</v>
      </c>
      <c r="R38" s="54"/>
      <c r="S38" s="40">
        <f t="shared" ref="S38:S56" si="17">(E38+I38)/Q38</f>
        <v>0.95409346216569846</v>
      </c>
      <c r="T38" s="40">
        <f t="shared" ref="T38:T56" si="18">M38/Q38</f>
        <v>4.5906537834301681E-2</v>
      </c>
      <c r="V38" s="40">
        <f t="shared" ref="V38:V56" si="19">(C38+G38)/Q38</f>
        <v>0.94649534411709346</v>
      </c>
      <c r="W38" s="40">
        <f t="shared" ref="W38:W56" si="20">(D38+H38)/Q38</f>
        <v>7.5981180486048173E-3</v>
      </c>
      <c r="X38" s="40">
        <f t="shared" ref="X38:X56" si="21">K38/Q38</f>
        <v>4.3958117266470947E-2</v>
      </c>
      <c r="Y38" s="40">
        <f t="shared" ref="Y38:Y56" si="22">L38/Q38</f>
        <v>1.9484205678307383E-3</v>
      </c>
    </row>
    <row r="39" spans="2:25" ht="14.3" x14ac:dyDescent="0.25">
      <c r="B39" s="36">
        <v>44531</v>
      </c>
      <c r="C39" s="37">
        <f>'[23]Consumo Diário'!$C$42</f>
        <v>140433.2182</v>
      </c>
      <c r="D39" s="37">
        <f>'[23]Consumo Diário'!$D$42</f>
        <v>1027.0577000000001</v>
      </c>
      <c r="E39" s="37">
        <f t="shared" ref="E39:E50" si="23">C39+D39</f>
        <v>141460.27590000001</v>
      </c>
      <c r="F39" s="53"/>
      <c r="G39" s="37">
        <f t="shared" ref="G39:G49" si="24">O39-C39-K39</f>
        <v>5268.3539577912397</v>
      </c>
      <c r="H39" s="37">
        <f t="shared" ref="H39:H49" si="25">P39-D39-L39</f>
        <v>294.22208777562452</v>
      </c>
      <c r="I39" s="37">
        <f t="shared" ref="I39:I49" si="26">G39+H39</f>
        <v>5562.5760455668642</v>
      </c>
      <c r="J39" s="53"/>
      <c r="K39" s="38">
        <f>'[23]Consumo Diário'!$EI$42</f>
        <v>7027.6148422087626</v>
      </c>
      <c r="L39" s="38">
        <f>'[23]Consumo Diário'!$EJ$42</f>
        <v>352.98321222437534</v>
      </c>
      <c r="M39" s="38">
        <f t="shared" ref="M39:M50" si="27">K39+L39</f>
        <v>7380.5980544331378</v>
      </c>
      <c r="N39" s="52"/>
      <c r="O39" s="39">
        <f>'[23]Consumo Diário'!$ED$42</f>
        <v>152729.18700000001</v>
      </c>
      <c r="P39" s="39">
        <f>'[23]Consumo Diário'!$EE$42</f>
        <v>1674.2629999999999</v>
      </c>
      <c r="Q39" s="39">
        <f t="shared" ref="Q39:Q50" si="28">O39+P39</f>
        <v>154403.45000000001</v>
      </c>
      <c r="R39" s="54"/>
      <c r="S39" s="40">
        <f t="shared" si="17"/>
        <v>0.95219926721564108</v>
      </c>
      <c r="T39" s="40">
        <f t="shared" si="18"/>
        <v>4.7800732784359014E-2</v>
      </c>
      <c r="V39" s="40">
        <f t="shared" si="19"/>
        <v>0.94364194684633806</v>
      </c>
      <c r="W39" s="40">
        <f t="shared" si="20"/>
        <v>8.5573203693027865E-3</v>
      </c>
      <c r="X39" s="40">
        <f t="shared" si="21"/>
        <v>4.5514623165536533E-2</v>
      </c>
      <c r="Y39" s="40">
        <f t="shared" si="22"/>
        <v>2.2861096188224765E-3</v>
      </c>
    </row>
    <row r="40" spans="2:25" ht="14.3" x14ac:dyDescent="0.25">
      <c r="B40" s="36">
        <v>44562</v>
      </c>
      <c r="C40" s="37">
        <f>'[24]Consumo Diário'!$C$42</f>
        <v>137269.27850000001</v>
      </c>
      <c r="D40" s="37">
        <f>'[24]Consumo Diário'!$D$42</f>
        <v>933.58320000000003</v>
      </c>
      <c r="E40" s="37">
        <f t="shared" si="23"/>
        <v>138202.86170000001</v>
      </c>
      <c r="F40" s="53"/>
      <c r="G40" s="37">
        <f t="shared" si="24"/>
        <v>5242.8355270127759</v>
      </c>
      <c r="H40" s="37">
        <f t="shared" si="25"/>
        <v>287.5523204852783</v>
      </c>
      <c r="I40" s="37">
        <f t="shared" si="26"/>
        <v>5530.3878474980538</v>
      </c>
      <c r="J40" s="53"/>
      <c r="K40" s="38">
        <f>'[24]Consumo Diário'!$EI$42</f>
        <v>7160.4829729872181</v>
      </c>
      <c r="L40" s="38">
        <f>'[24]Consumo Diário'!$EJ$42</f>
        <v>344.0924795147215</v>
      </c>
      <c r="M40" s="38">
        <f t="shared" si="27"/>
        <v>7504.5754525019393</v>
      </c>
      <c r="N40" s="52"/>
      <c r="O40" s="39">
        <f>'[24]Consumo Diário'!$ED$42</f>
        <v>149672.59700000001</v>
      </c>
      <c r="P40" s="39">
        <f>'[24]Consumo Diário'!$EE$42</f>
        <v>1565.2279999999998</v>
      </c>
      <c r="Q40" s="39">
        <f t="shared" si="28"/>
        <v>151237.82500000001</v>
      </c>
      <c r="R40" s="54"/>
      <c r="S40" s="40">
        <f t="shared" si="17"/>
        <v>0.95037897792763193</v>
      </c>
      <c r="T40" s="40">
        <f t="shared" si="18"/>
        <v>4.9621022072368064E-2</v>
      </c>
      <c r="V40" s="40">
        <f t="shared" si="19"/>
        <v>0.94230470470606653</v>
      </c>
      <c r="W40" s="40">
        <f t="shared" si="20"/>
        <v>8.0742732215652955E-3</v>
      </c>
      <c r="X40" s="40">
        <f t="shared" si="21"/>
        <v>4.734584733010553E-2</v>
      </c>
      <c r="Y40" s="40">
        <f t="shared" si="22"/>
        <v>2.2751747422625358E-3</v>
      </c>
    </row>
    <row r="41" spans="2:25" ht="14.3" x14ac:dyDescent="0.25">
      <c r="B41" s="36">
        <v>44593</v>
      </c>
      <c r="C41" s="37">
        <f>'[25]Consumo Diário'!$C$42</f>
        <v>127696.4636</v>
      </c>
      <c r="D41" s="37">
        <f>'[25]Consumo Diário'!$D$42</f>
        <v>847.31359999999984</v>
      </c>
      <c r="E41" s="37">
        <f t="shared" si="23"/>
        <v>128543.7772</v>
      </c>
      <c r="F41" s="53"/>
      <c r="G41" s="37">
        <f t="shared" si="24"/>
        <v>4730.5632921841152</v>
      </c>
      <c r="H41" s="37">
        <f t="shared" si="25"/>
        <v>280.64253071778586</v>
      </c>
      <c r="I41" s="37">
        <f t="shared" si="26"/>
        <v>5011.2058229019012</v>
      </c>
      <c r="J41" s="53"/>
      <c r="K41" s="38">
        <f>'[25]Consumo Diário'!$EI$42</f>
        <v>6280.5941078158958</v>
      </c>
      <c r="L41" s="38">
        <f>'[25]Consumo Diário'!$EJ$42</f>
        <v>365.58286928221429</v>
      </c>
      <c r="M41" s="38">
        <f t="shared" si="27"/>
        <v>6646.17697709811</v>
      </c>
      <c r="N41" s="52"/>
      <c r="O41" s="39">
        <f>'[25]Consumo Diário'!$ED$42</f>
        <v>138707.62100000001</v>
      </c>
      <c r="P41" s="39">
        <f>'[25]Consumo Diário'!$EE$42</f>
        <v>1493.539</v>
      </c>
      <c r="Q41" s="39">
        <f t="shared" si="28"/>
        <v>140201.16</v>
      </c>
      <c r="R41" s="54"/>
      <c r="S41" s="40">
        <f t="shared" si="17"/>
        <v>0.95259542091450522</v>
      </c>
      <c r="T41" s="40">
        <f t="shared" si="18"/>
        <v>4.7404579085494801E-2</v>
      </c>
      <c r="V41" s="40">
        <f t="shared" si="19"/>
        <v>0.944550151312472</v>
      </c>
      <c r="W41" s="40">
        <f t="shared" si="20"/>
        <v>8.045269602033148E-3</v>
      </c>
      <c r="X41" s="40">
        <f t="shared" si="21"/>
        <v>4.4797019566855903E-2</v>
      </c>
      <c r="Y41" s="40">
        <f t="shared" si="22"/>
        <v>2.607559518638892E-3</v>
      </c>
    </row>
    <row r="42" spans="2:25" ht="14.3" x14ac:dyDescent="0.25">
      <c r="B42" s="36">
        <v>44621</v>
      </c>
      <c r="C42" s="37">
        <f>'[26]Consumo Diário'!$C$42</f>
        <v>138476.42520000003</v>
      </c>
      <c r="D42" s="37">
        <f>'[26]Consumo Diário'!$D$42</f>
        <v>984.51330000000007</v>
      </c>
      <c r="E42" s="37">
        <f t="shared" si="23"/>
        <v>139460.93850000002</v>
      </c>
      <c r="F42" s="53"/>
      <c r="G42" s="37">
        <f t="shared" si="24"/>
        <v>5280.3863611611259</v>
      </c>
      <c r="H42" s="37">
        <f t="shared" si="25"/>
        <v>312.76598564745183</v>
      </c>
      <c r="I42" s="37">
        <f t="shared" si="26"/>
        <v>5593.1523468085779</v>
      </c>
      <c r="J42" s="53"/>
      <c r="K42" s="38">
        <f>'[26]Consumo Diário'!$EI$42</f>
        <v>7054.6794388388853</v>
      </c>
      <c r="L42" s="38">
        <f>'[26]Consumo Diário'!$EJ$42</f>
        <v>379.72671435254819</v>
      </c>
      <c r="M42" s="38">
        <f t="shared" si="27"/>
        <v>7434.4061531914331</v>
      </c>
      <c r="N42" s="52"/>
      <c r="O42" s="39">
        <f>'[26]Consumo Diário'!$ED$42</f>
        <v>150811.49100000004</v>
      </c>
      <c r="P42" s="39">
        <f>'[26]Consumo Diário'!$EE$42</f>
        <v>1677.0060000000001</v>
      </c>
      <c r="Q42" s="39">
        <f t="shared" si="28"/>
        <v>152488.49700000003</v>
      </c>
      <c r="R42" s="54"/>
      <c r="S42" s="40">
        <f t="shared" si="17"/>
        <v>0.95124611823545335</v>
      </c>
      <c r="T42" s="40">
        <f t="shared" si="18"/>
        <v>4.8753881764546682E-2</v>
      </c>
      <c r="V42" s="40">
        <f t="shared" si="19"/>
        <v>0.9427387271130433</v>
      </c>
      <c r="W42" s="40">
        <f t="shared" si="20"/>
        <v>8.5073911224100504E-3</v>
      </c>
      <c r="X42" s="40">
        <f t="shared" si="21"/>
        <v>4.6263682688399005E-2</v>
      </c>
      <c r="Y42" s="40">
        <f t="shared" si="22"/>
        <v>2.4901990761476791E-3</v>
      </c>
    </row>
    <row r="43" spans="2:25" ht="14.3" x14ac:dyDescent="0.25">
      <c r="B43" s="36">
        <v>44652</v>
      </c>
      <c r="C43" s="37">
        <f>'[27]Consumo Diário'!$C$42</f>
        <v>133770.37120000002</v>
      </c>
      <c r="D43" s="37">
        <f>'[27]Consumo Diário'!$D$42</f>
        <v>805.93259999999998</v>
      </c>
      <c r="E43" s="37">
        <f t="shared" si="23"/>
        <v>134576.30380000002</v>
      </c>
      <c r="F43" s="53"/>
      <c r="G43" s="37">
        <f t="shared" si="24"/>
        <v>5039.085984888201</v>
      </c>
      <c r="H43" s="37">
        <f t="shared" si="25"/>
        <v>258.10845976442033</v>
      </c>
      <c r="I43" s="37">
        <f t="shared" si="26"/>
        <v>5297.1944446526213</v>
      </c>
      <c r="J43" s="53"/>
      <c r="K43" s="38">
        <f>'[27]Consumo Diário'!$EI$42</f>
        <v>7048.220815111732</v>
      </c>
      <c r="L43" s="38">
        <f>'[27]Consumo Diário'!$EJ$42</f>
        <v>348.32894023558026</v>
      </c>
      <c r="M43" s="38">
        <f t="shared" si="27"/>
        <v>7396.5497553473124</v>
      </c>
      <c r="N43" s="52"/>
      <c r="O43" s="39">
        <f>'[27]Consumo Diário'!$ED$42</f>
        <v>145857.67799999996</v>
      </c>
      <c r="P43" s="39">
        <f>'[27]Consumo Diário'!$EE$42</f>
        <v>1412.3700000000006</v>
      </c>
      <c r="Q43" s="39">
        <f t="shared" si="28"/>
        <v>147270.04799999995</v>
      </c>
      <c r="R43" s="54"/>
      <c r="S43" s="40">
        <f t="shared" si="17"/>
        <v>0.94977560029485897</v>
      </c>
      <c r="T43" s="40">
        <f t="shared" si="18"/>
        <v>5.0224399705141094E-2</v>
      </c>
      <c r="V43" s="40">
        <f t="shared" si="19"/>
        <v>0.94255049869263485</v>
      </c>
      <c r="W43" s="40">
        <f t="shared" si="20"/>
        <v>7.2251016022241042E-3</v>
      </c>
      <c r="X43" s="40">
        <f t="shared" si="21"/>
        <v>4.7859160167529342E-2</v>
      </c>
      <c r="Y43" s="40">
        <f t="shared" si="22"/>
        <v>2.365239537611751E-3</v>
      </c>
    </row>
    <row r="44" spans="2:25" ht="14.3" x14ac:dyDescent="0.25">
      <c r="B44" s="36">
        <v>44682</v>
      </c>
      <c r="C44" s="37">
        <f>'[28]Consumo Diário'!$C$42</f>
        <v>131161.69519999999</v>
      </c>
      <c r="D44" s="37">
        <f>'[28]Consumo Diário'!$D$42</f>
        <v>883.34229999999991</v>
      </c>
      <c r="E44" s="37">
        <f t="shared" si="23"/>
        <v>132045.03749999998</v>
      </c>
      <c r="F44" s="53"/>
      <c r="G44" s="37">
        <f t="shared" si="24"/>
        <v>4945.803006427227</v>
      </c>
      <c r="H44" s="37">
        <f t="shared" si="25"/>
        <v>257.09754417024897</v>
      </c>
      <c r="I44" s="37">
        <f t="shared" si="26"/>
        <v>5202.9005505974765</v>
      </c>
      <c r="J44" s="53"/>
      <c r="K44" s="38">
        <f>'[28]Consumo Diário'!$EI$42</f>
        <v>6795.3187935727956</v>
      </c>
      <c r="L44" s="38">
        <f>'[28]Consumo Diário'!$EJ$42</f>
        <v>342.34815582975114</v>
      </c>
      <c r="M44" s="38">
        <f t="shared" si="27"/>
        <v>7137.6669494025464</v>
      </c>
      <c r="N44" s="52"/>
      <c r="O44" s="39">
        <f>'[28]Consumo Diário'!$ED$42</f>
        <v>142902.81700000001</v>
      </c>
      <c r="P44" s="39">
        <f>'[28]Consumo Diário'!$EE$42</f>
        <v>1482.788</v>
      </c>
      <c r="Q44" s="39">
        <f t="shared" si="28"/>
        <v>144385.60500000001</v>
      </c>
      <c r="R44" s="54"/>
      <c r="S44" s="40">
        <f t="shared" si="17"/>
        <v>0.95056524541070031</v>
      </c>
      <c r="T44" s="40">
        <f t="shared" si="18"/>
        <v>4.9434754589299579E-2</v>
      </c>
      <c r="V44" s="40">
        <f t="shared" si="19"/>
        <v>0.94266667516077651</v>
      </c>
      <c r="W44" s="40">
        <f t="shared" si="20"/>
        <v>7.8985702499237975E-3</v>
      </c>
      <c r="X44" s="40">
        <f t="shared" si="21"/>
        <v>4.7063686117274607E-2</v>
      </c>
      <c r="Y44" s="40">
        <f t="shared" si="22"/>
        <v>2.3710684720249717E-3</v>
      </c>
    </row>
    <row r="45" spans="2:25" ht="14.3" x14ac:dyDescent="0.25">
      <c r="B45" s="36">
        <v>44713</v>
      </c>
      <c r="C45" s="37">
        <f>'[29]Consumo Diário'!$C$42</f>
        <v>133737.76</v>
      </c>
      <c r="D45" s="37">
        <f>'[29]Consumo Diário'!$D$42</f>
        <v>929.9088999999999</v>
      </c>
      <c r="E45" s="37">
        <f t="shared" si="23"/>
        <v>134667.66890000002</v>
      </c>
      <c r="F45" s="53"/>
      <c r="G45" s="37">
        <f t="shared" si="24"/>
        <v>5665.2149005851152</v>
      </c>
      <c r="H45" s="37">
        <f t="shared" si="25"/>
        <v>281.00692747676942</v>
      </c>
      <c r="I45" s="37">
        <f t="shared" si="26"/>
        <v>5946.2218280618845</v>
      </c>
      <c r="J45" s="53"/>
      <c r="K45" s="38">
        <f>'[29]Consumo Diário'!$EI$42</f>
        <v>6799.4280994148958</v>
      </c>
      <c r="L45" s="38">
        <f>'[29]Consumo Diário'!$EJ$42</f>
        <v>351.04817252323062</v>
      </c>
      <c r="M45" s="38">
        <f t="shared" si="27"/>
        <v>7150.476271938126</v>
      </c>
      <c r="N45" s="52"/>
      <c r="O45" s="39">
        <f>'[29]Consumo Diário'!$ED$42</f>
        <v>146202.40300000002</v>
      </c>
      <c r="P45" s="39">
        <f>'[29]Consumo Diário'!$EE$42</f>
        <v>1561.9639999999999</v>
      </c>
      <c r="Q45" s="39">
        <f t="shared" si="28"/>
        <v>147764.36700000003</v>
      </c>
      <c r="R45" s="54"/>
      <c r="S45" s="40">
        <f t="shared" si="17"/>
        <v>0.95160892698888544</v>
      </c>
      <c r="T45" s="40">
        <f t="shared" si="18"/>
        <v>4.8391073011114547E-2</v>
      </c>
      <c r="V45" s="40">
        <f t="shared" si="19"/>
        <v>0.94341401605019637</v>
      </c>
      <c r="W45" s="40">
        <f t="shared" si="20"/>
        <v>8.194910938689088E-3</v>
      </c>
      <c r="X45" s="40">
        <f t="shared" si="21"/>
        <v>4.6015343465146061E-2</v>
      </c>
      <c r="Y45" s="40">
        <f t="shared" si="22"/>
        <v>2.3757295459684849E-3</v>
      </c>
    </row>
    <row r="46" spans="2:25" ht="14.3" x14ac:dyDescent="0.25">
      <c r="B46" s="36">
        <v>44743</v>
      </c>
      <c r="C46" s="37">
        <f>'[30]Consumo Diário'!$C$42</f>
        <v>140204.50979999997</v>
      </c>
      <c r="D46" s="37">
        <f>'[30]Consumo Diário'!$D$42</f>
        <v>875.69430000000011</v>
      </c>
      <c r="E46" s="37">
        <f t="shared" si="23"/>
        <v>141080.20409999997</v>
      </c>
      <c r="F46" s="53"/>
      <c r="G46" s="37">
        <f t="shared" si="24"/>
        <v>5963.5487457287772</v>
      </c>
      <c r="H46" s="37">
        <f t="shared" si="25"/>
        <v>314.19099765760035</v>
      </c>
      <c r="I46" s="37">
        <f t="shared" si="26"/>
        <v>6277.739743386378</v>
      </c>
      <c r="J46" s="53"/>
      <c r="K46" s="38">
        <f>'[30]Consumo Diário'!$EI$42</f>
        <v>6877.8074542712902</v>
      </c>
      <c r="L46" s="38">
        <f>'[30]Consumo Diário'!$EJ$42</f>
        <v>340.4347023423997</v>
      </c>
      <c r="M46" s="38">
        <f t="shared" si="27"/>
        <v>7218.24215661369</v>
      </c>
      <c r="N46" s="52"/>
      <c r="O46" s="39">
        <f>'[30]Consumo Diário'!$ED$42</f>
        <v>153045.86600000004</v>
      </c>
      <c r="P46" s="39">
        <f>'[30]Consumo Diário'!$EE$42</f>
        <v>1530.3200000000002</v>
      </c>
      <c r="Q46" s="39">
        <f t="shared" si="28"/>
        <v>154576.18600000005</v>
      </c>
      <c r="R46" s="54"/>
      <c r="S46" s="40">
        <f t="shared" si="17"/>
        <v>0.95330301294525599</v>
      </c>
      <c r="T46" s="40">
        <f t="shared" si="18"/>
        <v>4.669698705474392E-2</v>
      </c>
      <c r="V46" s="40">
        <f t="shared" si="19"/>
        <v>0.94560528583444736</v>
      </c>
      <c r="W46" s="40">
        <f t="shared" si="20"/>
        <v>7.6977271108086475E-3</v>
      </c>
      <c r="X46" s="40">
        <f t="shared" si="21"/>
        <v>4.4494612218413047E-2</v>
      </c>
      <c r="Y46" s="40">
        <f t="shared" si="22"/>
        <v>2.2023748363308665E-3</v>
      </c>
    </row>
    <row r="47" spans="2:25" ht="14.3" x14ac:dyDescent="0.25">
      <c r="B47" s="36">
        <v>44774</v>
      </c>
      <c r="C47" s="37">
        <f>'[31]Consumo Diário'!$C$42</f>
        <v>128876.89810000002</v>
      </c>
      <c r="D47" s="37">
        <f>'[31]Consumo Diário'!$D$42</f>
        <v>1004.6584</v>
      </c>
      <c r="E47" s="37">
        <f t="shared" si="23"/>
        <v>129881.55650000002</v>
      </c>
      <c r="F47" s="53"/>
      <c r="G47" s="37">
        <f t="shared" si="24"/>
        <v>6123.2935916206261</v>
      </c>
      <c r="H47" s="37">
        <f t="shared" si="25"/>
        <v>337.24138964242678</v>
      </c>
      <c r="I47" s="37">
        <f t="shared" si="26"/>
        <v>6460.5349812630529</v>
      </c>
      <c r="J47" s="53"/>
      <c r="K47" s="38">
        <f>'[31]Consumo Diário'!$EI$42</f>
        <v>6479.9283083792907</v>
      </c>
      <c r="L47" s="38">
        <f>'[31]Consumo Diário'!$EJ$42</f>
        <v>364.24621035757315</v>
      </c>
      <c r="M47" s="38">
        <f t="shared" si="27"/>
        <v>6844.1745187368642</v>
      </c>
      <c r="N47" s="52"/>
      <c r="O47" s="39">
        <f>'[31]Consumo Diário'!$ED$42</f>
        <v>141480.11999999994</v>
      </c>
      <c r="P47" s="39">
        <f>'[31]Consumo Diário'!$EE$42</f>
        <v>1706.146</v>
      </c>
      <c r="Q47" s="39">
        <f t="shared" si="28"/>
        <v>143186.26599999995</v>
      </c>
      <c r="R47" s="54"/>
      <c r="S47" s="40">
        <f t="shared" si="17"/>
        <v>0.95220090089689979</v>
      </c>
      <c r="T47" s="40">
        <f t="shared" si="18"/>
        <v>4.77990991031002E-2</v>
      </c>
      <c r="V47" s="40">
        <f t="shared" si="19"/>
        <v>0.94282919348997274</v>
      </c>
      <c r="W47" s="40">
        <f t="shared" si="20"/>
        <v>9.3717074069270545E-3</v>
      </c>
      <c r="X47" s="40">
        <f t="shared" si="21"/>
        <v>4.5255236339351801E-2</v>
      </c>
      <c r="Y47" s="40">
        <f t="shared" si="22"/>
        <v>2.5438627637483979E-3</v>
      </c>
    </row>
    <row r="48" spans="2:25" ht="14.3" x14ac:dyDescent="0.25">
      <c r="B48" s="36">
        <v>44805</v>
      </c>
      <c r="C48" s="37">
        <f>'[32]Consumo Diário'!$C$42</f>
        <v>129832.6805</v>
      </c>
      <c r="D48" s="37">
        <f>'[32]Consumo Diário'!$D$42</f>
        <v>987.64759999999978</v>
      </c>
      <c r="E48" s="37">
        <f t="shared" si="23"/>
        <v>130820.3281</v>
      </c>
      <c r="F48" s="53"/>
      <c r="G48" s="37">
        <f t="shared" si="24"/>
        <v>5452.6680944633108</v>
      </c>
      <c r="H48" s="37">
        <f t="shared" si="25"/>
        <v>261.2937325104669</v>
      </c>
      <c r="I48" s="37">
        <f t="shared" si="26"/>
        <v>5713.9618269737775</v>
      </c>
      <c r="J48" s="53"/>
      <c r="K48" s="38">
        <f>'[32]Consumo Diário'!$EI$42</f>
        <v>6162.3594055367003</v>
      </c>
      <c r="L48" s="38">
        <f>'[32]Consumo Diário'!$EJ$42</f>
        <v>368.48866748953338</v>
      </c>
      <c r="M48" s="38">
        <f t="shared" si="27"/>
        <v>6530.8480730262336</v>
      </c>
      <c r="N48" s="52"/>
      <c r="O48" s="39">
        <f>'[32]Consumo Diário'!$ED$42</f>
        <v>141447.70800000001</v>
      </c>
      <c r="P48" s="39">
        <f>'[32]Consumo Diário'!$EE$42</f>
        <v>1617.43</v>
      </c>
      <c r="Q48" s="39">
        <f t="shared" si="28"/>
        <v>143065.13800000001</v>
      </c>
      <c r="R48" s="54"/>
      <c r="S48" s="40">
        <f t="shared" si="17"/>
        <v>0.95435052756859451</v>
      </c>
      <c r="T48" s="40">
        <f t="shared" si="18"/>
        <v>4.5649472431405567E-2</v>
      </c>
      <c r="V48" s="40">
        <f t="shared" si="19"/>
        <v>0.94562064864791384</v>
      </c>
      <c r="W48" s="40">
        <f t="shared" si="20"/>
        <v>8.7298789206806393E-3</v>
      </c>
      <c r="X48" s="40">
        <f t="shared" si="21"/>
        <v>4.3073801847775803E-2</v>
      </c>
      <c r="Y48" s="40">
        <f t="shared" si="22"/>
        <v>2.5756705836297686E-3</v>
      </c>
    </row>
    <row r="49" spans="1:25" ht="14.3" x14ac:dyDescent="0.25">
      <c r="B49" s="36">
        <v>44835</v>
      </c>
      <c r="C49" s="37">
        <f>'[33]Consumo Diário'!$C$42</f>
        <v>140033.51379999999</v>
      </c>
      <c r="D49" s="37">
        <f>'[33]Consumo Diário'!$D$42</f>
        <v>912.82920000000001</v>
      </c>
      <c r="E49" s="37">
        <f t="shared" si="23"/>
        <v>140946.34299999999</v>
      </c>
      <c r="F49" s="53"/>
      <c r="G49" s="37">
        <f t="shared" si="24"/>
        <v>5686.8759799256368</v>
      </c>
      <c r="H49" s="37">
        <f t="shared" si="25"/>
        <v>283.04330942763346</v>
      </c>
      <c r="I49" s="37">
        <f t="shared" si="26"/>
        <v>5969.91928935327</v>
      </c>
      <c r="J49" s="53"/>
      <c r="K49" s="38">
        <f>'[33]Consumo Diário'!$EI$42</f>
        <v>6868.3652200743527</v>
      </c>
      <c r="L49" s="38">
        <f>'[33]Consumo Diário'!$EJ$42</f>
        <v>331.77249057236628</v>
      </c>
      <c r="M49" s="38">
        <f t="shared" si="27"/>
        <v>7200.1377106467189</v>
      </c>
      <c r="N49" s="52"/>
      <c r="O49" s="39">
        <f>'[33]Consumo Diário'!$ED$42</f>
        <v>152588.75499999998</v>
      </c>
      <c r="P49" s="39">
        <f>'[33]Consumo Diário'!$EE$42</f>
        <v>1527.6449999999998</v>
      </c>
      <c r="Q49" s="39">
        <f t="shared" si="28"/>
        <v>154116.39999999997</v>
      </c>
      <c r="R49" s="54"/>
      <c r="S49" s="40">
        <f t="shared" si="17"/>
        <v>0.95328117117550959</v>
      </c>
      <c r="T49" s="40">
        <f t="shared" si="18"/>
        <v>4.6718828824490584E-2</v>
      </c>
      <c r="V49" s="40">
        <f t="shared" si="19"/>
        <v>0.94552163027377789</v>
      </c>
      <c r="W49" s="40">
        <f t="shared" si="20"/>
        <v>7.7595409017316378E-3</v>
      </c>
      <c r="X49" s="40">
        <f t="shared" si="21"/>
        <v>4.4566089138302963E-2</v>
      </c>
      <c r="Y49" s="40">
        <f t="shared" si="22"/>
        <v>2.152739686187624E-3</v>
      </c>
    </row>
    <row r="50" spans="1:25" ht="14.3" x14ac:dyDescent="0.25">
      <c r="B50" s="55">
        <v>44866</v>
      </c>
      <c r="C50" s="56">
        <f>'[34]Consumo Diário'!$C$42</f>
        <v>133432.2899</v>
      </c>
      <c r="D50" s="56">
        <f>'[34]Consumo Diário'!$D$42</f>
        <v>915.75119999999993</v>
      </c>
      <c r="E50" s="56">
        <f t="shared" si="23"/>
        <v>134348.0411</v>
      </c>
      <c r="F50" s="53"/>
      <c r="G50" s="56">
        <f t="shared" ref="G50" si="29">O50-C50-K50</f>
        <v>5306.2404266849207</v>
      </c>
      <c r="H50" s="56">
        <f t="shared" ref="H50" si="30">P50-D50-L50</f>
        <v>270.07623555774728</v>
      </c>
      <c r="I50" s="56">
        <f t="shared" ref="I50" si="31">G50+H50</f>
        <v>5576.3166622426679</v>
      </c>
      <c r="J50" s="53"/>
      <c r="K50" s="57">
        <f>'[34]Consumo Diário'!$EU$42</f>
        <v>6766.2186733150866</v>
      </c>
      <c r="L50" s="57">
        <f>'[34]Consumo Diário'!$EV$42</f>
        <v>315.22756444225286</v>
      </c>
      <c r="M50" s="57">
        <f t="shared" si="27"/>
        <v>7081.4462377573391</v>
      </c>
      <c r="N50" s="52"/>
      <c r="O50" s="58">
        <f>'[34]Consumo Diário'!$EP$42</f>
        <v>145504.74900000001</v>
      </c>
      <c r="P50" s="58">
        <f>'[34]Consumo Diário'!$EQ$42</f>
        <v>1501.0550000000001</v>
      </c>
      <c r="Q50" s="58">
        <f t="shared" si="28"/>
        <v>147005.804</v>
      </c>
      <c r="R50" s="54"/>
      <c r="S50" s="40">
        <f t="shared" si="17"/>
        <v>0.95182879828501643</v>
      </c>
      <c r="T50" s="40">
        <f t="shared" si="18"/>
        <v>4.8171201714983569E-2</v>
      </c>
      <c r="V50" s="40">
        <f t="shared" si="19"/>
        <v>0.94376226347284176</v>
      </c>
      <c r="W50" s="40">
        <f t="shared" si="20"/>
        <v>8.066534812174812E-3</v>
      </c>
      <c r="X50" s="40">
        <f t="shared" si="21"/>
        <v>4.6026881178889277E-2</v>
      </c>
      <c r="Y50" s="40">
        <f t="shared" si="22"/>
        <v>2.1443205360942947E-3</v>
      </c>
    </row>
    <row r="51" spans="1:25" ht="14.3" x14ac:dyDescent="0.25">
      <c r="B51" s="55">
        <v>44896</v>
      </c>
      <c r="C51" s="56">
        <f>'[35]Consumo Diário'!$C$42</f>
        <v>136878.71279999998</v>
      </c>
      <c r="D51" s="56">
        <f>'[35]Consumo Diário'!$D$42</f>
        <v>986.65779999999995</v>
      </c>
      <c r="E51" s="56">
        <f t="shared" ref="E51:E56" si="32">C51+D51</f>
        <v>137865.37059999997</v>
      </c>
      <c r="F51" s="53"/>
      <c r="G51" s="56">
        <f t="shared" ref="G51:G56" si="33">O51-C51-K51</f>
        <v>5434.2688281034179</v>
      </c>
      <c r="H51" s="56">
        <f t="shared" ref="H51:H56" si="34">P51-D51-L51</f>
        <v>293.2743057387072</v>
      </c>
      <c r="I51" s="56">
        <f t="shared" ref="I51:I56" si="35">G51+H51</f>
        <v>5727.5431338421249</v>
      </c>
      <c r="J51" s="53"/>
      <c r="K51" s="57">
        <f>'[35]Consumo Diário'!$EU$42</f>
        <v>6977.8303718966081</v>
      </c>
      <c r="L51" s="57">
        <f>'[35]Consumo Diário'!$EV$42</f>
        <v>359.63589426129283</v>
      </c>
      <c r="M51" s="57">
        <f t="shared" ref="M51:M56" si="36">K51+L51</f>
        <v>7337.4662661579005</v>
      </c>
      <c r="N51" s="52"/>
      <c r="O51" s="58">
        <f>'[35]Consumo Diário'!$EP$42</f>
        <v>149290.81200000001</v>
      </c>
      <c r="P51" s="58">
        <f>'[35]Consumo Diário'!$EQ$42</f>
        <v>1639.568</v>
      </c>
      <c r="Q51" s="58">
        <f t="shared" ref="Q51:Q56" si="37">O51+P51</f>
        <v>150930.38</v>
      </c>
      <c r="R51" s="54"/>
      <c r="S51" s="40">
        <f t="shared" si="17"/>
        <v>0.95138509380180503</v>
      </c>
      <c r="T51" s="40">
        <f t="shared" si="18"/>
        <v>4.8614906198194828E-2</v>
      </c>
      <c r="V51" s="40">
        <f t="shared" si="19"/>
        <v>0.94290481232541379</v>
      </c>
      <c r="W51" s="40">
        <f t="shared" si="20"/>
        <v>8.4802814763913475E-3</v>
      </c>
      <c r="X51" s="40">
        <f t="shared" si="21"/>
        <v>4.6232112924492787E-2</v>
      </c>
      <c r="Y51" s="40">
        <f t="shared" si="22"/>
        <v>2.3827932737020396E-3</v>
      </c>
    </row>
    <row r="52" spans="1:25" ht="14.3" x14ac:dyDescent="0.25">
      <c r="B52" s="55">
        <v>44927</v>
      </c>
      <c r="C52" s="56">
        <f>'[36]Consumo Diário'!$C$42</f>
        <v>131386.7831</v>
      </c>
      <c r="D52" s="56">
        <f>'[36]Consumo Diário'!$D$42</f>
        <v>977.75680000000011</v>
      </c>
      <c r="E52" s="56">
        <f t="shared" si="32"/>
        <v>132364.5399</v>
      </c>
      <c r="F52" s="53"/>
      <c r="G52" s="56">
        <f t="shared" si="33"/>
        <v>5412.0795530793966</v>
      </c>
      <c r="H52" s="56">
        <f t="shared" si="34"/>
        <v>298.06957304434746</v>
      </c>
      <c r="I52" s="56">
        <f t="shared" si="35"/>
        <v>5710.1491261237443</v>
      </c>
      <c r="J52" s="53"/>
      <c r="K52" s="57">
        <f>'[36]Consumo Diário'!$EU$42</f>
        <v>6888.6673469205725</v>
      </c>
      <c r="L52" s="57">
        <f>'[36]Consumo Diário'!$EV$42</f>
        <v>374.03562695565228</v>
      </c>
      <c r="M52" s="57">
        <f t="shared" si="36"/>
        <v>7262.7029738762249</v>
      </c>
      <c r="N52" s="52"/>
      <c r="O52" s="58">
        <f>'[36]Consumo Diário'!$EP$42</f>
        <v>143687.52999999997</v>
      </c>
      <c r="P52" s="58">
        <f>'[36]Consumo Diário'!$EQ$42</f>
        <v>1649.8619999999999</v>
      </c>
      <c r="Q52" s="58">
        <f t="shared" si="37"/>
        <v>145337.39199999996</v>
      </c>
      <c r="R52" s="54"/>
      <c r="S52" s="40">
        <f t="shared" si="17"/>
        <v>0.95002866864518798</v>
      </c>
      <c r="T52" s="40">
        <f t="shared" si="18"/>
        <v>4.9971331354812167E-2</v>
      </c>
      <c r="V52" s="40">
        <f t="shared" si="19"/>
        <v>0.94125029196257637</v>
      </c>
      <c r="W52" s="40">
        <f t="shared" si="20"/>
        <v>8.7783766826113677E-3</v>
      </c>
      <c r="X52" s="40">
        <f t="shared" si="21"/>
        <v>4.7397763590807891E-2</v>
      </c>
      <c r="Y52" s="40">
        <f t="shared" si="22"/>
        <v>2.5735677640042719E-3</v>
      </c>
    </row>
    <row r="53" spans="1:25" ht="14.3" x14ac:dyDescent="0.25">
      <c r="B53" s="55">
        <v>44958</v>
      </c>
      <c r="C53" s="56">
        <f>'[37]Consumo Diário'!$C$42</f>
        <v>118667.73999999999</v>
      </c>
      <c r="D53" s="56">
        <f>'[37]Consumo Diário'!$D$42</f>
        <v>822.55349999999999</v>
      </c>
      <c r="E53" s="56">
        <f t="shared" si="32"/>
        <v>119490.29349999999</v>
      </c>
      <c r="F53" s="53"/>
      <c r="G53" s="56">
        <f t="shared" si="33"/>
        <v>4749.7326768873882</v>
      </c>
      <c r="H53" s="56">
        <f t="shared" si="34"/>
        <v>254.13334142348941</v>
      </c>
      <c r="I53" s="56">
        <f t="shared" si="35"/>
        <v>5003.8660183108777</v>
      </c>
      <c r="J53" s="53"/>
      <c r="K53" s="57">
        <f>'[37]Consumo Diário'!$EU$42</f>
        <v>6514.3789231126157</v>
      </c>
      <c r="L53" s="57">
        <f>'[37]Consumo Diário'!$EV$42</f>
        <v>329.60815857651068</v>
      </c>
      <c r="M53" s="57">
        <f t="shared" si="36"/>
        <v>6843.9870816891262</v>
      </c>
      <c r="N53" s="52"/>
      <c r="O53" s="58">
        <f>'[37]Consumo Diário'!$EP$42</f>
        <v>129931.85159999999</v>
      </c>
      <c r="P53" s="58">
        <f>'[37]Consumo Diário'!$EQ$42</f>
        <v>1406.2950000000001</v>
      </c>
      <c r="Q53" s="58">
        <f t="shared" si="37"/>
        <v>131338.14660000001</v>
      </c>
      <c r="R53" s="54"/>
      <c r="S53" s="40">
        <f t="shared" si="17"/>
        <v>0.94789033301548697</v>
      </c>
      <c r="T53" s="40">
        <f t="shared" si="18"/>
        <v>5.2109666984512831E-2</v>
      </c>
      <c r="V53" s="40">
        <f t="shared" si="19"/>
        <v>0.93969251030140066</v>
      </c>
      <c r="W53" s="40">
        <f t="shared" si="20"/>
        <v>8.1978227140863981E-3</v>
      </c>
      <c r="X53" s="40">
        <f t="shared" si="21"/>
        <v>4.9600052168793249E-2</v>
      </c>
      <c r="Y53" s="40">
        <f t="shared" si="22"/>
        <v>2.5096148157195837E-3</v>
      </c>
    </row>
    <row r="54" spans="1:25" ht="14.3" x14ac:dyDescent="0.25">
      <c r="B54" s="55">
        <v>44986</v>
      </c>
      <c r="C54" s="56">
        <f>'[38]Consumo Diário'!$C$42</f>
        <v>118620.54818998552</v>
      </c>
      <c r="D54" s="56">
        <f>'[38]Consumo Diário'!$D$42</f>
        <v>1037.6030295056157</v>
      </c>
      <c r="E54" s="56">
        <f t="shared" si="32"/>
        <v>119658.15121949113</v>
      </c>
      <c r="F54" s="53"/>
      <c r="G54" s="56">
        <f t="shared" si="33"/>
        <v>4422.4404653968386</v>
      </c>
      <c r="H54" s="56">
        <f t="shared" si="34"/>
        <v>289.29922147949179</v>
      </c>
      <c r="I54" s="56">
        <f t="shared" si="35"/>
        <v>4711.7396868763308</v>
      </c>
      <c r="J54" s="53"/>
      <c r="K54" s="57">
        <f>'[38]Consumo Diário'!$EU$42</f>
        <v>7115.9143446176304</v>
      </c>
      <c r="L54" s="57">
        <f>'[38]Consumo Diário'!$EV$42</f>
        <v>401.82774901489228</v>
      </c>
      <c r="M54" s="57">
        <f t="shared" si="36"/>
        <v>7517.7420936325225</v>
      </c>
      <c r="N54" s="52"/>
      <c r="O54" s="58">
        <f>'[38]Consumo Diário'!$EP$42</f>
        <v>130158.90299999999</v>
      </c>
      <c r="P54" s="58">
        <f>'[38]Consumo Diário'!$EQ$42</f>
        <v>1728.7299999999998</v>
      </c>
      <c r="Q54" s="58">
        <f t="shared" si="37"/>
        <v>131887.633</v>
      </c>
      <c r="R54" s="54"/>
      <c r="S54" s="40">
        <f t="shared" si="17"/>
        <v>0.9429988853190463</v>
      </c>
      <c r="T54" s="40">
        <f t="shared" si="18"/>
        <v>5.7001114680953612E-2</v>
      </c>
      <c r="V54" s="40">
        <f t="shared" si="19"/>
        <v>0.93293803108425155</v>
      </c>
      <c r="W54" s="40">
        <f t="shared" si="20"/>
        <v>1.0060854234794763E-2</v>
      </c>
      <c r="X54" s="40">
        <f t="shared" si="21"/>
        <v>5.3954371480892604E-2</v>
      </c>
      <c r="Y54" s="40">
        <f t="shared" si="22"/>
        <v>3.0467432000610114E-3</v>
      </c>
    </row>
    <row r="55" spans="1:25" ht="14.3" x14ac:dyDescent="0.25">
      <c r="B55" s="55">
        <v>45017</v>
      </c>
      <c r="C55" s="56">
        <f>'[39]Consumo Diário'!$C$42</f>
        <v>127990.8616</v>
      </c>
      <c r="D55" s="56">
        <f>'[39]Consumo Diário'!$D$42</f>
        <v>774.75660000000005</v>
      </c>
      <c r="E55" s="56">
        <f t="shared" si="32"/>
        <v>128765.6182</v>
      </c>
      <c r="F55" s="53"/>
      <c r="G55" s="56">
        <f t="shared" si="33"/>
        <v>5618.3182101654565</v>
      </c>
      <c r="H55" s="56">
        <f t="shared" si="34"/>
        <v>239.429485814396</v>
      </c>
      <c r="I55" s="56">
        <f t="shared" si="35"/>
        <v>5857.7476959798523</v>
      </c>
      <c r="J55" s="53"/>
      <c r="K55" s="57">
        <f>'[39]Consumo Diário'!$EU$42</f>
        <v>6906.4151898345117</v>
      </c>
      <c r="L55" s="57">
        <f>'[39]Consumo Diário'!$EV$42</f>
        <v>300.96691418560397</v>
      </c>
      <c r="M55" s="57">
        <f t="shared" si="36"/>
        <v>7207.3821040201155</v>
      </c>
      <c r="N55" s="52"/>
      <c r="O55" s="58">
        <f>'[39]Consumo Diário'!$EP$42</f>
        <v>140515.59499999997</v>
      </c>
      <c r="P55" s="58">
        <f>'[39]Consumo Diário'!$EQ$42</f>
        <v>1315.153</v>
      </c>
      <c r="Q55" s="58">
        <f t="shared" si="37"/>
        <v>141830.74799999996</v>
      </c>
      <c r="R55" s="54"/>
      <c r="S55" s="40">
        <f t="shared" si="17"/>
        <v>0.94918321869091393</v>
      </c>
      <c r="T55" s="40">
        <f t="shared" si="18"/>
        <v>5.081678130908622E-2</v>
      </c>
      <c r="V55" s="40">
        <f t="shared" si="19"/>
        <v>0.94203254015247451</v>
      </c>
      <c r="W55" s="40">
        <f t="shared" si="20"/>
        <v>7.1506785384393258E-3</v>
      </c>
      <c r="X55" s="40">
        <f t="shared" si="21"/>
        <v>4.8694766735873897E-2</v>
      </c>
      <c r="Y55" s="40">
        <f t="shared" si="22"/>
        <v>2.1220145732123194E-3</v>
      </c>
    </row>
    <row r="56" spans="1:25" ht="14.3" x14ac:dyDescent="0.25">
      <c r="B56" s="55">
        <v>45047</v>
      </c>
      <c r="C56" s="56">
        <f>'[40]Consumo Diário'!$C$42</f>
        <v>134270.04179999998</v>
      </c>
      <c r="D56" s="56">
        <f>'[40]Consumo Diário'!$D$42</f>
        <v>1001.9914</v>
      </c>
      <c r="E56" s="56">
        <f t="shared" si="32"/>
        <v>135272.03319999998</v>
      </c>
      <c r="F56" s="53"/>
      <c r="G56" s="56">
        <f t="shared" si="33"/>
        <v>6312.3806716675845</v>
      </c>
      <c r="H56" s="56">
        <f t="shared" si="34"/>
        <v>289.38686623713488</v>
      </c>
      <c r="I56" s="56">
        <f t="shared" si="35"/>
        <v>6601.7675379047196</v>
      </c>
      <c r="J56" s="53"/>
      <c r="K56" s="57">
        <f>'[40]Consumo Diário'!$EU$42</f>
        <v>7229.2995283324472</v>
      </c>
      <c r="L56" s="57">
        <f>'[40]Consumo Diário'!$EV$42</f>
        <v>347.3907337628649</v>
      </c>
      <c r="M56" s="57">
        <f t="shared" si="36"/>
        <v>7576.6902620953124</v>
      </c>
      <c r="N56" s="52"/>
      <c r="O56" s="58">
        <f>'[40]Consumo Diário'!$EP$42</f>
        <v>147811.72200000001</v>
      </c>
      <c r="P56" s="58">
        <f>'[40]Consumo Diário'!$EQ$42</f>
        <v>1638.7689999999998</v>
      </c>
      <c r="Q56" s="58">
        <f t="shared" si="37"/>
        <v>149450.49100000001</v>
      </c>
      <c r="R56" s="54"/>
      <c r="S56" s="40">
        <f t="shared" si="17"/>
        <v>0.94930300856559047</v>
      </c>
      <c r="T56" s="40">
        <f t="shared" si="18"/>
        <v>5.0696991434409616E-2</v>
      </c>
      <c r="V56" s="40">
        <f t="shared" si="19"/>
        <v>0.94066216531645619</v>
      </c>
      <c r="W56" s="40">
        <f t="shared" si="20"/>
        <v>8.6408432491341565E-3</v>
      </c>
      <c r="X56" s="40">
        <f t="shared" si="21"/>
        <v>4.8372537821454509E-2</v>
      </c>
      <c r="Y56" s="40">
        <f t="shared" si="22"/>
        <v>2.3244536129551083E-3</v>
      </c>
    </row>
    <row r="57" spans="1:25" ht="14.3" x14ac:dyDescent="0.25">
      <c r="B57" s="41"/>
      <c r="C57" s="37"/>
      <c r="D57" s="37"/>
      <c r="G57" s="37"/>
      <c r="H57" s="37"/>
      <c r="I57" s="37"/>
      <c r="R57" s="54"/>
    </row>
    <row r="58" spans="1:25" ht="14.3" x14ac:dyDescent="0.25">
      <c r="B58" s="42" t="s">
        <v>60</v>
      </c>
      <c r="C58" s="43">
        <f>AVERAGE(C4:C37)</f>
        <v>124260.23414117651</v>
      </c>
      <c r="D58" s="43">
        <f>AVERAGE(D4:D37)</f>
        <v>983.06500294117632</v>
      </c>
      <c r="E58" s="43">
        <f>AVERAGE(E4:E37)</f>
        <v>125243.29914411766</v>
      </c>
      <c r="G58" s="43">
        <f>AVERAGE(G4:G37)</f>
        <v>4824.7945153646951</v>
      </c>
      <c r="H58" s="43">
        <f>AVERAGE(H4:H37)</f>
        <v>273.48308999600988</v>
      </c>
      <c r="I58" s="43">
        <f>AVERAGE(I4:I37)</f>
        <v>5098.2776053607049</v>
      </c>
      <c r="K58" s="43">
        <f>AVERAGE(K4:K37)</f>
        <v>6454.9421081647215</v>
      </c>
      <c r="L58" s="43">
        <f>AVERAGE(L4:L37)</f>
        <v>286.89269529810758</v>
      </c>
      <c r="M58" s="43">
        <f>AVERAGE(M4:M37)</f>
        <v>6741.8348034628289</v>
      </c>
      <c r="O58" s="43">
        <f>AVERAGE(O4:O37)</f>
        <v>135539.65235294116</v>
      </c>
      <c r="P58" s="43">
        <f>AVERAGE(P4:P37)</f>
        <v>1543.8145294117644</v>
      </c>
      <c r="Q58" s="43">
        <f>AVERAGE(Q4:Q37)</f>
        <v>137083.46688235295</v>
      </c>
      <c r="R58" s="54"/>
      <c r="S58" s="44">
        <f>AVERAGE(S4:S56)</f>
        <v>0.95060967582469458</v>
      </c>
      <c r="T58" s="44">
        <f>AVERAGE(T4:T56)</f>
        <v>4.9390065328559711E-2</v>
      </c>
      <c r="V58" s="42">
        <f>AVERAGE(V4:V35)</f>
        <v>0.94072730434977558</v>
      </c>
      <c r="W58" s="42">
        <f>AVERAGE(W4:W35)</f>
        <v>9.4706279326821647E-3</v>
      </c>
      <c r="X58" s="42">
        <f>AVERAGE(X4:X35)</f>
        <v>4.7691613213741726E-2</v>
      </c>
      <c r="Y58" s="42">
        <f>AVERAGE(Y4:Y35)</f>
        <v>2.1104545038002193E-3</v>
      </c>
    </row>
    <row r="59" spans="1:25" ht="14.3" x14ac:dyDescent="0.25">
      <c r="R59" s="54"/>
    </row>
    <row r="60" spans="1:25" ht="14.3" x14ac:dyDescent="0.25">
      <c r="B60" s="45"/>
    </row>
    <row r="61" spans="1:25" ht="14.3" x14ac:dyDescent="0.25">
      <c r="A61" s="59"/>
      <c r="C61" s="46"/>
      <c r="D61" s="46"/>
      <c r="E61" s="47"/>
    </row>
    <row r="62" spans="1:25" ht="14.3" x14ac:dyDescent="0.25">
      <c r="A62" s="59"/>
      <c r="C62" s="46"/>
      <c r="D62" s="46"/>
      <c r="E62" s="47"/>
    </row>
    <row r="63" spans="1:25" ht="14.3" x14ac:dyDescent="0.25">
      <c r="A63" s="59"/>
      <c r="C63" s="46"/>
      <c r="D63" s="46"/>
      <c r="E63" s="47"/>
    </row>
    <row r="64" spans="1:25" ht="14.3" x14ac:dyDescent="0.25">
      <c r="A64" s="59"/>
      <c r="C64" s="46"/>
      <c r="D64" s="46"/>
      <c r="E64" s="47"/>
    </row>
    <row r="65" spans="2:7" ht="14.3" x14ac:dyDescent="0.25">
      <c r="C65" s="46"/>
      <c r="D65" s="46"/>
      <c r="E65" s="47"/>
    </row>
    <row r="66" spans="2:7" ht="14.3" x14ac:dyDescent="0.25">
      <c r="C66" s="46"/>
      <c r="D66" s="46"/>
      <c r="E66" s="47"/>
    </row>
    <row r="67" spans="2:7" ht="14.3" x14ac:dyDescent="0.25">
      <c r="C67" s="46"/>
      <c r="D67" s="46"/>
      <c r="E67" s="47"/>
    </row>
    <row r="68" spans="2:7" ht="14.3" x14ac:dyDescent="0.25">
      <c r="C68" s="46"/>
      <c r="D68" s="46"/>
      <c r="E68" s="47"/>
    </row>
    <row r="72" spans="2:7" x14ac:dyDescent="0.2">
      <c r="G72" s="48"/>
    </row>
    <row r="78" spans="2:7" ht="14.3" x14ac:dyDescent="0.25">
      <c r="B78" s="101" t="s">
        <v>61</v>
      </c>
      <c r="C78" s="101"/>
      <c r="D78" s="101"/>
      <c r="E78" s="101"/>
    </row>
    <row r="79" spans="2:7" x14ac:dyDescent="0.2">
      <c r="B79" s="32" t="s">
        <v>62</v>
      </c>
      <c r="C79" s="32" t="s">
        <v>63</v>
      </c>
      <c r="D79" s="32" t="s">
        <v>64</v>
      </c>
      <c r="E79" s="32" t="s">
        <v>65</v>
      </c>
    </row>
    <row r="80" spans="2:7" ht="14.3" x14ac:dyDescent="0.25">
      <c r="B80" s="68">
        <v>5</v>
      </c>
      <c r="C80" s="68">
        <f>B80*24*30.5</f>
        <v>3660</v>
      </c>
      <c r="D80" s="68">
        <f>4492/3</f>
        <v>1497.3333333333333</v>
      </c>
      <c r="E80" s="69">
        <f>C80-D80</f>
        <v>2162.666666666667</v>
      </c>
      <c r="G80" s="48"/>
    </row>
    <row r="81" spans="1:7" ht="14.3" x14ac:dyDescent="0.25">
      <c r="A81" s="32" t="s">
        <v>66</v>
      </c>
      <c r="B81" s="47">
        <f>C81/(24*30.5)</f>
        <v>3.5692167577413483</v>
      </c>
      <c r="C81" s="49">
        <f>D81+E81</f>
        <v>2612.666666666667</v>
      </c>
      <c r="D81" s="47">
        <v>450</v>
      </c>
      <c r="E81" s="49">
        <f>E80</f>
        <v>2162.666666666667</v>
      </c>
      <c r="G81" s="48"/>
    </row>
    <row r="82" spans="1:7" x14ac:dyDescent="0.2">
      <c r="D82" s="50" t="s">
        <v>67</v>
      </c>
      <c r="G82" s="48"/>
    </row>
  </sheetData>
  <mergeCells count="3">
    <mergeCell ref="V2:W2"/>
    <mergeCell ref="X2:Y2"/>
    <mergeCell ref="B78:E7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1"/>
  <sheetViews>
    <sheetView workbookViewId="0">
      <selection activeCell="C14" sqref="C14:N14"/>
    </sheetView>
  </sheetViews>
  <sheetFormatPr defaultRowHeight="14.3" x14ac:dyDescent="0.25"/>
  <cols>
    <col min="2" max="2" width="24.125" customWidth="1"/>
    <col min="3" max="3" width="7.75" bestFit="1" customWidth="1"/>
    <col min="4" max="4" width="10.375" bestFit="1" customWidth="1"/>
    <col min="5" max="5" width="7.25" bestFit="1" customWidth="1"/>
    <col min="6" max="6" width="9.125" bestFit="1" customWidth="1"/>
    <col min="16" max="16" width="8.75" style="16"/>
  </cols>
  <sheetData>
    <row r="2" spans="2:17" x14ac:dyDescent="0.25">
      <c r="B2" s="71" t="s">
        <v>45</v>
      </c>
      <c r="C2" s="71" t="s">
        <v>21</v>
      </c>
      <c r="D2" s="71" t="s">
        <v>22</v>
      </c>
      <c r="E2" s="71" t="s">
        <v>23</v>
      </c>
      <c r="F2" s="71" t="s">
        <v>24</v>
      </c>
      <c r="G2" s="71" t="s">
        <v>25</v>
      </c>
      <c r="H2" s="71" t="s">
        <v>26</v>
      </c>
      <c r="I2" s="71" t="s">
        <v>27</v>
      </c>
      <c r="J2" s="71" t="s">
        <v>28</v>
      </c>
      <c r="K2" s="71" t="s">
        <v>29</v>
      </c>
      <c r="L2" s="71" t="s">
        <v>30</v>
      </c>
      <c r="M2" s="71" t="s">
        <v>31</v>
      </c>
      <c r="N2" s="71" t="s">
        <v>32</v>
      </c>
      <c r="Q2" t="s">
        <v>76</v>
      </c>
    </row>
    <row r="3" spans="2:17" ht="14.45" x14ac:dyDescent="0.35">
      <c r="B3" s="74" t="s">
        <v>72</v>
      </c>
      <c r="C3" s="75">
        <v>5</v>
      </c>
      <c r="D3" s="75">
        <v>5</v>
      </c>
      <c r="E3" s="75">
        <v>5</v>
      </c>
      <c r="F3" s="75">
        <v>5</v>
      </c>
      <c r="G3" s="75">
        <v>5</v>
      </c>
      <c r="H3" s="75">
        <v>5</v>
      </c>
      <c r="I3" s="75">
        <v>5</v>
      </c>
      <c r="J3" s="75">
        <v>5</v>
      </c>
      <c r="K3" s="75">
        <v>5</v>
      </c>
      <c r="L3" s="75">
        <v>5</v>
      </c>
      <c r="M3" s="75">
        <v>5</v>
      </c>
      <c r="N3" s="75">
        <v>5</v>
      </c>
      <c r="P3" s="70">
        <v>44562</v>
      </c>
      <c r="Q3">
        <f>'[41]Volume de Energia (1)'!$K$16+'[41]Volume de Energia (1)'!$K$17</f>
        <v>3331.3299999999995</v>
      </c>
    </row>
    <row r="4" spans="2:17" ht="14.45" x14ac:dyDescent="0.35">
      <c r="B4" s="75" t="s">
        <v>73</v>
      </c>
      <c r="C4" s="75">
        <v>744</v>
      </c>
      <c r="D4" s="75">
        <v>696</v>
      </c>
      <c r="E4" s="75">
        <v>744</v>
      </c>
      <c r="F4" s="75">
        <v>720</v>
      </c>
      <c r="G4" s="75">
        <v>744</v>
      </c>
      <c r="H4" s="75">
        <v>720</v>
      </c>
      <c r="I4" s="75">
        <v>744</v>
      </c>
      <c r="J4" s="75">
        <v>744</v>
      </c>
      <c r="K4" s="75">
        <v>720</v>
      </c>
      <c r="L4" s="75">
        <v>744</v>
      </c>
      <c r="M4" s="75">
        <v>720</v>
      </c>
      <c r="N4" s="75">
        <v>744</v>
      </c>
      <c r="P4" s="70">
        <v>44593</v>
      </c>
      <c r="Q4">
        <f>'[42]Volume de Energia (1)'!$K$16+'[42]Volume de Energia (1)'!$K$17</f>
        <v>3145.3729999999996</v>
      </c>
    </row>
    <row r="5" spans="2:17" ht="14.45" x14ac:dyDescent="0.35">
      <c r="B5" s="74" t="s">
        <v>74</v>
      </c>
      <c r="C5" s="75">
        <f>C4*C3</f>
        <v>3720</v>
      </c>
      <c r="D5" s="75">
        <f t="shared" ref="D5:N5" si="0">D4*D3</f>
        <v>3480</v>
      </c>
      <c r="E5" s="75">
        <f t="shared" si="0"/>
        <v>3720</v>
      </c>
      <c r="F5" s="75">
        <f t="shared" si="0"/>
        <v>3600</v>
      </c>
      <c r="G5" s="75">
        <f t="shared" si="0"/>
        <v>3720</v>
      </c>
      <c r="H5" s="75">
        <f t="shared" si="0"/>
        <v>3600</v>
      </c>
      <c r="I5" s="75">
        <f t="shared" si="0"/>
        <v>3720</v>
      </c>
      <c r="J5" s="75">
        <f t="shared" si="0"/>
        <v>3720</v>
      </c>
      <c r="K5" s="75">
        <f t="shared" si="0"/>
        <v>3600</v>
      </c>
      <c r="L5" s="75">
        <f t="shared" si="0"/>
        <v>3720</v>
      </c>
      <c r="M5" s="75">
        <f t="shared" si="0"/>
        <v>3600</v>
      </c>
      <c r="N5" s="75">
        <f t="shared" si="0"/>
        <v>3720</v>
      </c>
      <c r="P5" s="70">
        <v>44621</v>
      </c>
      <c r="Q5">
        <f>'[43]Volume de Energia (1)'!$K$16+'[43]Volume de Energia (1)'!$K$17</f>
        <v>3532.598</v>
      </c>
    </row>
    <row r="6" spans="2:17" x14ac:dyDescent="0.25">
      <c r="B6" s="75" t="s">
        <v>75</v>
      </c>
      <c r="C6" s="76">
        <f>$Q$21</f>
        <v>3357.1663529411767</v>
      </c>
      <c r="D6" s="76">
        <f t="shared" ref="D6:N6" si="1">$Q$21</f>
        <v>3357.1663529411767</v>
      </c>
      <c r="E6" s="76">
        <f t="shared" si="1"/>
        <v>3357.1663529411767</v>
      </c>
      <c r="F6" s="76">
        <f t="shared" si="1"/>
        <v>3357.1663529411767</v>
      </c>
      <c r="G6" s="76">
        <f t="shared" si="1"/>
        <v>3357.1663529411767</v>
      </c>
      <c r="H6" s="76">
        <f t="shared" si="1"/>
        <v>3357.1663529411767</v>
      </c>
      <c r="I6" s="76">
        <f t="shared" si="1"/>
        <v>3357.1663529411767</v>
      </c>
      <c r="J6" s="76">
        <f t="shared" si="1"/>
        <v>3357.1663529411767</v>
      </c>
      <c r="K6" s="76">
        <f t="shared" si="1"/>
        <v>3357.1663529411767</v>
      </c>
      <c r="L6" s="76">
        <f t="shared" si="1"/>
        <v>3357.1663529411767</v>
      </c>
      <c r="M6" s="76">
        <f t="shared" si="1"/>
        <v>3357.1663529411767</v>
      </c>
      <c r="N6" s="76">
        <f t="shared" si="1"/>
        <v>3357.1663529411767</v>
      </c>
      <c r="P6" s="70">
        <v>44652</v>
      </c>
      <c r="Q6">
        <f>'[44]Volume de Energia (1)'!$K$16+'[44]Volume de Energia (1)'!$K$17</f>
        <v>3497.8580000000002</v>
      </c>
    </row>
    <row r="7" spans="2:17" ht="14.45" x14ac:dyDescent="0.35">
      <c r="B7" s="74" t="s">
        <v>69</v>
      </c>
      <c r="C7" s="76">
        <f>C6*3%</f>
        <v>100.7149905882353</v>
      </c>
      <c r="D7" s="76">
        <f t="shared" ref="D7:N7" si="2">D6*3%</f>
        <v>100.7149905882353</v>
      </c>
      <c r="E7" s="76">
        <f t="shared" si="2"/>
        <v>100.7149905882353</v>
      </c>
      <c r="F7" s="76">
        <f t="shared" si="2"/>
        <v>100.7149905882353</v>
      </c>
      <c r="G7" s="76">
        <f t="shared" si="2"/>
        <v>100.7149905882353</v>
      </c>
      <c r="H7" s="76">
        <f t="shared" si="2"/>
        <v>100.7149905882353</v>
      </c>
      <c r="I7" s="76">
        <f t="shared" si="2"/>
        <v>100.7149905882353</v>
      </c>
      <c r="J7" s="76">
        <f t="shared" si="2"/>
        <v>100.7149905882353</v>
      </c>
      <c r="K7" s="76">
        <f t="shared" si="2"/>
        <v>100.7149905882353</v>
      </c>
      <c r="L7" s="76">
        <f t="shared" si="2"/>
        <v>100.7149905882353</v>
      </c>
      <c r="M7" s="76">
        <f t="shared" si="2"/>
        <v>100.7149905882353</v>
      </c>
      <c r="N7" s="76">
        <f t="shared" si="2"/>
        <v>100.7149905882353</v>
      </c>
      <c r="P7" s="70">
        <v>44682</v>
      </c>
      <c r="Q7">
        <f>'[45]Volume de Energia (1)'!$K$16+'[45]Volume de Energia (1)'!$K$17</f>
        <v>3500.1209999999996</v>
      </c>
    </row>
    <row r="8" spans="2:17" ht="14.45" x14ac:dyDescent="0.35">
      <c r="B8" s="75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P8" s="70">
        <v>44713</v>
      </c>
      <c r="Q8">
        <f>'[46]Volume de Energia (1)'!$K$16+'[46]Volume de Energia (1)'!$K$17</f>
        <v>3364.7049999999995</v>
      </c>
    </row>
    <row r="9" spans="2:17" ht="14.45" x14ac:dyDescent="0.35">
      <c r="B9" s="74" t="s">
        <v>77</v>
      </c>
      <c r="C9" s="76">
        <f>C5-(C6+C7)</f>
        <v>262.11865647058812</v>
      </c>
      <c r="D9" s="76">
        <f t="shared" ref="D9:N9" si="3">D5-(D6+D7)</f>
        <v>22.118656470588121</v>
      </c>
      <c r="E9" s="76">
        <f t="shared" si="3"/>
        <v>262.11865647058812</v>
      </c>
      <c r="F9" s="76">
        <f t="shared" si="3"/>
        <v>142.11865647058812</v>
      </c>
      <c r="G9" s="76">
        <f t="shared" si="3"/>
        <v>262.11865647058812</v>
      </c>
      <c r="H9" s="76">
        <f t="shared" si="3"/>
        <v>142.11865647058812</v>
      </c>
      <c r="I9" s="76">
        <f t="shared" si="3"/>
        <v>262.11865647058812</v>
      </c>
      <c r="J9" s="76">
        <f t="shared" si="3"/>
        <v>262.11865647058812</v>
      </c>
      <c r="K9" s="76">
        <f t="shared" si="3"/>
        <v>142.11865647058812</v>
      </c>
      <c r="L9" s="76">
        <f t="shared" si="3"/>
        <v>262.11865647058812</v>
      </c>
      <c r="M9" s="76">
        <f t="shared" si="3"/>
        <v>142.11865647058812</v>
      </c>
      <c r="N9" s="76">
        <f t="shared" si="3"/>
        <v>262.11865647058812</v>
      </c>
      <c r="P9" s="70">
        <v>44743</v>
      </c>
      <c r="Q9">
        <f>'[47]Volume de Energia (1)'!$K$16+'[47]Volume de Energia (1)'!$K$17</f>
        <v>3293.4392000000003</v>
      </c>
    </row>
    <row r="10" spans="2:17" ht="14.45" x14ac:dyDescent="0.35"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P10" s="70">
        <v>44774</v>
      </c>
      <c r="Q10">
        <f>'[48]Volume de Energia (1)'!$K$16+'[48]Volume de Energia (1)'!$K$17</f>
        <v>3526.8398000000002</v>
      </c>
    </row>
    <row r="11" spans="2:17" ht="14.45" x14ac:dyDescent="0.35">
      <c r="B11" s="72" t="s">
        <v>78</v>
      </c>
      <c r="C11" s="73">
        <f>C6/C4</f>
        <v>4.5123203668564207</v>
      </c>
      <c r="D11" s="73">
        <f t="shared" ref="D11:N11" si="4">D6/D4</f>
        <v>4.8235148749154835</v>
      </c>
      <c r="E11" s="73">
        <f t="shared" si="4"/>
        <v>4.5123203668564207</v>
      </c>
      <c r="F11" s="73">
        <f t="shared" si="4"/>
        <v>4.6627310457516344</v>
      </c>
      <c r="G11" s="73">
        <f t="shared" si="4"/>
        <v>4.5123203668564207</v>
      </c>
      <c r="H11" s="73">
        <f t="shared" si="4"/>
        <v>4.6627310457516344</v>
      </c>
      <c r="I11" s="73">
        <f t="shared" si="4"/>
        <v>4.5123203668564207</v>
      </c>
      <c r="J11" s="73">
        <f t="shared" si="4"/>
        <v>4.5123203668564207</v>
      </c>
      <c r="K11" s="73">
        <f t="shared" si="4"/>
        <v>4.6627310457516344</v>
      </c>
      <c r="L11" s="73">
        <f t="shared" si="4"/>
        <v>4.5123203668564207</v>
      </c>
      <c r="M11" s="73">
        <f t="shared" si="4"/>
        <v>4.6627310457516344</v>
      </c>
      <c r="N11" s="73">
        <f t="shared" si="4"/>
        <v>4.5123203668564207</v>
      </c>
      <c r="P11" s="70">
        <v>44805</v>
      </c>
      <c r="Q11">
        <f>'[49]Volume de Energia (1)'!$K$16+'[49]Volume de Energia (1)'!$K$17</f>
        <v>3252.3249999999998</v>
      </c>
    </row>
    <row r="12" spans="2:17" ht="14.45" x14ac:dyDescent="0.35">
      <c r="P12" s="70">
        <v>44835</v>
      </c>
      <c r="Q12">
        <f>'[50]Volume de Energia (1)'!$K$16+'[50]Volume de Energia (1)'!$K$17</f>
        <v>3370.8270000000002</v>
      </c>
    </row>
    <row r="13" spans="2:17" ht="14.45" x14ac:dyDescent="0.35">
      <c r="C13" s="102" t="s">
        <v>85</v>
      </c>
      <c r="D13" s="102"/>
      <c r="E13" s="102"/>
      <c r="F13" s="102" t="s">
        <v>86</v>
      </c>
      <c r="G13" s="102"/>
      <c r="H13" s="102"/>
      <c r="I13" s="102" t="s">
        <v>87</v>
      </c>
      <c r="J13" s="102"/>
      <c r="K13" s="102"/>
      <c r="L13" s="102" t="s">
        <v>88</v>
      </c>
      <c r="M13" s="102"/>
      <c r="N13" s="102"/>
      <c r="P13" s="70">
        <v>44866</v>
      </c>
      <c r="Q13">
        <f>'[51]Volume de Energia (1)'!$K$16+'[51]Volume de Energia (1)'!$K$17</f>
        <v>3295.6379999999999</v>
      </c>
    </row>
    <row r="14" spans="2:17" ht="14.45" x14ac:dyDescent="0.35">
      <c r="C14" s="103">
        <f>SUM(C6:E6)/SUM(C4:E4)</f>
        <v>4.6114922430510674</v>
      </c>
      <c r="D14" s="103"/>
      <c r="E14" s="103"/>
      <c r="F14" s="103">
        <f>SUM(F6:H6)/SUM(F4:H4)</f>
        <v>4.6114922430510674</v>
      </c>
      <c r="G14" s="103"/>
      <c r="H14" s="103"/>
      <c r="I14" s="103">
        <f>SUM(I6:K6)/SUM(I4:K4)</f>
        <v>4.5613673273657298</v>
      </c>
      <c r="J14" s="103"/>
      <c r="K14" s="103"/>
      <c r="L14" s="103">
        <f>SUM(L6:N6)/SUM(L4:N4)</f>
        <v>4.5613673273657298</v>
      </c>
      <c r="M14" s="103"/>
      <c r="N14" s="103"/>
      <c r="P14" s="70">
        <v>44896</v>
      </c>
      <c r="Q14">
        <f>'[52]Volume de Energia (1)'!$K$16+'[52]Volume de Energia (1)'!$K$17</f>
        <v>3311.3110000000001</v>
      </c>
    </row>
    <row r="15" spans="2:17" ht="14.45" x14ac:dyDescent="0.35">
      <c r="P15" s="70">
        <v>44927</v>
      </c>
      <c r="Q15">
        <f>'[53]Volume de Energia (1)'!$K$16+'[53]Volume de Energia (1)'!$K$17</f>
        <v>3246.8339999999998</v>
      </c>
    </row>
    <row r="16" spans="2:17" ht="14.45" x14ac:dyDescent="0.35">
      <c r="P16" s="70">
        <v>44958</v>
      </c>
      <c r="Q16">
        <f>'[54]Volume de Energia (1)'!$K$16+'[54]Volume de Energia (1)'!$K$17</f>
        <v>2943.5279999999998</v>
      </c>
    </row>
    <row r="17" spans="16:17" ht="14.45" x14ac:dyDescent="0.35">
      <c r="P17" s="70">
        <v>44986</v>
      </c>
      <c r="Q17">
        <f>'[55]Volume de Energia (1)'!$K$16+'[55]Volume de Energia (1)'!$K$17</f>
        <v>3553.12</v>
      </c>
    </row>
    <row r="18" spans="16:17" ht="14.45" x14ac:dyDescent="0.35">
      <c r="P18" s="70">
        <v>45017</v>
      </c>
      <c r="Q18">
        <f>'[56]Volume de Energia (1)'!$K$16+'[56]Volume de Energia (1)'!$K$17</f>
        <v>3300.6709999999998</v>
      </c>
    </row>
    <row r="19" spans="16:17" ht="14.45" x14ac:dyDescent="0.35">
      <c r="P19" s="70">
        <v>45047</v>
      </c>
      <c r="Q19">
        <f>'[57]Volume de Energia (1)'!$K$16+'[57]Volume de Energia (1)'!$K$17</f>
        <v>3605.31</v>
      </c>
    </row>
    <row r="21" spans="16:17" ht="14.45" x14ac:dyDescent="0.35">
      <c r="Q21">
        <f>AVERAGE(Q3:Q19)</f>
        <v>3357.1663529411767</v>
      </c>
    </row>
  </sheetData>
  <mergeCells count="8">
    <mergeCell ref="C13:E13"/>
    <mergeCell ref="F13:H13"/>
    <mergeCell ref="I13:K13"/>
    <mergeCell ref="L13:N13"/>
    <mergeCell ref="C14:E14"/>
    <mergeCell ref="F14:H14"/>
    <mergeCell ref="I14:K14"/>
    <mergeCell ref="L14:N1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2"/>
  <sheetViews>
    <sheetView workbookViewId="0">
      <selection activeCell="D4" sqref="D4:D6"/>
    </sheetView>
  </sheetViews>
  <sheetFormatPr defaultRowHeight="14.3" x14ac:dyDescent="0.25"/>
  <cols>
    <col min="2" max="2" width="14.75" customWidth="1"/>
    <col min="3" max="3" width="14.5" style="16" customWidth="1"/>
    <col min="4" max="6" width="10.125" bestFit="1" customWidth="1"/>
  </cols>
  <sheetData>
    <row r="1" spans="2:6" x14ac:dyDescent="0.25">
      <c r="D1" s="88">
        <v>744</v>
      </c>
      <c r="E1" s="88">
        <v>720</v>
      </c>
      <c r="F1" s="88">
        <v>744</v>
      </c>
    </row>
    <row r="2" spans="2:6" x14ac:dyDescent="0.25">
      <c r="B2" s="105" t="s">
        <v>96</v>
      </c>
      <c r="C2" s="105"/>
      <c r="D2" s="91" t="s">
        <v>30</v>
      </c>
      <c r="E2" s="91" t="s">
        <v>31</v>
      </c>
      <c r="F2" s="91" t="s">
        <v>32</v>
      </c>
    </row>
    <row r="3" spans="2:6" x14ac:dyDescent="0.25">
      <c r="B3" s="106" t="s">
        <v>95</v>
      </c>
      <c r="C3" s="87" t="s">
        <v>35</v>
      </c>
      <c r="D3" s="87">
        <v>90</v>
      </c>
      <c r="E3" s="87">
        <v>90</v>
      </c>
      <c r="F3" s="87">
        <v>90</v>
      </c>
    </row>
    <row r="4" spans="2:6" x14ac:dyDescent="0.25">
      <c r="B4" s="106"/>
      <c r="C4" s="87" t="s">
        <v>89</v>
      </c>
      <c r="D4" s="87">
        <v>30</v>
      </c>
      <c r="E4" s="87">
        <v>30</v>
      </c>
      <c r="F4" s="87">
        <v>30</v>
      </c>
    </row>
    <row r="5" spans="2:6" x14ac:dyDescent="0.25">
      <c r="B5" s="106"/>
      <c r="C5" s="87" t="s">
        <v>90</v>
      </c>
      <c r="D5" s="87">
        <v>80</v>
      </c>
      <c r="E5" s="87">
        <v>80</v>
      </c>
      <c r="F5" s="87">
        <v>80</v>
      </c>
    </row>
    <row r="6" spans="2:6" x14ac:dyDescent="0.25">
      <c r="B6" s="106"/>
      <c r="C6" s="87" t="s">
        <v>91</v>
      </c>
      <c r="D6" s="87">
        <v>8.6</v>
      </c>
      <c r="E6" s="87">
        <v>8.6</v>
      </c>
      <c r="F6" s="87">
        <v>8.6</v>
      </c>
    </row>
    <row r="7" spans="2:6" x14ac:dyDescent="0.25">
      <c r="B7" s="106" t="s">
        <v>94</v>
      </c>
      <c r="C7" s="87" t="s">
        <v>92</v>
      </c>
      <c r="D7" s="87">
        <v>5</v>
      </c>
      <c r="E7" s="87">
        <v>5</v>
      </c>
      <c r="F7" s="87">
        <v>5</v>
      </c>
    </row>
    <row r="8" spans="2:6" x14ac:dyDescent="0.25">
      <c r="B8" s="106"/>
      <c r="C8" s="87" t="s">
        <v>93</v>
      </c>
      <c r="D8" s="87">
        <v>0.9</v>
      </c>
      <c r="E8" s="87">
        <v>0.9</v>
      </c>
      <c r="F8" s="87">
        <v>0.9</v>
      </c>
    </row>
    <row r="11" spans="2:6" x14ac:dyDescent="0.25">
      <c r="B11" s="105" t="s">
        <v>37</v>
      </c>
      <c r="C11" s="105"/>
      <c r="D11" s="91" t="s">
        <v>30</v>
      </c>
      <c r="E11" s="91" t="s">
        <v>31</v>
      </c>
      <c r="F11" s="91" t="s">
        <v>32</v>
      </c>
    </row>
    <row r="12" spans="2:6" x14ac:dyDescent="0.25">
      <c r="B12" s="106" t="s">
        <v>95</v>
      </c>
      <c r="C12" s="87" t="s">
        <v>35</v>
      </c>
      <c r="D12" s="89">
        <f>D3*$D$1</f>
        <v>66960</v>
      </c>
      <c r="E12" s="89">
        <f>E3*$E$1</f>
        <v>64800</v>
      </c>
      <c r="F12" s="89">
        <f>F3*$F$1</f>
        <v>66960</v>
      </c>
    </row>
    <row r="13" spans="2:6" x14ac:dyDescent="0.25">
      <c r="B13" s="106"/>
      <c r="C13" s="87" t="s">
        <v>89</v>
      </c>
      <c r="D13" s="89">
        <f t="shared" ref="D13:D17" si="0">D4*$D$1</f>
        <v>22320</v>
      </c>
      <c r="E13" s="89">
        <f t="shared" ref="E13:E17" si="1">E4*$E$1</f>
        <v>21600</v>
      </c>
      <c r="F13" s="89">
        <f t="shared" ref="F13:F17" si="2">F4*$F$1</f>
        <v>22320</v>
      </c>
    </row>
    <row r="14" spans="2:6" x14ac:dyDescent="0.25">
      <c r="B14" s="106"/>
      <c r="C14" s="87" t="s">
        <v>90</v>
      </c>
      <c r="D14" s="89">
        <f t="shared" si="0"/>
        <v>59520</v>
      </c>
      <c r="E14" s="89">
        <f t="shared" si="1"/>
        <v>57600</v>
      </c>
      <c r="F14" s="89">
        <f t="shared" si="2"/>
        <v>59520</v>
      </c>
    </row>
    <row r="15" spans="2:6" x14ac:dyDescent="0.25">
      <c r="B15" s="106"/>
      <c r="C15" s="87" t="s">
        <v>91</v>
      </c>
      <c r="D15" s="89">
        <f t="shared" si="0"/>
        <v>6398.4</v>
      </c>
      <c r="E15" s="89">
        <f t="shared" si="1"/>
        <v>6192</v>
      </c>
      <c r="F15" s="89">
        <f t="shared" si="2"/>
        <v>6398.4</v>
      </c>
    </row>
    <row r="16" spans="2:6" x14ac:dyDescent="0.25">
      <c r="B16" s="106" t="s">
        <v>94</v>
      </c>
      <c r="C16" s="87" t="s">
        <v>92</v>
      </c>
      <c r="D16" s="89">
        <f t="shared" si="0"/>
        <v>3720</v>
      </c>
      <c r="E16" s="89">
        <f t="shared" si="1"/>
        <v>3600</v>
      </c>
      <c r="F16" s="89">
        <f t="shared" si="2"/>
        <v>3720</v>
      </c>
    </row>
    <row r="17" spans="2:6" x14ac:dyDescent="0.25">
      <c r="B17" s="106"/>
      <c r="C17" s="87" t="s">
        <v>93</v>
      </c>
      <c r="D17" s="89">
        <f t="shared" si="0"/>
        <v>669.6</v>
      </c>
      <c r="E17" s="89">
        <f t="shared" si="1"/>
        <v>648</v>
      </c>
      <c r="F17" s="89">
        <f t="shared" si="2"/>
        <v>669.6</v>
      </c>
    </row>
    <row r="20" spans="2:6" x14ac:dyDescent="0.25">
      <c r="B20" s="105" t="s">
        <v>97</v>
      </c>
      <c r="C20" s="105"/>
      <c r="D20" s="91" t="s">
        <v>30</v>
      </c>
      <c r="E20" s="91" t="s">
        <v>31</v>
      </c>
      <c r="F20" s="91" t="s">
        <v>32</v>
      </c>
    </row>
    <row r="21" spans="2:6" x14ac:dyDescent="0.25">
      <c r="B21" s="106" t="s">
        <v>95</v>
      </c>
      <c r="C21" s="87" t="s">
        <v>35</v>
      </c>
      <c r="D21" s="90">
        <v>74.396850000000001</v>
      </c>
      <c r="E21" s="90">
        <v>74.396850000000001</v>
      </c>
      <c r="F21" s="90">
        <v>74.396850000000001</v>
      </c>
    </row>
    <row r="22" spans="2:6" x14ac:dyDescent="0.25">
      <c r="B22" s="106"/>
      <c r="C22" s="87" t="s">
        <v>89</v>
      </c>
      <c r="D22" s="90">
        <v>199.84965</v>
      </c>
      <c r="E22" s="90">
        <v>199.84965</v>
      </c>
      <c r="F22" s="90">
        <v>199.84965</v>
      </c>
    </row>
    <row r="23" spans="2:6" x14ac:dyDescent="0.25">
      <c r="B23" s="106"/>
      <c r="C23" s="87" t="s">
        <v>90</v>
      </c>
      <c r="D23" s="90">
        <v>118.27447500000001</v>
      </c>
      <c r="E23" s="90">
        <v>118.27447500000001</v>
      </c>
      <c r="F23" s="90">
        <v>118.27447500000001</v>
      </c>
    </row>
    <row r="24" spans="2:6" x14ac:dyDescent="0.25">
      <c r="B24" s="106"/>
      <c r="C24" s="87" t="s">
        <v>91</v>
      </c>
      <c r="D24" s="90">
        <f>86.61*0.9075</f>
        <v>78.598574999999997</v>
      </c>
      <c r="E24" s="90">
        <f t="shared" ref="E24:F24" si="3">86.61*0.9075</f>
        <v>78.598574999999997</v>
      </c>
      <c r="F24" s="90">
        <f t="shared" si="3"/>
        <v>78.598574999999997</v>
      </c>
    </row>
    <row r="25" spans="2:6" x14ac:dyDescent="0.25">
      <c r="B25" s="106" t="s">
        <v>94</v>
      </c>
      <c r="C25" s="87" t="s">
        <v>92</v>
      </c>
      <c r="D25" s="90">
        <v>97.193249999999992</v>
      </c>
      <c r="E25" s="90">
        <v>97.193249999999992</v>
      </c>
      <c r="F25" s="90">
        <v>97.193249999999992</v>
      </c>
    </row>
    <row r="26" spans="2:6" x14ac:dyDescent="0.25">
      <c r="B26" s="106"/>
      <c r="C26" s="87" t="s">
        <v>93</v>
      </c>
      <c r="D26" s="90">
        <v>95.060625000000002</v>
      </c>
      <c r="E26" s="90">
        <v>95.060625000000002</v>
      </c>
      <c r="F26" s="90">
        <v>95.060625000000002</v>
      </c>
    </row>
    <row r="29" spans="2:6" x14ac:dyDescent="0.25">
      <c r="B29" s="105" t="s">
        <v>98</v>
      </c>
      <c r="C29" s="105"/>
      <c r="D29" s="91" t="s">
        <v>30</v>
      </c>
      <c r="E29" s="91" t="s">
        <v>31</v>
      </c>
      <c r="F29" s="91" t="s">
        <v>32</v>
      </c>
    </row>
    <row r="30" spans="2:6" x14ac:dyDescent="0.25">
      <c r="B30" s="104" t="s">
        <v>101</v>
      </c>
      <c r="C30" s="104"/>
      <c r="D30" s="92">
        <f>SUMPRODUCT(D13:D15,D22:D24)/SUM(D13:D15)</f>
        <v>136.03200037942668</v>
      </c>
      <c r="E30" s="92">
        <f t="shared" ref="E30:F30" si="4">SUMPRODUCT(E13:E15,E22:E24)/SUM(E13:E15)</f>
        <v>136.03200037942662</v>
      </c>
      <c r="F30" s="92">
        <f t="shared" si="4"/>
        <v>136.03200037942668</v>
      </c>
    </row>
    <row r="31" spans="2:6" x14ac:dyDescent="0.25">
      <c r="B31" s="104" t="s">
        <v>99</v>
      </c>
      <c r="C31" s="104"/>
      <c r="D31" s="92">
        <f>D25</f>
        <v>97.193249999999992</v>
      </c>
      <c r="E31" s="92">
        <f t="shared" ref="E31:F31" si="5">E25</f>
        <v>97.193249999999992</v>
      </c>
      <c r="F31" s="92">
        <f t="shared" si="5"/>
        <v>97.193249999999992</v>
      </c>
    </row>
    <row r="32" spans="2:6" x14ac:dyDescent="0.25">
      <c r="B32" s="104" t="s">
        <v>100</v>
      </c>
      <c r="C32" s="104"/>
      <c r="D32" s="92">
        <f>D26</f>
        <v>95.060625000000002</v>
      </c>
      <c r="E32" s="92">
        <f t="shared" ref="E32:F32" si="6">E26</f>
        <v>95.060625000000002</v>
      </c>
      <c r="F32" s="92">
        <f t="shared" si="6"/>
        <v>95.060625000000002</v>
      </c>
    </row>
  </sheetData>
  <mergeCells count="13">
    <mergeCell ref="B16:B17"/>
    <mergeCell ref="B7:B8"/>
    <mergeCell ref="B3:B6"/>
    <mergeCell ref="B2:C2"/>
    <mergeCell ref="B11:C11"/>
    <mergeCell ref="B12:B15"/>
    <mergeCell ref="B30:C30"/>
    <mergeCell ref="B31:C31"/>
    <mergeCell ref="B32:C32"/>
    <mergeCell ref="B20:C20"/>
    <mergeCell ref="B21:B24"/>
    <mergeCell ref="B25:B26"/>
    <mergeCell ref="B29:C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Premissas SPS 2024 - Trimestral</vt:lpstr>
      <vt:lpstr>Premissas SPS 2024 - Mensal</vt:lpstr>
      <vt:lpstr>Volumes Ajustados</vt:lpstr>
      <vt:lpstr>Energia Aux - Met</vt:lpstr>
      <vt:lpstr>Energia Aux - Min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Wiclef Humberto Vieira Martins</dc:creator>
  <cp:lastModifiedBy>Wiclef Humberto Vieira Martins</cp:lastModifiedBy>
  <dcterms:created xsi:type="dcterms:W3CDTF">2023-06-30T17:25:01Z</dcterms:created>
  <dcterms:modified xsi:type="dcterms:W3CDTF">2024-10-01T16:19:48Z</dcterms:modified>
</cp:coreProperties>
</file>