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âmbio SPS" sheetId="1" state="visible" r:id="rId2"/>
    <sheet name="Base Câmbio Bacen" sheetId="2" state="visible" r:id="rId3"/>
    <sheet name="Base Câmbio Spot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<sst xmlns="http://schemas.openxmlformats.org/spreadsheetml/2006/main" count="19" uniqueCount="15">
  <si>
    <t xml:space="preserve">Premissa P/ SPS 2026</t>
  </si>
  <si>
    <t xml:space="preserve">und</t>
  </si>
  <si>
    <t xml:space="preserve">Média Jul - Dez</t>
  </si>
  <si>
    <t xml:space="preserve">INDICADOR</t>
  </si>
  <si>
    <t xml:space="preserve">T1</t>
  </si>
  <si>
    <t xml:space="preserve">T2</t>
  </si>
  <si>
    <t xml:space="preserve">T3</t>
  </si>
  <si>
    <t xml:space="preserve">T4</t>
  </si>
  <si>
    <t xml:space="preserve">Taxa Cambial Bacen 04/07 (Período de 07/06/2025 a 07/07/2025 - Base: Expectativas informadas nos últimos 30 dias)</t>
  </si>
  <si>
    <t xml:space="preserve">R$/USD</t>
  </si>
  <si>
    <t xml:space="preserve">Câmbio P/ SPS 2026</t>
  </si>
  <si>
    <t xml:space="preserve">Taxa Spot 07.07</t>
  </si>
  <si>
    <t xml:space="preserve">Média Bacen x Spot</t>
  </si>
  <si>
    <t xml:space="preserve">Câmbio - R$/US$ - Média - Período de 07/06/2025 a 07/07/2025 - Base: Expectativas informadas nos últimos 30 dias</t>
  </si>
  <si>
    <t xml:space="preserve">Data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</si>
</sst>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m/yy"/>
    <numFmt numFmtId="166" formatCode="0.00"/>
    <numFmt numFmtId="167" formatCode="_-* #,##0.00_-;\-* #,##0.00_-;_-* \-??_-;_-@_-"/>
    <numFmt numFmtId="168" formatCode="d/m/yyyy"/>
    <numFmt numFmtId="169" formatCode="0.0000"/>
  </numFmts>
  <fonts count="13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2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AEEFB"/>
        <bgColor rgb="FFCCFFFF"/>
      </patternFill>
    </fill>
    <fill>
      <patternFill patternType="solid">
        <fgColor rgb="FFD9F2D0"/>
        <bgColor rgb="FFCAEEFB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1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21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4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2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1" xfId="20"/>
    <cellStyle name="Normal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AEE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29</xdr:col>
      <xdr:colOff>200160</xdr:colOff>
      <xdr:row>19</xdr:row>
      <xdr:rowOff>66600</xdr:rowOff>
    </xdr:from>
    <xdr:to>
      <xdr:col>41</xdr:col>
      <xdr:colOff>284400</xdr:colOff>
      <xdr:row>37</xdr:row>
      <xdr:rowOff>138960</xdr:rowOff>
    </xdr:to>
    <xdr:pic>
      <xdr:nvPicPr>
        <xdr:cNvPr id="0" name="Imagem 2" descr=""/>
        <xdr:cNvPicPr/>
      </xdr:nvPicPr>
      <xdr:blipFill>
        <a:blip r:embed="rId1"/>
        <a:stretch/>
      </xdr:blipFill>
      <xdr:spPr>
        <a:xfrm>
          <a:off x="9925200" y="3686040"/>
          <a:ext cx="9190080" cy="3501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38160</xdr:colOff>
      <xdr:row>0</xdr:row>
      <xdr:rowOff>0</xdr:rowOff>
    </xdr:from>
    <xdr:to>
      <xdr:col>17</xdr:col>
      <xdr:colOff>95040</xdr:colOff>
      <xdr:row>25</xdr:row>
      <xdr:rowOff>168480</xdr:rowOff>
    </xdr:to>
    <xdr:pic>
      <xdr:nvPicPr>
        <xdr:cNvPr id="1" name="Imagem 1" descr=""/>
        <xdr:cNvPicPr/>
      </xdr:nvPicPr>
      <xdr:blipFill>
        <a:blip r:embed="rId1"/>
        <a:stretch/>
      </xdr:blipFill>
      <xdr:spPr>
        <a:xfrm>
          <a:off x="38160" y="0"/>
          <a:ext cx="12956760" cy="49309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3:Q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12" activeCellId="0" sqref="T12"/>
    </sheetView>
  </sheetViews>
  <sheetFormatPr defaultColWidth="8.5390625" defaultRowHeight="15" zeroHeight="false" outlineLevelRow="0" outlineLevelCol="1"/>
  <cols>
    <col collapsed="false" customWidth="true" hidden="false" outlineLevel="0" max="2" min="2" style="0" width="41.71"/>
    <col collapsed="false" customWidth="true" hidden="false" outlineLevel="0" max="3" min="3" style="0" width="7"/>
    <col collapsed="false" customWidth="true" hidden="true" outlineLevel="1" max="9" min="4" style="0" width="9.14"/>
    <col collapsed="false" customWidth="true" hidden="false" outlineLevel="0" max="10" min="10" style="0" width="14.71"/>
    <col collapsed="false" customWidth="true" hidden="false" outlineLevel="0" max="12" min="12" style="0" width="27.72"/>
    <col collapsed="false" customWidth="true" hidden="false" outlineLevel="0" max="13" min="13" style="0" width="8.14"/>
    <col collapsed="false" customWidth="true" hidden="false" outlineLevel="0" max="17" min="14" style="0" width="7.57"/>
    <col collapsed="false" customWidth="true" hidden="false" outlineLevel="0" max="18" min="18" style="0" width="20.57"/>
  </cols>
  <sheetData>
    <row r="3" customFormat="false" ht="15.75" hidden="false" customHeight="false" outlineLevel="0" collapsed="false">
      <c r="B3" s="1" t="s">
        <v>0</v>
      </c>
      <c r="C3" s="1" t="s">
        <v>1</v>
      </c>
      <c r="D3" s="2" t="n">
        <v>45839</v>
      </c>
      <c r="E3" s="2" t="n">
        <v>45870</v>
      </c>
      <c r="F3" s="2" t="n">
        <v>45901</v>
      </c>
      <c r="G3" s="2" t="n">
        <v>45931</v>
      </c>
      <c r="H3" s="2" t="n">
        <v>45962</v>
      </c>
      <c r="I3" s="2" t="n">
        <v>45992</v>
      </c>
      <c r="J3" s="3" t="s">
        <v>2</v>
      </c>
      <c r="K3" s="4"/>
      <c r="L3" s="5" t="s">
        <v>3</v>
      </c>
      <c r="M3" s="5" t="s">
        <v>1</v>
      </c>
      <c r="N3" s="6" t="s">
        <v>4</v>
      </c>
      <c r="O3" s="6" t="s">
        <v>5</v>
      </c>
      <c r="P3" s="6" t="s">
        <v>6</v>
      </c>
      <c r="Q3" s="6" t="s">
        <v>7</v>
      </c>
    </row>
    <row r="4" customFormat="false" ht="38.25" hidden="false" customHeight="false" outlineLevel="0" collapsed="false">
      <c r="B4" s="7" t="s">
        <v>8</v>
      </c>
      <c r="C4" s="8" t="s">
        <v>9</v>
      </c>
      <c r="D4" s="9" t="n">
        <f aca="false">'Base Câmbio Bacen'!C21</f>
        <v>5.5859</v>
      </c>
      <c r="E4" s="9" t="n">
        <f aca="false">'Base Câmbio Bacen'!D21</f>
        <v>5.6096</v>
      </c>
      <c r="F4" s="9" t="n">
        <f aca="false">'Base Câmbio Bacen'!E21</f>
        <v>5.6279</v>
      </c>
      <c r="G4" s="9" t="n">
        <f aca="false">'Base Câmbio Bacen'!F21</f>
        <v>5.6444</v>
      </c>
      <c r="H4" s="9" t="n">
        <f aca="false">'Base Câmbio Bacen'!G21</f>
        <v>5.6564</v>
      </c>
      <c r="I4" s="9" t="n">
        <f aca="false">'Base Câmbio Bacen'!H21</f>
        <v>5.6738</v>
      </c>
      <c r="J4" s="10" t="n">
        <f aca="false">AVERAGE(D4:I4)</f>
        <v>5.633</v>
      </c>
      <c r="K4" s="4"/>
      <c r="L4" s="11" t="s">
        <v>10</v>
      </c>
      <c r="M4" s="12" t="s">
        <v>9</v>
      </c>
      <c r="N4" s="13" t="n">
        <f aca="false">J8</f>
        <v>5.5565</v>
      </c>
      <c r="O4" s="13" t="n">
        <f aca="false">N4</f>
        <v>5.5565</v>
      </c>
      <c r="P4" s="13" t="n">
        <f aca="false">O4</f>
        <v>5.5565</v>
      </c>
      <c r="Q4" s="13" t="n">
        <f aca="false">P4</f>
        <v>5.5565</v>
      </c>
    </row>
    <row r="5" customFormat="false" ht="4.5" hidden="false" customHeight="true" outlineLevel="0" collapsed="false">
      <c r="B5" s="14"/>
      <c r="C5" s="15"/>
      <c r="D5" s="16"/>
      <c r="E5" s="16"/>
      <c r="F5" s="16"/>
      <c r="G5" s="16"/>
      <c r="H5" s="16"/>
      <c r="I5" s="16"/>
      <c r="J5" s="16"/>
      <c r="K5" s="4"/>
      <c r="L5" s="4"/>
    </row>
    <row r="6" customFormat="false" ht="15" hidden="false" customHeight="false" outlineLevel="0" collapsed="false">
      <c r="B6" s="17" t="s">
        <v>11</v>
      </c>
      <c r="C6" s="18" t="s">
        <v>9</v>
      </c>
      <c r="D6" s="19"/>
      <c r="E6" s="19"/>
      <c r="F6" s="19"/>
      <c r="G6" s="19"/>
      <c r="H6" s="19"/>
      <c r="I6" s="19"/>
      <c r="J6" s="20" t="n">
        <v>5.48</v>
      </c>
      <c r="K6" s="4"/>
      <c r="L6" s="4"/>
    </row>
    <row r="7" customFormat="false" ht="4.5" hidden="false" customHeight="true" outlineLevel="0" collapsed="false">
      <c r="B7" s="21"/>
      <c r="C7" s="22"/>
      <c r="D7" s="23"/>
      <c r="E7" s="23"/>
      <c r="F7" s="23"/>
      <c r="G7" s="23"/>
      <c r="H7" s="23"/>
      <c r="I7" s="23"/>
      <c r="J7" s="23"/>
      <c r="K7" s="4"/>
      <c r="L7" s="4"/>
    </row>
    <row r="8" customFormat="false" ht="15" hidden="false" customHeight="false" outlineLevel="0" collapsed="false">
      <c r="B8" s="17" t="s">
        <v>12</v>
      </c>
      <c r="C8" s="18" t="s">
        <v>9</v>
      </c>
      <c r="D8" s="24"/>
      <c r="E8" s="24"/>
      <c r="F8" s="24"/>
      <c r="G8" s="24"/>
      <c r="H8" s="24"/>
      <c r="I8" s="24"/>
      <c r="J8" s="20" t="n">
        <f aca="false">AVERAGE(J4,J6)</f>
        <v>5.5565</v>
      </c>
      <c r="K8" s="4"/>
      <c r="L8" s="4"/>
    </row>
    <row r="9" customFormat="false" ht="15" hidden="false" customHeight="false" outlineLevel="0" collapsed="false">
      <c r="B9" s="4"/>
      <c r="C9" s="4"/>
      <c r="D9" s="4"/>
      <c r="E9" s="4"/>
      <c r="F9" s="4"/>
      <c r="G9" s="4"/>
      <c r="H9" s="4"/>
      <c r="I9" s="4"/>
      <c r="J9" s="4"/>
      <c r="K9" s="4"/>
      <c r="L9" s="4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21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E40" activeCellId="0" sqref="E40"/>
    </sheetView>
  </sheetViews>
  <sheetFormatPr defaultColWidth="8.5390625" defaultRowHeight="15" zeroHeight="false" outlineLevelRow="1" outlineLevelCol="1"/>
  <cols>
    <col collapsed="false" customWidth="true" hidden="false" outlineLevel="0" max="1" min="1" style="0" width="23.43"/>
    <col collapsed="false" customWidth="true" hidden="true" outlineLevel="1" max="26" min="9" style="0" width="9.14"/>
    <col collapsed="false" customWidth="true" hidden="false" outlineLevel="0" max="27" min="27" style="0" width="9.14"/>
    <col collapsed="false" customWidth="true" hidden="false" outlineLevel="0" max="257" min="257" style="0" width="23.43"/>
    <col collapsed="false" customWidth="true" hidden="true" outlineLevel="0" max="282" min="265" style="0" width="9.14"/>
    <col collapsed="false" customWidth="true" hidden="false" outlineLevel="0" max="513" min="513" style="0" width="23.43"/>
    <col collapsed="false" customWidth="true" hidden="true" outlineLevel="0" max="538" min="521" style="0" width="9.14"/>
    <col collapsed="false" customWidth="true" hidden="false" outlineLevel="0" max="769" min="769" style="0" width="23.43"/>
    <col collapsed="false" customWidth="true" hidden="true" outlineLevel="0" max="794" min="777" style="0" width="9.14"/>
  </cols>
  <sheetData>
    <row r="1" customFormat="false" ht="15" hidden="false" customHeight="false" outlineLevel="0" collapsed="false">
      <c r="A1" s="25" t="s">
        <v>13</v>
      </c>
    </row>
    <row r="2" customFormat="false" ht="15" hidden="false" customHeight="false" outlineLevel="0" collapsed="false">
      <c r="A2" s="26" t="s">
        <v>14</v>
      </c>
      <c r="B2" s="27" t="n">
        <v>45809</v>
      </c>
      <c r="C2" s="27" t="n">
        <v>45839</v>
      </c>
      <c r="D2" s="27" t="n">
        <v>45870</v>
      </c>
      <c r="E2" s="27" t="n">
        <v>45901</v>
      </c>
      <c r="F2" s="27" t="n">
        <v>45931</v>
      </c>
      <c r="G2" s="27" t="n">
        <v>45962</v>
      </c>
      <c r="H2" s="28" t="n">
        <v>45992</v>
      </c>
      <c r="I2" s="27" t="n">
        <v>46023</v>
      </c>
      <c r="J2" s="27" t="n">
        <v>46054</v>
      </c>
      <c r="K2" s="27" t="n">
        <v>46082</v>
      </c>
      <c r="L2" s="27" t="n">
        <v>46113</v>
      </c>
      <c r="M2" s="27" t="n">
        <v>46143</v>
      </c>
      <c r="N2" s="27" t="n">
        <v>46174</v>
      </c>
      <c r="O2" s="27" t="n">
        <v>46204</v>
      </c>
      <c r="P2" s="27" t="n">
        <v>46235</v>
      </c>
      <c r="Q2" s="27" t="n">
        <v>46266</v>
      </c>
      <c r="R2" s="27" t="n">
        <v>46296</v>
      </c>
      <c r="S2" s="27" t="n">
        <v>46327</v>
      </c>
      <c r="T2" s="27" t="n">
        <v>46357</v>
      </c>
      <c r="U2" s="27" t="n">
        <v>46388</v>
      </c>
      <c r="V2" s="27" t="n">
        <v>46419</v>
      </c>
      <c r="W2" s="27" t="n">
        <v>46447</v>
      </c>
      <c r="X2" s="27" t="n">
        <v>46478</v>
      </c>
      <c r="Y2" s="27" t="n">
        <v>46508</v>
      </c>
      <c r="Z2" s="27" t="n">
        <v>46539</v>
      </c>
    </row>
    <row r="3" customFormat="false" ht="15" hidden="false" customHeight="false" outlineLevel="1" collapsed="false">
      <c r="A3" s="29" t="n">
        <v>45817</v>
      </c>
      <c r="B3" s="30" t="n">
        <v>5.7054</v>
      </c>
      <c r="C3" s="30" t="n">
        <v>5.7177</v>
      </c>
      <c r="D3" s="30" t="n">
        <v>5.7388</v>
      </c>
      <c r="E3" s="30" t="n">
        <v>5.7497</v>
      </c>
      <c r="F3" s="30" t="n">
        <v>5.7673</v>
      </c>
      <c r="G3" s="30" t="n">
        <v>5.7766</v>
      </c>
      <c r="H3" s="31" t="n">
        <v>5.7879</v>
      </c>
      <c r="I3" s="30" t="n">
        <v>5.7954</v>
      </c>
      <c r="J3" s="30" t="n">
        <v>5.8001</v>
      </c>
      <c r="K3" s="30" t="n">
        <v>5.8013</v>
      </c>
      <c r="L3" s="30" t="n">
        <v>5.819</v>
      </c>
      <c r="M3" s="30" t="n">
        <v>5.8187</v>
      </c>
      <c r="N3" s="30" t="n">
        <v>5.824</v>
      </c>
      <c r="O3" s="30" t="n">
        <v>5.8304</v>
      </c>
      <c r="P3" s="30" t="n">
        <v>5.8419</v>
      </c>
      <c r="Q3" s="30" t="n">
        <v>5.8528</v>
      </c>
      <c r="R3" s="30" t="n">
        <v>5.8524</v>
      </c>
      <c r="S3" s="30" t="n">
        <v>5.8458</v>
      </c>
      <c r="T3" s="30" t="n">
        <v>5.8427</v>
      </c>
      <c r="U3" s="30" t="n">
        <v>5.8212</v>
      </c>
      <c r="V3" s="30" t="n">
        <v>5.8096</v>
      </c>
      <c r="W3" s="30" t="n">
        <v>5.806</v>
      </c>
      <c r="X3" s="30" t="n">
        <v>5.8086</v>
      </c>
      <c r="Y3" s="30" t="n">
        <v>5.7201</v>
      </c>
    </row>
    <row r="4" customFormat="false" ht="15" hidden="false" customHeight="false" outlineLevel="1" collapsed="false">
      <c r="A4" s="29" t="n">
        <v>45818</v>
      </c>
      <c r="B4" s="30" t="n">
        <v>5.7047</v>
      </c>
      <c r="C4" s="30" t="n">
        <v>5.7174</v>
      </c>
      <c r="D4" s="30" t="n">
        <v>5.7385</v>
      </c>
      <c r="E4" s="30" t="n">
        <v>5.7495</v>
      </c>
      <c r="F4" s="30" t="n">
        <v>5.7668</v>
      </c>
      <c r="G4" s="30" t="n">
        <v>5.7762</v>
      </c>
      <c r="H4" s="31" t="n">
        <v>5.7875</v>
      </c>
      <c r="I4" s="30" t="n">
        <v>5.7954</v>
      </c>
      <c r="J4" s="30" t="n">
        <v>5.8001</v>
      </c>
      <c r="K4" s="30" t="n">
        <v>5.8013</v>
      </c>
      <c r="L4" s="30" t="n">
        <v>5.819</v>
      </c>
      <c r="M4" s="30" t="n">
        <v>5.8187</v>
      </c>
      <c r="N4" s="30" t="n">
        <v>5.824</v>
      </c>
      <c r="O4" s="30" t="n">
        <v>5.8304</v>
      </c>
      <c r="P4" s="30" t="n">
        <v>5.8419</v>
      </c>
      <c r="Q4" s="30" t="n">
        <v>5.8528</v>
      </c>
      <c r="R4" s="30" t="n">
        <v>5.8524</v>
      </c>
      <c r="S4" s="30" t="n">
        <v>5.8458</v>
      </c>
      <c r="T4" s="30" t="n">
        <v>5.8427</v>
      </c>
      <c r="U4" s="30" t="n">
        <v>5.8212</v>
      </c>
      <c r="V4" s="30" t="n">
        <v>5.8096</v>
      </c>
      <c r="W4" s="30" t="n">
        <v>5.806</v>
      </c>
      <c r="X4" s="30" t="n">
        <v>5.8086</v>
      </c>
      <c r="Y4" s="30" t="n">
        <v>5.7201</v>
      </c>
    </row>
    <row r="5" customFormat="false" ht="15" hidden="false" customHeight="false" outlineLevel="1" collapsed="false">
      <c r="A5" s="29" t="n">
        <v>45819</v>
      </c>
      <c r="B5" s="30" t="n">
        <v>5.7007</v>
      </c>
      <c r="C5" s="30" t="n">
        <v>5.7134</v>
      </c>
      <c r="D5" s="30" t="n">
        <v>5.734</v>
      </c>
      <c r="E5" s="30" t="n">
        <v>5.7446</v>
      </c>
      <c r="F5" s="30" t="n">
        <v>5.7625</v>
      </c>
      <c r="G5" s="30" t="n">
        <v>5.7719</v>
      </c>
      <c r="H5" s="31" t="n">
        <v>5.7821</v>
      </c>
      <c r="I5" s="30" t="n">
        <v>5.7926</v>
      </c>
      <c r="J5" s="30" t="n">
        <v>5.7977</v>
      </c>
      <c r="K5" s="30" t="n">
        <v>5.7995</v>
      </c>
      <c r="L5" s="30" t="n">
        <v>5.8167</v>
      </c>
      <c r="M5" s="30" t="n">
        <v>5.8168</v>
      </c>
      <c r="N5" s="30" t="n">
        <v>5.8221</v>
      </c>
      <c r="O5" s="30" t="n">
        <v>5.8285</v>
      </c>
      <c r="P5" s="30" t="n">
        <v>5.84</v>
      </c>
      <c r="Q5" s="30" t="n">
        <v>5.8509</v>
      </c>
      <c r="R5" s="30" t="n">
        <v>5.8506</v>
      </c>
      <c r="S5" s="30" t="n">
        <v>5.8439</v>
      </c>
      <c r="T5" s="30" t="n">
        <v>5.8409</v>
      </c>
      <c r="U5" s="30" t="n">
        <v>5.8195</v>
      </c>
      <c r="V5" s="30" t="n">
        <v>5.8079</v>
      </c>
      <c r="W5" s="30" t="n">
        <v>5.8042</v>
      </c>
      <c r="X5" s="30" t="n">
        <v>5.8053</v>
      </c>
      <c r="Y5" s="30" t="n">
        <v>5.7104</v>
      </c>
    </row>
    <row r="6" customFormat="false" ht="15" hidden="false" customHeight="false" outlineLevel="1" collapsed="false">
      <c r="A6" s="29" t="n">
        <v>45820</v>
      </c>
      <c r="B6" s="30" t="n">
        <v>5.6968</v>
      </c>
      <c r="C6" s="30" t="n">
        <v>5.7089</v>
      </c>
      <c r="D6" s="30" t="n">
        <v>5.7296</v>
      </c>
      <c r="E6" s="30" t="n">
        <v>5.7413</v>
      </c>
      <c r="F6" s="30" t="n">
        <v>5.7587</v>
      </c>
      <c r="G6" s="30" t="n">
        <v>5.7686</v>
      </c>
      <c r="H6" s="31" t="n">
        <v>5.779</v>
      </c>
      <c r="I6" s="30" t="n">
        <v>5.7909</v>
      </c>
      <c r="J6" s="30" t="n">
        <v>5.7945</v>
      </c>
      <c r="K6" s="30" t="n">
        <v>5.7967</v>
      </c>
      <c r="L6" s="30" t="n">
        <v>5.8134</v>
      </c>
      <c r="M6" s="30" t="n">
        <v>5.8134</v>
      </c>
      <c r="N6" s="30" t="n">
        <v>5.819</v>
      </c>
      <c r="O6" s="30" t="n">
        <v>5.8254</v>
      </c>
      <c r="P6" s="30" t="n">
        <v>5.8362</v>
      </c>
      <c r="Q6" s="30" t="n">
        <v>5.8472</v>
      </c>
      <c r="R6" s="30" t="n">
        <v>5.8472</v>
      </c>
      <c r="S6" s="30" t="n">
        <v>5.8403</v>
      </c>
      <c r="T6" s="30" t="n">
        <v>5.8379</v>
      </c>
      <c r="U6" s="30" t="n">
        <v>5.8154</v>
      </c>
      <c r="V6" s="30" t="n">
        <v>5.8031</v>
      </c>
      <c r="W6" s="30" t="n">
        <v>5.7999</v>
      </c>
      <c r="X6" s="30" t="n">
        <v>5.7998</v>
      </c>
      <c r="Y6" s="30" t="n">
        <v>5.7182</v>
      </c>
    </row>
    <row r="7" customFormat="false" ht="15" hidden="false" customHeight="false" outlineLevel="1" collapsed="false">
      <c r="A7" s="29" t="n">
        <v>45821</v>
      </c>
      <c r="B7" s="30" t="n">
        <v>5.652</v>
      </c>
      <c r="C7" s="30" t="n">
        <v>5.6701</v>
      </c>
      <c r="D7" s="30" t="n">
        <v>5.695</v>
      </c>
      <c r="E7" s="30" t="n">
        <v>5.7111</v>
      </c>
      <c r="F7" s="30" t="n">
        <v>5.7267</v>
      </c>
      <c r="G7" s="30" t="n">
        <v>5.7356</v>
      </c>
      <c r="H7" s="31" t="n">
        <v>5.7482</v>
      </c>
      <c r="I7" s="30" t="n">
        <v>5.7627</v>
      </c>
      <c r="J7" s="30" t="n">
        <v>5.7668</v>
      </c>
      <c r="K7" s="30" t="n">
        <v>5.7706</v>
      </c>
      <c r="L7" s="30" t="n">
        <v>5.7829</v>
      </c>
      <c r="M7" s="30" t="n">
        <v>5.7858</v>
      </c>
      <c r="N7" s="30" t="n">
        <v>5.7907</v>
      </c>
      <c r="O7" s="30" t="n">
        <v>5.7977</v>
      </c>
      <c r="P7" s="30" t="n">
        <v>5.8096</v>
      </c>
      <c r="Q7" s="30" t="n">
        <v>5.8232</v>
      </c>
      <c r="R7" s="30" t="n">
        <v>5.8243</v>
      </c>
      <c r="S7" s="30" t="n">
        <v>5.8175</v>
      </c>
      <c r="T7" s="30" t="n">
        <v>5.814</v>
      </c>
      <c r="U7" s="30" t="n">
        <v>5.7968</v>
      </c>
      <c r="V7" s="30" t="n">
        <v>5.7876</v>
      </c>
      <c r="W7" s="30" t="n">
        <v>5.7854</v>
      </c>
      <c r="X7" s="30" t="n">
        <v>5.7882</v>
      </c>
      <c r="Y7" s="30" t="n">
        <v>5.7692</v>
      </c>
    </row>
    <row r="8" customFormat="false" ht="15" hidden="false" customHeight="false" outlineLevel="1" collapsed="false">
      <c r="A8" s="29" t="n">
        <v>45824</v>
      </c>
      <c r="B8" s="30" t="n">
        <v>5.6498</v>
      </c>
      <c r="C8" s="30" t="n">
        <v>5.6676</v>
      </c>
      <c r="D8" s="30" t="n">
        <v>5.6933</v>
      </c>
      <c r="E8" s="30" t="n">
        <v>5.7095</v>
      </c>
      <c r="F8" s="30" t="n">
        <v>5.7246</v>
      </c>
      <c r="G8" s="30" t="n">
        <v>5.7331</v>
      </c>
      <c r="H8" s="31" t="n">
        <v>5.745</v>
      </c>
      <c r="I8" s="30" t="n">
        <v>5.7604</v>
      </c>
      <c r="J8" s="30" t="n">
        <v>5.7646</v>
      </c>
      <c r="K8" s="30" t="n">
        <v>5.7693</v>
      </c>
      <c r="L8" s="30" t="n">
        <v>5.7816</v>
      </c>
      <c r="M8" s="30" t="n">
        <v>5.7844</v>
      </c>
      <c r="N8" s="30" t="n">
        <v>5.7898</v>
      </c>
      <c r="O8" s="30" t="n">
        <v>5.7972</v>
      </c>
      <c r="P8" s="30" t="n">
        <v>5.8087</v>
      </c>
      <c r="Q8" s="30" t="n">
        <v>5.8223</v>
      </c>
      <c r="R8" s="30" t="n">
        <v>5.8239</v>
      </c>
      <c r="S8" s="30" t="n">
        <v>5.817</v>
      </c>
      <c r="T8" s="30" t="n">
        <v>5.8131</v>
      </c>
      <c r="U8" s="30" t="n">
        <v>5.7958</v>
      </c>
      <c r="V8" s="30" t="n">
        <v>5.7867</v>
      </c>
      <c r="W8" s="30" t="n">
        <v>5.7845</v>
      </c>
      <c r="X8" s="30" t="n">
        <v>5.7872</v>
      </c>
      <c r="Y8" s="30" t="n">
        <v>5.768</v>
      </c>
    </row>
    <row r="9" customFormat="false" ht="15" hidden="false" customHeight="false" outlineLevel="1" collapsed="false">
      <c r="A9" s="29" t="n">
        <v>45825</v>
      </c>
      <c r="B9" s="30" t="n">
        <v>5.6468</v>
      </c>
      <c r="C9" s="30" t="n">
        <v>5.6651</v>
      </c>
      <c r="D9" s="30" t="n">
        <v>5.6899</v>
      </c>
      <c r="E9" s="30" t="n">
        <v>5.707</v>
      </c>
      <c r="F9" s="30" t="n">
        <v>5.7223</v>
      </c>
      <c r="G9" s="30" t="n">
        <v>5.7313</v>
      </c>
      <c r="H9" s="31" t="n">
        <v>5.7436</v>
      </c>
      <c r="I9" s="30" t="n">
        <v>5.759</v>
      </c>
      <c r="J9" s="30" t="n">
        <v>5.7635</v>
      </c>
      <c r="K9" s="30" t="n">
        <v>5.7685</v>
      </c>
      <c r="L9" s="30" t="n">
        <v>5.7809</v>
      </c>
      <c r="M9" s="30" t="n">
        <v>5.7843</v>
      </c>
      <c r="N9" s="30" t="n">
        <v>5.7894</v>
      </c>
      <c r="O9" s="30" t="n">
        <v>5.7969</v>
      </c>
      <c r="P9" s="30" t="n">
        <v>5.8086</v>
      </c>
      <c r="Q9" s="30" t="n">
        <v>5.8217</v>
      </c>
      <c r="R9" s="30" t="n">
        <v>5.8234</v>
      </c>
      <c r="S9" s="30" t="n">
        <v>5.8168</v>
      </c>
      <c r="T9" s="30" t="n">
        <v>5.8123</v>
      </c>
      <c r="U9" s="30" t="n">
        <v>5.7952</v>
      </c>
      <c r="V9" s="30" t="n">
        <v>5.7855</v>
      </c>
      <c r="W9" s="30" t="n">
        <v>5.7848</v>
      </c>
      <c r="X9" s="30" t="n">
        <v>5.7872</v>
      </c>
      <c r="Y9" s="30" t="n">
        <v>5.7651</v>
      </c>
    </row>
    <row r="10" customFormat="false" ht="15" hidden="false" customHeight="false" outlineLevel="1" collapsed="false">
      <c r="A10" s="29" t="n">
        <v>45826</v>
      </c>
      <c r="B10" s="30" t="n">
        <v>5.6398</v>
      </c>
      <c r="C10" s="30" t="n">
        <v>5.6575</v>
      </c>
      <c r="D10" s="30" t="n">
        <v>5.6821</v>
      </c>
      <c r="E10" s="30" t="n">
        <v>5.7017</v>
      </c>
      <c r="F10" s="30" t="n">
        <v>5.7174</v>
      </c>
      <c r="G10" s="30" t="n">
        <v>5.7281</v>
      </c>
      <c r="H10" s="31" t="n">
        <v>5.7417</v>
      </c>
      <c r="I10" s="30" t="n">
        <v>5.7565</v>
      </c>
      <c r="J10" s="30" t="n">
        <v>5.7608</v>
      </c>
      <c r="K10" s="30" t="n">
        <v>5.7656</v>
      </c>
      <c r="L10" s="30" t="n">
        <v>5.7778</v>
      </c>
      <c r="M10" s="30" t="n">
        <v>5.7812</v>
      </c>
      <c r="N10" s="30" t="n">
        <v>5.786</v>
      </c>
      <c r="O10" s="30" t="n">
        <v>5.7935</v>
      </c>
      <c r="P10" s="30" t="n">
        <v>5.805</v>
      </c>
      <c r="Q10" s="30" t="n">
        <v>5.8187</v>
      </c>
      <c r="R10" s="30" t="n">
        <v>5.8202</v>
      </c>
      <c r="S10" s="30" t="n">
        <v>5.8134</v>
      </c>
      <c r="T10" s="30" t="n">
        <v>5.8047</v>
      </c>
      <c r="U10" s="30" t="n">
        <v>5.7917</v>
      </c>
      <c r="V10" s="30" t="n">
        <v>5.7819</v>
      </c>
      <c r="W10" s="30" t="n">
        <v>5.7812</v>
      </c>
      <c r="X10" s="30" t="n">
        <v>5.7843</v>
      </c>
      <c r="Y10" s="30" t="n">
        <v>5.7594</v>
      </c>
    </row>
    <row r="11" customFormat="false" ht="15" hidden="false" customHeight="false" outlineLevel="1" collapsed="false">
      <c r="A11" s="29" t="n">
        <v>45828</v>
      </c>
      <c r="B11" s="30" t="n">
        <v>5.6205</v>
      </c>
      <c r="C11" s="30" t="n">
        <v>5.6343</v>
      </c>
      <c r="D11" s="30" t="n">
        <v>5.6596</v>
      </c>
      <c r="E11" s="30" t="n">
        <v>5.6769</v>
      </c>
      <c r="F11" s="30" t="n">
        <v>5.6945</v>
      </c>
      <c r="G11" s="30" t="n">
        <v>5.7065</v>
      </c>
      <c r="H11" s="31" t="n">
        <v>5.7215</v>
      </c>
      <c r="I11" s="30" t="n">
        <v>5.7322</v>
      </c>
      <c r="J11" s="30" t="n">
        <v>5.737</v>
      </c>
      <c r="K11" s="30" t="n">
        <v>5.7418</v>
      </c>
      <c r="L11" s="30" t="n">
        <v>5.7543</v>
      </c>
      <c r="M11" s="30" t="n">
        <v>5.7597</v>
      </c>
      <c r="N11" s="30" t="n">
        <v>5.7658</v>
      </c>
      <c r="O11" s="30" t="n">
        <v>5.7744</v>
      </c>
      <c r="P11" s="30" t="n">
        <v>5.7862</v>
      </c>
      <c r="Q11" s="30" t="n">
        <v>5.8013</v>
      </c>
      <c r="R11" s="30" t="n">
        <v>5.8024</v>
      </c>
      <c r="S11" s="30" t="n">
        <v>5.7963</v>
      </c>
      <c r="T11" s="30" t="n">
        <v>5.7893</v>
      </c>
      <c r="U11" s="30" t="n">
        <v>5.7755</v>
      </c>
      <c r="V11" s="30" t="n">
        <v>5.766</v>
      </c>
      <c r="W11" s="30" t="n">
        <v>5.7639</v>
      </c>
      <c r="X11" s="30" t="n">
        <v>5.7662</v>
      </c>
      <c r="Y11" s="30" t="n">
        <v>5.7389</v>
      </c>
    </row>
    <row r="12" customFormat="false" ht="15" hidden="false" customHeight="false" outlineLevel="1" collapsed="false">
      <c r="A12" s="29" t="n">
        <v>45831</v>
      </c>
      <c r="B12" s="30" t="n">
        <v>5.6114</v>
      </c>
      <c r="C12" s="30" t="n">
        <v>5.627</v>
      </c>
      <c r="D12" s="30" t="n">
        <v>5.6527</v>
      </c>
      <c r="E12" s="30" t="n">
        <v>5.6699</v>
      </c>
      <c r="F12" s="30" t="n">
        <v>5.6876</v>
      </c>
      <c r="G12" s="30" t="n">
        <v>5.6992</v>
      </c>
      <c r="H12" s="31" t="n">
        <v>5.7148</v>
      </c>
      <c r="I12" s="30" t="n">
        <v>5.7309</v>
      </c>
      <c r="J12" s="30" t="n">
        <v>5.7364</v>
      </c>
      <c r="K12" s="30" t="n">
        <v>5.7411</v>
      </c>
      <c r="L12" s="30" t="n">
        <v>5.7537</v>
      </c>
      <c r="M12" s="30" t="n">
        <v>5.759</v>
      </c>
      <c r="N12" s="30" t="n">
        <v>5.7666</v>
      </c>
      <c r="O12" s="30" t="n">
        <v>5.7758</v>
      </c>
      <c r="P12" s="30" t="n">
        <v>5.7859</v>
      </c>
      <c r="Q12" s="30" t="n">
        <v>5.8001</v>
      </c>
      <c r="R12" s="30" t="n">
        <v>5.8006</v>
      </c>
      <c r="S12" s="30" t="n">
        <v>5.7984</v>
      </c>
      <c r="T12" s="30" t="n">
        <v>5.788</v>
      </c>
      <c r="U12" s="30" t="n">
        <v>5.7705</v>
      </c>
      <c r="V12" s="30" t="n">
        <v>5.7614</v>
      </c>
      <c r="W12" s="30" t="n">
        <v>5.7596</v>
      </c>
      <c r="X12" s="30" t="n">
        <v>5.7623</v>
      </c>
      <c r="Y12" s="30" t="n">
        <v>5.732</v>
      </c>
      <c r="AA12" s="30" t="n">
        <f aca="false">AVERAGE(C12:H12)</f>
        <v>5.6752</v>
      </c>
    </row>
    <row r="13" customFormat="false" ht="15" hidden="false" customHeight="false" outlineLevel="1" collapsed="false">
      <c r="A13" s="29" t="n">
        <v>45832</v>
      </c>
      <c r="B13" s="30" t="n">
        <v>5.6085</v>
      </c>
      <c r="C13" s="30" t="n">
        <v>5.6237</v>
      </c>
      <c r="D13" s="30" t="n">
        <v>5.6494</v>
      </c>
      <c r="E13" s="30" t="n">
        <v>5.6667</v>
      </c>
      <c r="F13" s="30" t="n">
        <v>5.6843</v>
      </c>
      <c r="G13" s="30" t="n">
        <v>5.6957</v>
      </c>
      <c r="H13" s="31" t="n">
        <v>5.7106</v>
      </c>
      <c r="I13" s="30" t="n">
        <v>5.7269</v>
      </c>
      <c r="J13" s="30" t="n">
        <v>5.7325</v>
      </c>
      <c r="K13" s="30" t="n">
        <v>5.7372</v>
      </c>
      <c r="L13" s="30" t="n">
        <v>5.7498</v>
      </c>
      <c r="M13" s="30" t="n">
        <v>5.7553</v>
      </c>
      <c r="N13" s="30" t="n">
        <v>5.7629</v>
      </c>
      <c r="O13" s="30" t="n">
        <v>5.7723</v>
      </c>
      <c r="P13" s="30" t="n">
        <v>5.7824</v>
      </c>
      <c r="Q13" s="30" t="n">
        <v>5.7966</v>
      </c>
      <c r="R13" s="30" t="n">
        <v>5.7971</v>
      </c>
      <c r="S13" s="30" t="n">
        <v>5.795</v>
      </c>
      <c r="T13" s="30" t="n">
        <v>5.7841</v>
      </c>
      <c r="U13" s="30" t="n">
        <v>5.7667</v>
      </c>
      <c r="V13" s="30" t="n">
        <v>5.7577</v>
      </c>
      <c r="W13" s="30" t="n">
        <v>5.7559</v>
      </c>
      <c r="X13" s="30" t="n">
        <v>5.7584</v>
      </c>
      <c r="Y13" s="30" t="n">
        <v>5.7336</v>
      </c>
      <c r="AA13" s="30" t="n">
        <f aca="false">AVERAGE(C13:H13)</f>
        <v>5.67173333333333</v>
      </c>
    </row>
    <row r="14" customFormat="false" ht="15" hidden="false" customHeight="false" outlineLevel="1" collapsed="false">
      <c r="A14" s="29" t="n">
        <v>45833</v>
      </c>
      <c r="B14" s="30" t="n">
        <v>5.6095</v>
      </c>
      <c r="C14" s="30" t="n">
        <v>5.6241</v>
      </c>
      <c r="D14" s="30" t="n">
        <v>5.649</v>
      </c>
      <c r="E14" s="30" t="n">
        <v>5.6664</v>
      </c>
      <c r="F14" s="30" t="n">
        <v>5.6844</v>
      </c>
      <c r="G14" s="30" t="n">
        <v>5.696</v>
      </c>
      <c r="H14" s="31" t="n">
        <v>5.7103</v>
      </c>
      <c r="I14" s="30" t="n">
        <v>5.7271</v>
      </c>
      <c r="J14" s="30" t="n">
        <v>5.7331</v>
      </c>
      <c r="K14" s="30" t="n">
        <v>5.7383</v>
      </c>
      <c r="L14" s="30" t="n">
        <v>5.7509</v>
      </c>
      <c r="M14" s="30" t="n">
        <v>5.7562</v>
      </c>
      <c r="N14" s="30" t="n">
        <v>5.7636</v>
      </c>
      <c r="O14" s="30" t="n">
        <v>5.7731</v>
      </c>
      <c r="P14" s="30" t="n">
        <v>5.7839</v>
      </c>
      <c r="Q14" s="30" t="n">
        <v>5.7984</v>
      </c>
      <c r="R14" s="30" t="n">
        <v>5.7987</v>
      </c>
      <c r="S14" s="30" t="n">
        <v>5.7965</v>
      </c>
      <c r="T14" s="30" t="n">
        <v>5.7858</v>
      </c>
      <c r="U14" s="30" t="n">
        <v>5.7692</v>
      </c>
      <c r="V14" s="30" t="n">
        <v>5.7606</v>
      </c>
      <c r="W14" s="30" t="n">
        <v>5.759</v>
      </c>
      <c r="X14" s="30" t="n">
        <v>5.7615</v>
      </c>
      <c r="Y14" s="30" t="n">
        <v>5.7378</v>
      </c>
      <c r="AA14" s="30" t="n">
        <f aca="false">AVERAGE(C14:H14)</f>
        <v>5.6717</v>
      </c>
    </row>
    <row r="15" customFormat="false" ht="15" hidden="false" customHeight="false" outlineLevel="1" collapsed="false">
      <c r="A15" s="29" t="n">
        <v>45834</v>
      </c>
      <c r="B15" s="30" t="n">
        <v>5.6071</v>
      </c>
      <c r="C15" s="30" t="n">
        <v>5.6211</v>
      </c>
      <c r="D15" s="30" t="n">
        <v>5.6445</v>
      </c>
      <c r="E15" s="30" t="n">
        <v>5.6608</v>
      </c>
      <c r="F15" s="30" t="n">
        <v>5.6777</v>
      </c>
      <c r="G15" s="30" t="n">
        <v>5.6901</v>
      </c>
      <c r="H15" s="31" t="n">
        <v>5.705</v>
      </c>
      <c r="I15" s="30" t="n">
        <v>5.722</v>
      </c>
      <c r="J15" s="30" t="n">
        <v>5.7279</v>
      </c>
      <c r="K15" s="30" t="n">
        <v>5.7348</v>
      </c>
      <c r="L15" s="30" t="n">
        <v>5.7477</v>
      </c>
      <c r="M15" s="30" t="n">
        <v>5.7523</v>
      </c>
      <c r="N15" s="30" t="n">
        <v>5.7601</v>
      </c>
      <c r="O15" s="30" t="n">
        <v>5.7665</v>
      </c>
      <c r="P15" s="30" t="n">
        <v>5.7754</v>
      </c>
      <c r="Q15" s="30" t="n">
        <v>5.7885</v>
      </c>
      <c r="R15" s="30" t="n">
        <v>5.7914</v>
      </c>
      <c r="S15" s="30" t="n">
        <v>5.7897</v>
      </c>
      <c r="T15" s="30" t="n">
        <v>5.7808</v>
      </c>
      <c r="U15" s="30" t="n">
        <v>5.7664</v>
      </c>
      <c r="V15" s="30" t="n">
        <v>5.7594</v>
      </c>
      <c r="W15" s="30" t="n">
        <v>5.7578</v>
      </c>
      <c r="X15" s="30" t="n">
        <v>5.7604</v>
      </c>
      <c r="Y15" s="30" t="n">
        <v>5.7378</v>
      </c>
      <c r="AA15" s="30" t="n">
        <f aca="false">AVERAGE(C15:H15)</f>
        <v>5.66653333333333</v>
      </c>
    </row>
    <row r="16" customFormat="false" ht="15" hidden="false" customHeight="false" outlineLevel="1" collapsed="false">
      <c r="A16" s="29" t="n">
        <v>45835</v>
      </c>
      <c r="B16" s="30" t="n">
        <v>5.5973</v>
      </c>
      <c r="C16" s="30" t="n">
        <v>5.6112</v>
      </c>
      <c r="D16" s="30" t="n">
        <v>5.635</v>
      </c>
      <c r="E16" s="30" t="n">
        <v>5.653</v>
      </c>
      <c r="F16" s="30" t="n">
        <v>5.6706</v>
      </c>
      <c r="G16" s="30" t="n">
        <v>5.6823</v>
      </c>
      <c r="H16" s="31" t="n">
        <v>5.6983</v>
      </c>
      <c r="I16" s="30" t="n">
        <v>5.7143</v>
      </c>
      <c r="J16" s="30" t="n">
        <v>5.7204</v>
      </c>
      <c r="K16" s="30" t="n">
        <v>5.7267</v>
      </c>
      <c r="L16" s="30" t="n">
        <v>5.7384</v>
      </c>
      <c r="M16" s="30" t="n">
        <v>5.7426</v>
      </c>
      <c r="N16" s="30" t="n">
        <v>5.7498</v>
      </c>
      <c r="O16" s="30" t="n">
        <v>5.7559</v>
      </c>
      <c r="P16" s="30" t="n">
        <v>5.7656</v>
      </c>
      <c r="Q16" s="30" t="n">
        <v>5.7788</v>
      </c>
      <c r="R16" s="30" t="n">
        <v>5.7835</v>
      </c>
      <c r="S16" s="30" t="n">
        <v>5.7799</v>
      </c>
      <c r="T16" s="30" t="n">
        <v>5.7718</v>
      </c>
      <c r="U16" s="30" t="n">
        <v>5.7578</v>
      </c>
      <c r="V16" s="30" t="n">
        <v>5.7508</v>
      </c>
      <c r="W16" s="30" t="n">
        <v>5.7491</v>
      </c>
      <c r="X16" s="30" t="n">
        <v>5.7497</v>
      </c>
      <c r="Y16" s="30" t="n">
        <v>5.7343</v>
      </c>
      <c r="AA16" s="30" t="n">
        <f aca="false">AVERAGE(C16:H16)</f>
        <v>5.6584</v>
      </c>
    </row>
    <row r="17" customFormat="false" ht="15" hidden="false" customHeight="false" outlineLevel="1" collapsed="false">
      <c r="A17" s="32" t="n">
        <v>45838</v>
      </c>
      <c r="B17" s="33"/>
      <c r="C17" s="31" t="n">
        <v>5.6084</v>
      </c>
      <c r="D17" s="31" t="n">
        <v>5.6322</v>
      </c>
      <c r="E17" s="31" t="n">
        <v>5.6507</v>
      </c>
      <c r="F17" s="31" t="n">
        <v>5.6686</v>
      </c>
      <c r="G17" s="31" t="n">
        <v>5.6809</v>
      </c>
      <c r="H17" s="31" t="n">
        <v>5.698</v>
      </c>
      <c r="I17" s="31" t="n">
        <v>5.7126</v>
      </c>
      <c r="J17" s="31" t="n">
        <v>5.7203</v>
      </c>
      <c r="K17" s="31" t="n">
        <v>5.7269</v>
      </c>
      <c r="L17" s="31" t="n">
        <v>5.739</v>
      </c>
      <c r="M17" s="31" t="n">
        <v>5.743</v>
      </c>
      <c r="N17" s="31" t="n">
        <v>5.7499</v>
      </c>
      <c r="O17" s="31" t="n">
        <v>5.7553</v>
      </c>
      <c r="P17" s="31" t="n">
        <v>5.7651</v>
      </c>
      <c r="Q17" s="31" t="n">
        <v>5.7779</v>
      </c>
      <c r="R17" s="31" t="n">
        <v>5.7826</v>
      </c>
      <c r="S17" s="31" t="n">
        <v>5.778</v>
      </c>
      <c r="T17" s="31" t="n">
        <v>5.7712</v>
      </c>
      <c r="U17" s="31" t="n">
        <v>5.7569</v>
      </c>
      <c r="V17" s="31" t="n">
        <v>5.7508</v>
      </c>
      <c r="W17" s="31" t="n">
        <v>5.7496</v>
      </c>
      <c r="X17" s="31" t="n">
        <v>5.7509</v>
      </c>
      <c r="Y17" s="31" t="n">
        <v>5.7352</v>
      </c>
      <c r="Z17" s="31" t="n">
        <v>5.665</v>
      </c>
      <c r="AA17" s="30" t="n">
        <f aca="false">AVERAGE(C17:H17)</f>
        <v>5.65646666666667</v>
      </c>
    </row>
    <row r="18" customFormat="false" ht="15" hidden="false" customHeight="false" outlineLevel="1" collapsed="false">
      <c r="A18" s="29" t="n">
        <v>45839</v>
      </c>
      <c r="C18" s="30" t="n">
        <v>5.6063</v>
      </c>
      <c r="D18" s="30" t="n">
        <v>5.6301</v>
      </c>
      <c r="E18" s="30" t="n">
        <v>5.6488</v>
      </c>
      <c r="F18" s="30" t="n">
        <v>5.666</v>
      </c>
      <c r="G18" s="30" t="n">
        <v>5.6779</v>
      </c>
      <c r="H18" s="31" t="n">
        <v>5.6943</v>
      </c>
      <c r="I18" s="30" t="n">
        <v>5.7126</v>
      </c>
      <c r="J18" s="30" t="n">
        <v>5.7203</v>
      </c>
      <c r="K18" s="30" t="n">
        <v>5.7269</v>
      </c>
      <c r="L18" s="30" t="n">
        <v>5.739</v>
      </c>
      <c r="M18" s="30" t="n">
        <v>5.743</v>
      </c>
      <c r="N18" s="30" t="n">
        <v>5.7499</v>
      </c>
      <c r="O18" s="30" t="n">
        <v>5.7553</v>
      </c>
      <c r="P18" s="30" t="n">
        <v>5.7651</v>
      </c>
      <c r="Q18" s="30" t="n">
        <v>5.7779</v>
      </c>
      <c r="R18" s="30" t="n">
        <v>5.7826</v>
      </c>
      <c r="S18" s="30" t="n">
        <v>5.778</v>
      </c>
      <c r="T18" s="30" t="n">
        <v>5.7706</v>
      </c>
      <c r="U18" s="30" t="n">
        <v>5.7625</v>
      </c>
      <c r="V18" s="30" t="n">
        <v>5.7566</v>
      </c>
      <c r="W18" s="30" t="n">
        <v>5.7557</v>
      </c>
      <c r="X18" s="30" t="n">
        <v>5.756</v>
      </c>
      <c r="Y18" s="30" t="n">
        <v>5.7398</v>
      </c>
      <c r="Z18" s="30" t="n">
        <v>5.71</v>
      </c>
      <c r="AA18" s="30" t="n">
        <f aca="false">AVERAGE(C18:H18)</f>
        <v>5.6539</v>
      </c>
    </row>
    <row r="19" customFormat="false" ht="15" hidden="false" customHeight="false" outlineLevel="1" collapsed="false">
      <c r="A19" s="29" t="n">
        <v>45840</v>
      </c>
      <c r="C19" s="30" t="n">
        <v>5.6029</v>
      </c>
      <c r="D19" s="30" t="n">
        <v>5.6254</v>
      </c>
      <c r="E19" s="30" t="n">
        <v>5.6444</v>
      </c>
      <c r="F19" s="30" t="n">
        <v>5.6604</v>
      </c>
      <c r="G19" s="30" t="n">
        <v>5.673</v>
      </c>
      <c r="H19" s="31" t="n">
        <v>5.692</v>
      </c>
      <c r="I19" s="30" t="n">
        <v>5.7097</v>
      </c>
      <c r="J19" s="30" t="n">
        <v>5.717</v>
      </c>
      <c r="K19" s="30" t="n">
        <v>5.7231</v>
      </c>
      <c r="L19" s="30" t="n">
        <v>5.7349</v>
      </c>
      <c r="M19" s="30" t="n">
        <v>5.739</v>
      </c>
      <c r="N19" s="30" t="n">
        <v>5.7458</v>
      </c>
      <c r="O19" s="30" t="n">
        <v>5.7514</v>
      </c>
      <c r="P19" s="30" t="n">
        <v>5.7612</v>
      </c>
      <c r="Q19" s="30" t="n">
        <v>5.7741</v>
      </c>
      <c r="R19" s="30" t="n">
        <v>5.7789</v>
      </c>
      <c r="S19" s="30" t="n">
        <v>5.7744</v>
      </c>
      <c r="T19" s="30" t="n">
        <v>5.7673</v>
      </c>
      <c r="U19" s="30" t="n">
        <v>5.758</v>
      </c>
      <c r="V19" s="30" t="n">
        <v>5.7516</v>
      </c>
      <c r="W19" s="30" t="n">
        <v>5.7507</v>
      </c>
      <c r="X19" s="30" t="n">
        <v>5.7509</v>
      </c>
      <c r="Y19" s="30" t="n">
        <v>5.7402</v>
      </c>
      <c r="Z19" s="30" t="n">
        <v>5.72</v>
      </c>
      <c r="AA19" s="30" t="n">
        <f aca="false">AVERAGE(C19:H19)</f>
        <v>5.64968333333333</v>
      </c>
    </row>
    <row r="20" customFormat="false" ht="15" hidden="false" customHeight="false" outlineLevel="1" collapsed="false">
      <c r="A20" s="29" t="n">
        <v>45841</v>
      </c>
      <c r="C20" s="30" t="n">
        <v>5.5993</v>
      </c>
      <c r="D20" s="30" t="n">
        <v>5.6221</v>
      </c>
      <c r="E20" s="30" t="n">
        <v>5.6423</v>
      </c>
      <c r="F20" s="30" t="n">
        <v>5.6587</v>
      </c>
      <c r="G20" s="30" t="n">
        <v>5.6726</v>
      </c>
      <c r="H20" s="31" t="n">
        <v>5.6916</v>
      </c>
      <c r="I20" s="30" t="n">
        <v>5.7097</v>
      </c>
      <c r="J20" s="30" t="n">
        <v>5.717</v>
      </c>
      <c r="K20" s="30" t="n">
        <v>5.7231</v>
      </c>
      <c r="L20" s="30" t="n">
        <v>5.7349</v>
      </c>
      <c r="M20" s="30" t="n">
        <v>5.739</v>
      </c>
      <c r="N20" s="30" t="n">
        <v>5.7458</v>
      </c>
      <c r="O20" s="30" t="n">
        <v>5.7514</v>
      </c>
      <c r="P20" s="30" t="n">
        <v>5.7612</v>
      </c>
      <c r="Q20" s="30" t="n">
        <v>5.7741</v>
      </c>
      <c r="R20" s="30" t="n">
        <v>5.7789</v>
      </c>
      <c r="S20" s="30" t="n">
        <v>5.7744</v>
      </c>
      <c r="T20" s="30" t="n">
        <v>5.7673</v>
      </c>
      <c r="U20" s="30" t="n">
        <v>5.758</v>
      </c>
      <c r="V20" s="30" t="n">
        <v>5.7516</v>
      </c>
      <c r="W20" s="30" t="n">
        <v>5.7507</v>
      </c>
      <c r="X20" s="30" t="n">
        <v>5.7509</v>
      </c>
      <c r="Y20" s="30" t="n">
        <v>5.7402</v>
      </c>
      <c r="Z20" s="30" t="n">
        <v>5.7175</v>
      </c>
      <c r="AA20" s="30" t="n">
        <f aca="false">AVERAGE(C20:H20)</f>
        <v>5.64776666666667</v>
      </c>
    </row>
    <row r="21" customFormat="false" ht="15" hidden="false" customHeight="false" outlineLevel="0" collapsed="false">
      <c r="A21" s="29" t="n">
        <v>45842</v>
      </c>
      <c r="C21" s="30" t="n">
        <v>5.5859</v>
      </c>
      <c r="D21" s="30" t="n">
        <v>5.6096</v>
      </c>
      <c r="E21" s="30" t="n">
        <v>5.6279</v>
      </c>
      <c r="F21" s="30" t="n">
        <v>5.6444</v>
      </c>
      <c r="G21" s="30" t="n">
        <v>5.6564</v>
      </c>
      <c r="H21" s="31" t="n">
        <v>5.6738</v>
      </c>
      <c r="I21" s="30" t="n">
        <v>5.6936</v>
      </c>
      <c r="J21" s="30" t="n">
        <v>5.7012</v>
      </c>
      <c r="K21" s="30" t="n">
        <v>5.7061</v>
      </c>
      <c r="L21" s="30" t="n">
        <v>5.7156</v>
      </c>
      <c r="M21" s="30" t="n">
        <v>5.7196</v>
      </c>
      <c r="N21" s="30" t="n">
        <v>5.7264</v>
      </c>
      <c r="O21" s="30" t="n">
        <v>5.7336</v>
      </c>
      <c r="P21" s="30" t="n">
        <v>5.7419</v>
      </c>
      <c r="Q21" s="30" t="n">
        <v>5.7531</v>
      </c>
      <c r="R21" s="30" t="n">
        <v>5.7574</v>
      </c>
      <c r="S21" s="30" t="n">
        <v>5.7519</v>
      </c>
      <c r="T21" s="30" t="n">
        <v>5.742</v>
      </c>
      <c r="U21" s="30" t="n">
        <v>5.7418</v>
      </c>
      <c r="V21" s="30" t="n">
        <v>5.7353</v>
      </c>
      <c r="W21" s="30" t="n">
        <v>5.7343</v>
      </c>
      <c r="X21" s="30" t="n">
        <v>5.7334</v>
      </c>
      <c r="Y21" s="30" t="n">
        <v>5.726</v>
      </c>
      <c r="Z21" s="30" t="n">
        <v>5.7089</v>
      </c>
      <c r="AA21" s="30" t="n">
        <f aca="false">AVERAGE(C21:H21)</f>
        <v>5.633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W21" activeCellId="0" sqref="W21"/>
    </sheetView>
  </sheetViews>
  <sheetFormatPr defaultColWidth="8.5390625" defaultRowHeight="15" zeroHeight="false" outlineLevelRow="0" outlineLevelCol="0"/>
  <sheetData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2025-07-07T18:49:16Z</dcterms:created>
  <dc:creator>Afonso Guimarães Carmanini</dc:creator>
  <dc:description/>
  <dc:language>pt-BR</dc:language>
  <cp:lastModifiedBy>Afonso Guimarães Carmanini</cp:lastModifiedBy>
  <dcterms:modified xsi:type="dcterms:W3CDTF">2025-07-07T19:15:59Z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lication">
    <vt:lpwstr>0</vt:lpwstr>
  </property>
  <property fmtid="{D5CDD505-2E9C-101B-9397-08002B2CF9AE}" pid="3" name="AutoLoginExecuted">
    <vt:lpwstr>0</vt:lpwstr>
  </property>
  <property fmtid="{D5CDD505-2E9C-101B-9397-08002B2CF9AE}" pid="4" name="AutoOpenUrl">
    <vt:lpwstr>0</vt:lpwstr>
  </property>
  <property fmtid="{D5CDD505-2E9C-101B-9397-08002B2CF9AE}" pid="5" name="ExcelMultiForm">
    <vt:lpwstr>0</vt:lpwstr>
  </property>
  <property fmtid="{D5CDD505-2E9C-101B-9397-08002B2CF9AE}" pid="6" name="ExcelMultiFormExcelAuto">
    <vt:lpwstr>0</vt:lpwstr>
  </property>
  <property fmtid="{D5CDD505-2E9C-101B-9397-08002B2CF9AE}" pid="7" name="MultiformPassword">
    <vt:lpwstr>0</vt:lpwstr>
  </property>
</Properties>
</file>