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ed\OneDrive\Documentos\SPS Clientes\Ferbasa\"/>
    </mc:Choice>
  </mc:AlternateContent>
  <xr:revisionPtr revIDLastSave="0" documentId="13_ncr:1_{FDE86D5F-93C8-4221-827C-DB7026579501}" xr6:coauthVersionLast="47" xr6:coauthVersionMax="47" xr10:uidLastSave="{00000000-0000-0000-0000-000000000000}"/>
  <bookViews>
    <workbookView xWindow="-113" yWindow="-113" windowWidth="24267" windowHeight="13023" tabRatio="500" xr2:uid="{00000000-000D-0000-FFFF-FFFF00000000}"/>
  </bookViews>
  <sheets>
    <sheet name="RESUMO" sheetId="1" r:id="rId1"/>
    <sheet name="Forno 01" sheetId="2" r:id="rId2"/>
    <sheet name="Forno 03" sheetId="3" r:id="rId3"/>
    <sheet name="Forno 05" sheetId="4" r:id="rId4"/>
    <sheet name="Forno 06" sheetId="5" r:id="rId5"/>
    <sheet name="Forno 08" sheetId="6" r:id="rId6"/>
    <sheet name="Forno 04 07" sheetId="7" r:id="rId7"/>
    <sheet name="Forno 09" sheetId="8" r:id="rId8"/>
    <sheet name="Forno 10 a 14" sheetId="9" r:id="rId9"/>
    <sheet name="Tipo Parada Fab 1" sheetId="10" r:id="rId10"/>
    <sheet name="Tipo Parada Forno 04 07" sheetId="11" r:id="rId11"/>
    <sheet name="Tipo Parada Fab 2" sheetId="12" r:id="rId12"/>
    <sheet name="Abr23" sheetId="13" r:id="rId13"/>
  </sheets>
  <definedNames>
    <definedName name="_xlnm._FilterDatabase" localSheetId="12" hidden="1">'Abr23'!$A$1:$H$1308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1" i="1" l="1"/>
  <c r="H42" i="1" s="1"/>
  <c r="I42" i="1" s="1"/>
  <c r="J42" i="1" s="1"/>
  <c r="K42" i="1" s="1"/>
  <c r="H38" i="1"/>
  <c r="H39" i="1" s="1"/>
  <c r="I39" i="1" s="1"/>
  <c r="J39" i="1" s="1"/>
  <c r="K39" i="1" s="1"/>
  <c r="H36" i="1"/>
  <c r="H37" i="1" s="1"/>
  <c r="H35" i="1"/>
  <c r="H34" i="1"/>
  <c r="G42" i="1"/>
  <c r="F42" i="1"/>
  <c r="G41" i="1"/>
  <c r="F41" i="1"/>
  <c r="G39" i="1"/>
  <c r="F39" i="1"/>
  <c r="G38" i="1"/>
  <c r="F38" i="1"/>
  <c r="G37" i="1"/>
  <c r="F37" i="1"/>
  <c r="G36" i="1"/>
  <c r="F36" i="1"/>
  <c r="G35" i="1"/>
  <c r="F35" i="1"/>
  <c r="G34" i="1"/>
  <c r="F34" i="1"/>
  <c r="H624" i="13"/>
  <c r="E359" i="9"/>
  <c r="G358" i="9"/>
  <c r="I358" i="9" s="1"/>
  <c r="G357" i="9"/>
  <c r="H357" i="9" s="1"/>
  <c r="G356" i="9"/>
  <c r="I356" i="9" s="1"/>
  <c r="G355" i="9"/>
  <c r="I355" i="9" s="1"/>
  <c r="H354" i="9"/>
  <c r="G354" i="9"/>
  <c r="I354" i="9" s="1"/>
  <c r="G353" i="9"/>
  <c r="I353" i="9" s="1"/>
  <c r="I352" i="9"/>
  <c r="H352" i="9"/>
  <c r="G352" i="9"/>
  <c r="I351" i="9"/>
  <c r="H351" i="9"/>
  <c r="G351" i="9"/>
  <c r="H350" i="9"/>
  <c r="G350" i="9"/>
  <c r="I350" i="9" s="1"/>
  <c r="G349" i="9"/>
  <c r="H349" i="9" s="1"/>
  <c r="I348" i="9"/>
  <c r="G348" i="9"/>
  <c r="H348" i="9" s="1"/>
  <c r="G347" i="9"/>
  <c r="H346" i="9"/>
  <c r="G346" i="9"/>
  <c r="I346" i="9" s="1"/>
  <c r="G345" i="9"/>
  <c r="I344" i="9"/>
  <c r="H344" i="9"/>
  <c r="G344" i="9"/>
  <c r="I343" i="9"/>
  <c r="H343" i="9"/>
  <c r="G343" i="9"/>
  <c r="H342" i="9"/>
  <c r="G342" i="9"/>
  <c r="I342" i="9" s="1"/>
  <c r="G341" i="9"/>
  <c r="H341" i="9" s="1"/>
  <c r="I340" i="9"/>
  <c r="G340" i="9"/>
  <c r="H340" i="9" s="1"/>
  <c r="G339" i="9"/>
  <c r="H339" i="9" s="1"/>
  <c r="G338" i="9"/>
  <c r="I338" i="9" s="1"/>
  <c r="G337" i="9"/>
  <c r="I336" i="9"/>
  <c r="H336" i="9"/>
  <c r="G336" i="9"/>
  <c r="I335" i="9"/>
  <c r="H335" i="9"/>
  <c r="G335" i="9"/>
  <c r="H334" i="9"/>
  <c r="G334" i="9"/>
  <c r="I334" i="9" s="1"/>
  <c r="G333" i="9"/>
  <c r="I332" i="9"/>
  <c r="G332" i="9"/>
  <c r="H332" i="9" s="1"/>
  <c r="I331" i="9"/>
  <c r="G331" i="9"/>
  <c r="H331" i="9" s="1"/>
  <c r="G330" i="9"/>
  <c r="I330" i="9" s="1"/>
  <c r="G329" i="9"/>
  <c r="I328" i="9"/>
  <c r="H328" i="9"/>
  <c r="G328" i="9"/>
  <c r="I327" i="9"/>
  <c r="H327" i="9"/>
  <c r="G327" i="9"/>
  <c r="H326" i="9"/>
  <c r="G326" i="9"/>
  <c r="I326" i="9" s="1"/>
  <c r="I325" i="9"/>
  <c r="G325" i="9"/>
  <c r="H325" i="9" s="1"/>
  <c r="I324" i="9"/>
  <c r="H324" i="9"/>
  <c r="G324" i="9"/>
  <c r="G323" i="9"/>
  <c r="H323" i="9" s="1"/>
  <c r="G322" i="9"/>
  <c r="G321" i="9"/>
  <c r="I320" i="9"/>
  <c r="H320" i="9"/>
  <c r="G320" i="9"/>
  <c r="I319" i="9"/>
  <c r="H319" i="9"/>
  <c r="G319" i="9"/>
  <c r="H318" i="9"/>
  <c r="G318" i="9"/>
  <c r="I318" i="9" s="1"/>
  <c r="G317" i="9"/>
  <c r="I316" i="9"/>
  <c r="H316" i="9"/>
  <c r="G316" i="9"/>
  <c r="H315" i="9"/>
  <c r="G315" i="9"/>
  <c r="I315" i="9" s="1"/>
  <c r="G314" i="9"/>
  <c r="I314" i="9" s="1"/>
  <c r="G313" i="9"/>
  <c r="I312" i="9"/>
  <c r="H312" i="9"/>
  <c r="G312" i="9"/>
  <c r="I311" i="9"/>
  <c r="H311" i="9"/>
  <c r="G311" i="9"/>
  <c r="H310" i="9"/>
  <c r="G310" i="9"/>
  <c r="I310" i="9" s="1"/>
  <c r="G309" i="9"/>
  <c r="H309" i="9" s="1"/>
  <c r="I308" i="9"/>
  <c r="H308" i="9"/>
  <c r="G308" i="9"/>
  <c r="I307" i="9"/>
  <c r="H307" i="9"/>
  <c r="G307" i="9"/>
  <c r="G306" i="9"/>
  <c r="I306" i="9" s="1"/>
  <c r="G305" i="9"/>
  <c r="I304" i="9"/>
  <c r="H304" i="9"/>
  <c r="G304" i="9"/>
  <c r="I303" i="9"/>
  <c r="H303" i="9"/>
  <c r="G303" i="9"/>
  <c r="H302" i="9"/>
  <c r="G302" i="9"/>
  <c r="I302" i="9" s="1"/>
  <c r="I301" i="9"/>
  <c r="G301" i="9"/>
  <c r="H301" i="9" s="1"/>
  <c r="I300" i="9"/>
  <c r="H300" i="9"/>
  <c r="G300" i="9"/>
  <c r="H299" i="9"/>
  <c r="G299" i="9"/>
  <c r="I299" i="9" s="1"/>
  <c r="H298" i="9"/>
  <c r="G298" i="9"/>
  <c r="I298" i="9" s="1"/>
  <c r="G297" i="9"/>
  <c r="H297" i="9" s="1"/>
  <c r="I296" i="9"/>
  <c r="H296" i="9"/>
  <c r="G296" i="9"/>
  <c r="H295" i="9"/>
  <c r="G295" i="9"/>
  <c r="I295" i="9" s="1"/>
  <c r="H294" i="9"/>
  <c r="G294" i="9"/>
  <c r="I294" i="9" s="1"/>
  <c r="I293" i="9"/>
  <c r="G293" i="9"/>
  <c r="H293" i="9" s="1"/>
  <c r="I292" i="9"/>
  <c r="H292" i="9"/>
  <c r="G292" i="9"/>
  <c r="G291" i="9"/>
  <c r="I291" i="9" s="1"/>
  <c r="H290" i="9"/>
  <c r="G290" i="9"/>
  <c r="I290" i="9" s="1"/>
  <c r="I289" i="9"/>
  <c r="G289" i="9"/>
  <c r="H289" i="9" s="1"/>
  <c r="I288" i="9"/>
  <c r="H288" i="9"/>
  <c r="G288" i="9"/>
  <c r="I287" i="9"/>
  <c r="G287" i="9"/>
  <c r="H287" i="9" s="1"/>
  <c r="H286" i="9"/>
  <c r="G286" i="9"/>
  <c r="I286" i="9" s="1"/>
  <c r="I285" i="9"/>
  <c r="G285" i="9"/>
  <c r="H285" i="9" s="1"/>
  <c r="I284" i="9"/>
  <c r="H284" i="9"/>
  <c r="G284" i="9"/>
  <c r="H283" i="9"/>
  <c r="G283" i="9"/>
  <c r="I283" i="9" s="1"/>
  <c r="H282" i="9"/>
  <c r="G282" i="9"/>
  <c r="I282" i="9" s="1"/>
  <c r="G281" i="9"/>
  <c r="I280" i="9"/>
  <c r="H280" i="9"/>
  <c r="G280" i="9"/>
  <c r="H279" i="9"/>
  <c r="G279" i="9"/>
  <c r="I279" i="9" s="1"/>
  <c r="G278" i="9"/>
  <c r="I278" i="9" s="1"/>
  <c r="G277" i="9"/>
  <c r="H277" i="9" s="1"/>
  <c r="I276" i="9"/>
  <c r="H276" i="9"/>
  <c r="G276" i="9"/>
  <c r="G275" i="9"/>
  <c r="I275" i="9" s="1"/>
  <c r="G274" i="9"/>
  <c r="I274" i="9" s="1"/>
  <c r="G273" i="9"/>
  <c r="H273" i="9" s="1"/>
  <c r="I272" i="9"/>
  <c r="H272" i="9"/>
  <c r="G272" i="9"/>
  <c r="I271" i="9"/>
  <c r="G271" i="9"/>
  <c r="H271" i="9" s="1"/>
  <c r="G270" i="9"/>
  <c r="I270" i="9" s="1"/>
  <c r="I269" i="9"/>
  <c r="G269" i="9"/>
  <c r="H269" i="9" s="1"/>
  <c r="I268" i="9"/>
  <c r="H268" i="9"/>
  <c r="G268" i="9"/>
  <c r="G267" i="9"/>
  <c r="I267" i="9" s="1"/>
  <c r="H266" i="9"/>
  <c r="G266" i="9"/>
  <c r="I266" i="9" s="1"/>
  <c r="G265" i="9"/>
  <c r="H265" i="9" s="1"/>
  <c r="I264" i="9"/>
  <c r="H264" i="9"/>
  <c r="G264" i="9"/>
  <c r="H263" i="9"/>
  <c r="G263" i="9"/>
  <c r="I263" i="9" s="1"/>
  <c r="H262" i="9"/>
  <c r="G262" i="9"/>
  <c r="I262" i="9" s="1"/>
  <c r="G261" i="9"/>
  <c r="H261" i="9" s="1"/>
  <c r="I260" i="9"/>
  <c r="H260" i="9"/>
  <c r="G260" i="9"/>
  <c r="G259" i="9"/>
  <c r="I259" i="9" s="1"/>
  <c r="G258" i="9"/>
  <c r="I258" i="9" s="1"/>
  <c r="G257" i="9"/>
  <c r="H257" i="9" s="1"/>
  <c r="I256" i="9"/>
  <c r="H256" i="9"/>
  <c r="G256" i="9"/>
  <c r="I255" i="9"/>
  <c r="G255" i="9"/>
  <c r="H255" i="9" s="1"/>
  <c r="G254" i="9"/>
  <c r="I254" i="9" s="1"/>
  <c r="I253" i="9"/>
  <c r="G253" i="9"/>
  <c r="H253" i="9" s="1"/>
  <c r="I252" i="9"/>
  <c r="H252" i="9"/>
  <c r="G252" i="9"/>
  <c r="G251" i="9"/>
  <c r="I251" i="9" s="1"/>
  <c r="H250" i="9"/>
  <c r="G250" i="9"/>
  <c r="I250" i="9" s="1"/>
  <c r="I249" i="9"/>
  <c r="G249" i="9"/>
  <c r="H249" i="9" s="1"/>
  <c r="I248" i="9"/>
  <c r="H248" i="9"/>
  <c r="G248" i="9"/>
  <c r="I247" i="9"/>
  <c r="H247" i="9"/>
  <c r="G247" i="9"/>
  <c r="G246" i="9"/>
  <c r="I246" i="9" s="1"/>
  <c r="G245" i="9"/>
  <c r="H245" i="9" s="1"/>
  <c r="I244" i="9"/>
  <c r="H244" i="9"/>
  <c r="G244" i="9"/>
  <c r="G243" i="9"/>
  <c r="I243" i="9" s="1"/>
  <c r="G242" i="9"/>
  <c r="I242" i="9" s="1"/>
  <c r="G241" i="9"/>
  <c r="I240" i="9"/>
  <c r="H240" i="9"/>
  <c r="G240" i="9"/>
  <c r="I239" i="9"/>
  <c r="G239" i="9"/>
  <c r="H239" i="9" s="1"/>
  <c r="G238" i="9"/>
  <c r="I237" i="9"/>
  <c r="G237" i="9"/>
  <c r="H237" i="9" s="1"/>
  <c r="I236" i="9"/>
  <c r="H236" i="9"/>
  <c r="G236" i="9"/>
  <c r="G235" i="9"/>
  <c r="H234" i="9"/>
  <c r="G234" i="9"/>
  <c r="I234" i="9" s="1"/>
  <c r="G233" i="9"/>
  <c r="H233" i="9" s="1"/>
  <c r="I232" i="9"/>
  <c r="H232" i="9"/>
  <c r="G232" i="9"/>
  <c r="I231" i="9"/>
  <c r="H231" i="9"/>
  <c r="G231" i="9"/>
  <c r="G230" i="9"/>
  <c r="I230" i="9" s="1"/>
  <c r="G229" i="9"/>
  <c r="H229" i="9" s="1"/>
  <c r="I228" i="9"/>
  <c r="H228" i="9"/>
  <c r="G228" i="9"/>
  <c r="G227" i="9"/>
  <c r="I227" i="9" s="1"/>
  <c r="G226" i="9"/>
  <c r="I226" i="9" s="1"/>
  <c r="G225" i="9"/>
  <c r="I224" i="9"/>
  <c r="H224" i="9"/>
  <c r="G224" i="9"/>
  <c r="I223" i="9"/>
  <c r="G223" i="9"/>
  <c r="H223" i="9" s="1"/>
  <c r="G222" i="9"/>
  <c r="I221" i="9"/>
  <c r="G221" i="9"/>
  <c r="H221" i="9" s="1"/>
  <c r="I220" i="9"/>
  <c r="H220" i="9"/>
  <c r="G220" i="9"/>
  <c r="G219" i="9"/>
  <c r="H218" i="9"/>
  <c r="G218" i="9"/>
  <c r="I218" i="9" s="1"/>
  <c r="G217" i="9"/>
  <c r="H217" i="9" s="1"/>
  <c r="I216" i="9"/>
  <c r="H216" i="9"/>
  <c r="G216" i="9"/>
  <c r="I215" i="9"/>
  <c r="H215" i="9"/>
  <c r="G215" i="9"/>
  <c r="G214" i="9"/>
  <c r="I214" i="9" s="1"/>
  <c r="G213" i="9"/>
  <c r="H213" i="9" s="1"/>
  <c r="I212" i="9"/>
  <c r="H212" i="9"/>
  <c r="G212" i="9"/>
  <c r="G211" i="9"/>
  <c r="I211" i="9" s="1"/>
  <c r="G210" i="9"/>
  <c r="I210" i="9" s="1"/>
  <c r="G209" i="9"/>
  <c r="I208" i="9"/>
  <c r="H208" i="9"/>
  <c r="G208" i="9"/>
  <c r="I207" i="9"/>
  <c r="G207" i="9"/>
  <c r="H207" i="9" s="1"/>
  <c r="G206" i="9"/>
  <c r="I205" i="9"/>
  <c r="G205" i="9"/>
  <c r="H205" i="9" s="1"/>
  <c r="I204" i="9"/>
  <c r="H204" i="9"/>
  <c r="G204" i="9"/>
  <c r="G203" i="9"/>
  <c r="H202" i="9"/>
  <c r="G202" i="9"/>
  <c r="I202" i="9" s="1"/>
  <c r="G201" i="9"/>
  <c r="H201" i="9" s="1"/>
  <c r="I200" i="9"/>
  <c r="H200" i="9"/>
  <c r="G200" i="9"/>
  <c r="I199" i="9"/>
  <c r="H199" i="9"/>
  <c r="G199" i="9"/>
  <c r="G198" i="9"/>
  <c r="I198" i="9" s="1"/>
  <c r="G197" i="9"/>
  <c r="H197" i="9" s="1"/>
  <c r="I196" i="9"/>
  <c r="H196" i="9"/>
  <c r="G196" i="9"/>
  <c r="G195" i="9"/>
  <c r="I195" i="9" s="1"/>
  <c r="G194" i="9"/>
  <c r="I194" i="9" s="1"/>
  <c r="G193" i="9"/>
  <c r="I192" i="9"/>
  <c r="H192" i="9"/>
  <c r="G192" i="9"/>
  <c r="I191" i="9"/>
  <c r="G191" i="9"/>
  <c r="H191" i="9" s="1"/>
  <c r="G190" i="9"/>
  <c r="I189" i="9"/>
  <c r="G189" i="9"/>
  <c r="H189" i="9" s="1"/>
  <c r="I188" i="9"/>
  <c r="H188" i="9"/>
  <c r="G188" i="9"/>
  <c r="G187" i="9"/>
  <c r="H186" i="9"/>
  <c r="G186" i="9"/>
  <c r="I186" i="9" s="1"/>
  <c r="G185" i="9"/>
  <c r="H185" i="9" s="1"/>
  <c r="I184" i="9"/>
  <c r="H184" i="9"/>
  <c r="G184" i="9"/>
  <c r="I183" i="9"/>
  <c r="H183" i="9"/>
  <c r="G183" i="9"/>
  <c r="G182" i="9"/>
  <c r="I182" i="9" s="1"/>
  <c r="G181" i="9"/>
  <c r="H181" i="9" s="1"/>
  <c r="I180" i="9"/>
  <c r="H180" i="9"/>
  <c r="G180" i="9"/>
  <c r="G179" i="9"/>
  <c r="I179" i="9" s="1"/>
  <c r="G178" i="9"/>
  <c r="I178" i="9" s="1"/>
  <c r="G177" i="9"/>
  <c r="I176" i="9"/>
  <c r="H176" i="9"/>
  <c r="G176" i="9"/>
  <c r="I175" i="9"/>
  <c r="G175" i="9"/>
  <c r="H175" i="9" s="1"/>
  <c r="G174" i="9"/>
  <c r="I173" i="9"/>
  <c r="G173" i="9"/>
  <c r="H173" i="9" s="1"/>
  <c r="I172" i="9"/>
  <c r="H172" i="9"/>
  <c r="G172" i="9"/>
  <c r="G171" i="9"/>
  <c r="H170" i="9"/>
  <c r="G170" i="9"/>
  <c r="I170" i="9" s="1"/>
  <c r="G169" i="9"/>
  <c r="H169" i="9" s="1"/>
  <c r="I168" i="9"/>
  <c r="H168" i="9"/>
  <c r="G168" i="9"/>
  <c r="I167" i="9"/>
  <c r="H167" i="9"/>
  <c r="G167" i="9"/>
  <c r="G166" i="9"/>
  <c r="I166" i="9" s="1"/>
  <c r="G165" i="9"/>
  <c r="H165" i="9" s="1"/>
  <c r="I164" i="9"/>
  <c r="H164" i="9"/>
  <c r="G164" i="9"/>
  <c r="G163" i="9"/>
  <c r="I163" i="9" s="1"/>
  <c r="G162" i="9"/>
  <c r="I162" i="9" s="1"/>
  <c r="G161" i="9"/>
  <c r="I160" i="9"/>
  <c r="H160" i="9"/>
  <c r="G160" i="9"/>
  <c r="I159" i="9"/>
  <c r="G159" i="9"/>
  <c r="H159" i="9" s="1"/>
  <c r="G158" i="9"/>
  <c r="I157" i="9"/>
  <c r="G157" i="9"/>
  <c r="H157" i="9" s="1"/>
  <c r="I156" i="9"/>
  <c r="H156" i="9"/>
  <c r="G156" i="9"/>
  <c r="G155" i="9"/>
  <c r="H154" i="9"/>
  <c r="G154" i="9"/>
  <c r="I154" i="9" s="1"/>
  <c r="G153" i="9"/>
  <c r="H153" i="9" s="1"/>
  <c r="I152" i="9"/>
  <c r="H152" i="9"/>
  <c r="G152" i="9"/>
  <c r="I151" i="9"/>
  <c r="H151" i="9"/>
  <c r="G151" i="9"/>
  <c r="G150" i="9"/>
  <c r="I150" i="9" s="1"/>
  <c r="G149" i="9"/>
  <c r="H149" i="9" s="1"/>
  <c r="I148" i="9"/>
  <c r="H148" i="9"/>
  <c r="G148" i="9"/>
  <c r="G147" i="9"/>
  <c r="I147" i="9" s="1"/>
  <c r="G146" i="9"/>
  <c r="I146" i="9" s="1"/>
  <c r="G145" i="9"/>
  <c r="I144" i="9"/>
  <c r="H144" i="9"/>
  <c r="G144" i="9"/>
  <c r="I143" i="9"/>
  <c r="G143" i="9"/>
  <c r="H143" i="9" s="1"/>
  <c r="G142" i="9"/>
  <c r="I141" i="9"/>
  <c r="G141" i="9"/>
  <c r="H141" i="9" s="1"/>
  <c r="I140" i="9"/>
  <c r="H140" i="9"/>
  <c r="G140" i="9"/>
  <c r="G139" i="9"/>
  <c r="H138" i="9"/>
  <c r="G138" i="9"/>
  <c r="I138" i="9" s="1"/>
  <c r="G137" i="9"/>
  <c r="H137" i="9" s="1"/>
  <c r="I136" i="9"/>
  <c r="H136" i="9"/>
  <c r="G136" i="9"/>
  <c r="I135" i="9"/>
  <c r="G135" i="9"/>
  <c r="H135" i="9" s="1"/>
  <c r="G134" i="9"/>
  <c r="I134" i="9" s="1"/>
  <c r="H133" i="9"/>
  <c r="G133" i="9"/>
  <c r="I133" i="9" s="1"/>
  <c r="I132" i="9"/>
  <c r="H132" i="9"/>
  <c r="G132" i="9"/>
  <c r="I131" i="9"/>
  <c r="H131" i="9"/>
  <c r="G131" i="9"/>
  <c r="G130" i="9"/>
  <c r="I129" i="9"/>
  <c r="G129" i="9"/>
  <c r="H129" i="9" s="1"/>
  <c r="I128" i="9"/>
  <c r="H128" i="9"/>
  <c r="G128" i="9"/>
  <c r="G127" i="9"/>
  <c r="H126" i="9"/>
  <c r="G126" i="9"/>
  <c r="I126" i="9" s="1"/>
  <c r="I125" i="9"/>
  <c r="H125" i="9"/>
  <c r="G125" i="9"/>
  <c r="I124" i="9"/>
  <c r="H124" i="9"/>
  <c r="G124" i="9"/>
  <c r="G123" i="9"/>
  <c r="I122" i="9"/>
  <c r="G122" i="9"/>
  <c r="H122" i="9" s="1"/>
  <c r="G121" i="9"/>
  <c r="G120" i="9"/>
  <c r="I120" i="9" s="1"/>
  <c r="I119" i="9"/>
  <c r="G119" i="9"/>
  <c r="H119" i="9" s="1"/>
  <c r="G118" i="9"/>
  <c r="I117" i="9"/>
  <c r="G117" i="9"/>
  <c r="H117" i="9" s="1"/>
  <c r="I116" i="9"/>
  <c r="H116" i="9"/>
  <c r="G116" i="9"/>
  <c r="H115" i="9"/>
  <c r="G115" i="9"/>
  <c r="I115" i="9" s="1"/>
  <c r="I114" i="9"/>
  <c r="G114" i="9"/>
  <c r="H114" i="9" s="1"/>
  <c r="G113" i="9"/>
  <c r="H113" i="9" s="1"/>
  <c r="H112" i="9"/>
  <c r="G112" i="9"/>
  <c r="I112" i="9" s="1"/>
  <c r="I111" i="9"/>
  <c r="G111" i="9"/>
  <c r="H111" i="9" s="1"/>
  <c r="G110" i="9"/>
  <c r="I110" i="9" s="1"/>
  <c r="H109" i="9"/>
  <c r="G109" i="9"/>
  <c r="I109" i="9" s="1"/>
  <c r="I108" i="9"/>
  <c r="H108" i="9"/>
  <c r="G108" i="9"/>
  <c r="I107" i="9"/>
  <c r="H107" i="9"/>
  <c r="G107" i="9"/>
  <c r="G106" i="9"/>
  <c r="I106" i="9" s="1"/>
  <c r="G105" i="9"/>
  <c r="I104" i="9"/>
  <c r="H104" i="9"/>
  <c r="G104" i="9"/>
  <c r="G103" i="9"/>
  <c r="I103" i="9" s="1"/>
  <c r="G102" i="9"/>
  <c r="H101" i="9"/>
  <c r="G101" i="9"/>
  <c r="I101" i="9" s="1"/>
  <c r="I100" i="9"/>
  <c r="H100" i="9"/>
  <c r="G100" i="9"/>
  <c r="I99" i="9"/>
  <c r="H99" i="9"/>
  <c r="G99" i="9"/>
  <c r="G98" i="9"/>
  <c r="H98" i="9" s="1"/>
  <c r="G97" i="9"/>
  <c r="H97" i="9" s="1"/>
  <c r="I96" i="9"/>
  <c r="H96" i="9"/>
  <c r="G96" i="9"/>
  <c r="I95" i="9"/>
  <c r="G95" i="9"/>
  <c r="H95" i="9" s="1"/>
  <c r="H94" i="9"/>
  <c r="G94" i="9"/>
  <c r="I94" i="9" s="1"/>
  <c r="I93" i="9"/>
  <c r="H93" i="9"/>
  <c r="G93" i="9"/>
  <c r="I92" i="9"/>
  <c r="H92" i="9"/>
  <c r="G92" i="9"/>
  <c r="I91" i="9"/>
  <c r="G91" i="9"/>
  <c r="H91" i="9" s="1"/>
  <c r="G90" i="9"/>
  <c r="H90" i="9" s="1"/>
  <c r="G89" i="9"/>
  <c r="I88" i="9"/>
  <c r="G88" i="9"/>
  <c r="H88" i="9" s="1"/>
  <c r="G87" i="9"/>
  <c r="H87" i="9" s="1"/>
  <c r="G86" i="9"/>
  <c r="G85" i="9"/>
  <c r="I84" i="9"/>
  <c r="H84" i="9"/>
  <c r="G84" i="9"/>
  <c r="H83" i="9"/>
  <c r="G83" i="9"/>
  <c r="I83" i="9" s="1"/>
  <c r="G82" i="9"/>
  <c r="G81" i="9"/>
  <c r="H80" i="9"/>
  <c r="G80" i="9"/>
  <c r="I80" i="9" s="1"/>
  <c r="G79" i="9"/>
  <c r="I79" i="9" s="1"/>
  <c r="G78" i="9"/>
  <c r="H77" i="9"/>
  <c r="G77" i="9"/>
  <c r="I77" i="9" s="1"/>
  <c r="I76" i="9"/>
  <c r="H76" i="9"/>
  <c r="G76" i="9"/>
  <c r="H75" i="9"/>
  <c r="G75" i="9"/>
  <c r="I75" i="9" s="1"/>
  <c r="H74" i="9"/>
  <c r="G74" i="9"/>
  <c r="I74" i="9" s="1"/>
  <c r="I73" i="9"/>
  <c r="G73" i="9"/>
  <c r="H73" i="9" s="1"/>
  <c r="H72" i="9"/>
  <c r="G72" i="9"/>
  <c r="I72" i="9" s="1"/>
  <c r="G71" i="9"/>
  <c r="G70" i="9"/>
  <c r="I70" i="9" s="1"/>
  <c r="H69" i="9"/>
  <c r="G69" i="9"/>
  <c r="I69" i="9" s="1"/>
  <c r="I68" i="9"/>
  <c r="H68" i="9"/>
  <c r="G68" i="9"/>
  <c r="I67" i="9"/>
  <c r="H67" i="9"/>
  <c r="G67" i="9"/>
  <c r="G66" i="9"/>
  <c r="H66" i="9" s="1"/>
  <c r="G65" i="9"/>
  <c r="H65" i="9" s="1"/>
  <c r="I64" i="9"/>
  <c r="H64" i="9"/>
  <c r="G64" i="9"/>
  <c r="I63" i="9"/>
  <c r="G63" i="9"/>
  <c r="H63" i="9" s="1"/>
  <c r="H62" i="9"/>
  <c r="G62" i="9"/>
  <c r="I62" i="9" s="1"/>
  <c r="I61" i="9"/>
  <c r="H61" i="9"/>
  <c r="G61" i="9"/>
  <c r="I60" i="9"/>
  <c r="H60" i="9"/>
  <c r="G60" i="9"/>
  <c r="G59" i="9"/>
  <c r="I59" i="9" s="1"/>
  <c r="G58" i="9"/>
  <c r="G57" i="9"/>
  <c r="I56" i="9"/>
  <c r="G56" i="9"/>
  <c r="H56" i="9" s="1"/>
  <c r="G55" i="9"/>
  <c r="H55" i="9" s="1"/>
  <c r="G54" i="9"/>
  <c r="I53" i="9"/>
  <c r="G53" i="9"/>
  <c r="H53" i="9" s="1"/>
  <c r="I52" i="9"/>
  <c r="H52" i="9"/>
  <c r="G52" i="9"/>
  <c r="H51" i="9"/>
  <c r="G51" i="9"/>
  <c r="I51" i="9" s="1"/>
  <c r="I50" i="9"/>
  <c r="G50" i="9"/>
  <c r="H50" i="9" s="1"/>
  <c r="G49" i="9"/>
  <c r="H48" i="9"/>
  <c r="G48" i="9"/>
  <c r="I48" i="9" s="1"/>
  <c r="G47" i="9"/>
  <c r="G46" i="9"/>
  <c r="H45" i="9"/>
  <c r="G45" i="9"/>
  <c r="I45" i="9" s="1"/>
  <c r="I44" i="9"/>
  <c r="H44" i="9"/>
  <c r="G44" i="9"/>
  <c r="H43" i="9"/>
  <c r="G43" i="9"/>
  <c r="I43" i="9" s="1"/>
  <c r="I42" i="9"/>
  <c r="H42" i="9"/>
  <c r="G42" i="9"/>
  <c r="I41" i="9"/>
  <c r="G41" i="9"/>
  <c r="H41" i="9" s="1"/>
  <c r="H40" i="9"/>
  <c r="G40" i="9"/>
  <c r="I40" i="9" s="1"/>
  <c r="I39" i="9"/>
  <c r="G39" i="9"/>
  <c r="H39" i="9" s="1"/>
  <c r="G38" i="9"/>
  <c r="I38" i="9" s="1"/>
  <c r="H37" i="9"/>
  <c r="G37" i="9"/>
  <c r="I37" i="9" s="1"/>
  <c r="I36" i="9"/>
  <c r="H36" i="9"/>
  <c r="G36" i="9"/>
  <c r="I35" i="9"/>
  <c r="H35" i="9"/>
  <c r="G35" i="9"/>
  <c r="G34" i="9"/>
  <c r="H34" i="9" s="1"/>
  <c r="G33" i="9"/>
  <c r="I32" i="9"/>
  <c r="H32" i="9"/>
  <c r="G32" i="9"/>
  <c r="I31" i="9"/>
  <c r="G31" i="9"/>
  <c r="H31" i="9" s="1"/>
  <c r="H30" i="9"/>
  <c r="G30" i="9"/>
  <c r="I30" i="9" s="1"/>
  <c r="I29" i="9"/>
  <c r="H29" i="9"/>
  <c r="G29" i="9"/>
  <c r="I28" i="9"/>
  <c r="H28" i="9"/>
  <c r="G28" i="9"/>
  <c r="G27" i="9"/>
  <c r="G26" i="9"/>
  <c r="H26" i="9" s="1"/>
  <c r="G25" i="9"/>
  <c r="G24" i="9"/>
  <c r="I24" i="9" s="1"/>
  <c r="G23" i="9"/>
  <c r="G22" i="9"/>
  <c r="I21" i="9"/>
  <c r="G21" i="9"/>
  <c r="H21" i="9" s="1"/>
  <c r="G20" i="9"/>
  <c r="H20" i="9" s="1"/>
  <c r="G19" i="9"/>
  <c r="I18" i="9"/>
  <c r="H18" i="9"/>
  <c r="G18" i="9"/>
  <c r="H17" i="9"/>
  <c r="G17" i="9"/>
  <c r="I17" i="9" s="1"/>
  <c r="G16" i="9"/>
  <c r="I15" i="9"/>
  <c r="H15" i="9"/>
  <c r="G15" i="9"/>
  <c r="I14" i="9"/>
  <c r="G14" i="9"/>
  <c r="H14" i="9" s="1"/>
  <c r="G13" i="9"/>
  <c r="G12" i="9"/>
  <c r="H12" i="9" s="1"/>
  <c r="G11" i="9"/>
  <c r="I11" i="9" s="1"/>
  <c r="H10" i="9"/>
  <c r="G10" i="9"/>
  <c r="I10" i="9" s="1"/>
  <c r="H9" i="9"/>
  <c r="G9" i="9"/>
  <c r="I9" i="9" s="1"/>
  <c r="I8" i="9"/>
  <c r="G8" i="9"/>
  <c r="H8" i="9" s="1"/>
  <c r="I7" i="9"/>
  <c r="H7" i="9"/>
  <c r="G7" i="9"/>
  <c r="I6" i="9"/>
  <c r="G6" i="9"/>
  <c r="H6" i="9" s="1"/>
  <c r="I5" i="9"/>
  <c r="G5" i="9"/>
  <c r="H5" i="9" s="1"/>
  <c r="G4" i="9"/>
  <c r="H4" i="9" s="1"/>
  <c r="G3" i="9"/>
  <c r="I2" i="9"/>
  <c r="H2" i="9"/>
  <c r="G2" i="9"/>
  <c r="E79" i="8"/>
  <c r="G78" i="8"/>
  <c r="I77" i="8"/>
  <c r="H77" i="8"/>
  <c r="G77" i="8"/>
  <c r="I76" i="8"/>
  <c r="G76" i="8"/>
  <c r="H76" i="8" s="1"/>
  <c r="G75" i="8"/>
  <c r="G74" i="8"/>
  <c r="H74" i="8" s="1"/>
  <c r="G73" i="8"/>
  <c r="I73" i="8" s="1"/>
  <c r="H72" i="8"/>
  <c r="G72" i="8"/>
  <c r="I72" i="8" s="1"/>
  <c r="H71" i="8"/>
  <c r="G71" i="8"/>
  <c r="I71" i="8" s="1"/>
  <c r="I70" i="8"/>
  <c r="G70" i="8"/>
  <c r="H70" i="8" s="1"/>
  <c r="I69" i="8"/>
  <c r="H69" i="8"/>
  <c r="G69" i="8"/>
  <c r="I68" i="8"/>
  <c r="G68" i="8"/>
  <c r="H68" i="8" s="1"/>
  <c r="I67" i="8"/>
  <c r="G67" i="8"/>
  <c r="H67" i="8" s="1"/>
  <c r="G66" i="8"/>
  <c r="H66" i="8" s="1"/>
  <c r="G65" i="8"/>
  <c r="I64" i="8"/>
  <c r="H64" i="8"/>
  <c r="G64" i="8"/>
  <c r="H63" i="8"/>
  <c r="G63" i="8"/>
  <c r="I63" i="8" s="1"/>
  <c r="G62" i="8"/>
  <c r="I61" i="8"/>
  <c r="H61" i="8"/>
  <c r="G61" i="8"/>
  <c r="I60" i="8"/>
  <c r="G60" i="8"/>
  <c r="H60" i="8" s="1"/>
  <c r="G59" i="8"/>
  <c r="G58" i="8"/>
  <c r="H58" i="8" s="1"/>
  <c r="G57" i="8"/>
  <c r="I57" i="8" s="1"/>
  <c r="H56" i="8"/>
  <c r="G56" i="8"/>
  <c r="I56" i="8" s="1"/>
  <c r="H55" i="8"/>
  <c r="G55" i="8"/>
  <c r="I55" i="8" s="1"/>
  <c r="I54" i="8"/>
  <c r="G54" i="8"/>
  <c r="H54" i="8" s="1"/>
  <c r="I53" i="8"/>
  <c r="H53" i="8"/>
  <c r="G53" i="8"/>
  <c r="I52" i="8"/>
  <c r="G52" i="8"/>
  <c r="H52" i="8" s="1"/>
  <c r="I51" i="8"/>
  <c r="G51" i="8"/>
  <c r="H51" i="8" s="1"/>
  <c r="G50" i="8"/>
  <c r="H50" i="8" s="1"/>
  <c r="G49" i="8"/>
  <c r="I48" i="8"/>
  <c r="H48" i="8"/>
  <c r="G48" i="8"/>
  <c r="H47" i="8"/>
  <c r="G47" i="8"/>
  <c r="I47" i="8" s="1"/>
  <c r="G46" i="8"/>
  <c r="I45" i="8"/>
  <c r="H45" i="8"/>
  <c r="G45" i="8"/>
  <c r="I44" i="8"/>
  <c r="G44" i="8"/>
  <c r="H44" i="8" s="1"/>
  <c r="G43" i="8"/>
  <c r="G42" i="8"/>
  <c r="H42" i="8" s="1"/>
  <c r="G41" i="8"/>
  <c r="I41" i="8" s="1"/>
  <c r="H40" i="8"/>
  <c r="G40" i="8"/>
  <c r="I40" i="8" s="1"/>
  <c r="H39" i="8"/>
  <c r="G39" i="8"/>
  <c r="I39" i="8" s="1"/>
  <c r="I38" i="8"/>
  <c r="G38" i="8"/>
  <c r="H38" i="8" s="1"/>
  <c r="I37" i="8"/>
  <c r="H37" i="8"/>
  <c r="G37" i="8"/>
  <c r="I36" i="8"/>
  <c r="G36" i="8"/>
  <c r="H36" i="8" s="1"/>
  <c r="I35" i="8"/>
  <c r="G35" i="8"/>
  <c r="H35" i="8" s="1"/>
  <c r="G34" i="8"/>
  <c r="H34" i="8" s="1"/>
  <c r="G33" i="8"/>
  <c r="I32" i="8"/>
  <c r="H32" i="8"/>
  <c r="G32" i="8"/>
  <c r="H31" i="8"/>
  <c r="G31" i="8"/>
  <c r="I31" i="8" s="1"/>
  <c r="G30" i="8"/>
  <c r="I29" i="8"/>
  <c r="H29" i="8"/>
  <c r="G29" i="8"/>
  <c r="I28" i="8"/>
  <c r="G28" i="8"/>
  <c r="H28" i="8" s="1"/>
  <c r="G27" i="8"/>
  <c r="G26" i="8"/>
  <c r="G25" i="8"/>
  <c r="I25" i="8" s="1"/>
  <c r="H24" i="8"/>
  <c r="G24" i="8"/>
  <c r="I24" i="8" s="1"/>
  <c r="H23" i="8"/>
  <c r="G23" i="8"/>
  <c r="I23" i="8" s="1"/>
  <c r="I22" i="8"/>
  <c r="G22" i="8"/>
  <c r="H22" i="8" s="1"/>
  <c r="I21" i="8"/>
  <c r="H21" i="8"/>
  <c r="G21" i="8"/>
  <c r="I20" i="8"/>
  <c r="G20" i="8"/>
  <c r="H20" i="8" s="1"/>
  <c r="I19" i="8"/>
  <c r="G19" i="8"/>
  <c r="H19" i="8" s="1"/>
  <c r="G18" i="8"/>
  <c r="H18" i="8" s="1"/>
  <c r="G17" i="8"/>
  <c r="I16" i="8"/>
  <c r="H16" i="8"/>
  <c r="G16" i="8"/>
  <c r="H15" i="8"/>
  <c r="G15" i="8"/>
  <c r="I15" i="8" s="1"/>
  <c r="G14" i="8"/>
  <c r="I13" i="8"/>
  <c r="H13" i="8"/>
  <c r="G13" i="8"/>
  <c r="I12" i="8"/>
  <c r="G12" i="8"/>
  <c r="H12" i="8" s="1"/>
  <c r="G11" i="8"/>
  <c r="G10" i="8"/>
  <c r="G9" i="8"/>
  <c r="I9" i="8" s="1"/>
  <c r="H8" i="8"/>
  <c r="G8" i="8"/>
  <c r="I8" i="8" s="1"/>
  <c r="H7" i="8"/>
  <c r="G7" i="8"/>
  <c r="I7" i="8" s="1"/>
  <c r="I6" i="8"/>
  <c r="G6" i="8"/>
  <c r="H6" i="8" s="1"/>
  <c r="I5" i="8"/>
  <c r="H5" i="8"/>
  <c r="G5" i="8"/>
  <c r="I4" i="8"/>
  <c r="G4" i="8"/>
  <c r="H4" i="8" s="1"/>
  <c r="I3" i="8"/>
  <c r="G3" i="8"/>
  <c r="H3" i="8" s="1"/>
  <c r="G2" i="8"/>
  <c r="H2" i="8" s="1"/>
  <c r="J482" i="7"/>
  <c r="I482" i="7"/>
  <c r="H482" i="7"/>
  <c r="G482" i="7"/>
  <c r="H481" i="7"/>
  <c r="I481" i="7" s="1"/>
  <c r="G481" i="7"/>
  <c r="H480" i="7"/>
  <c r="I480" i="7" s="1"/>
  <c r="G480" i="7"/>
  <c r="H479" i="7"/>
  <c r="I479" i="7" s="1"/>
  <c r="G479" i="7"/>
  <c r="J479" i="7" s="1"/>
  <c r="I478" i="7"/>
  <c r="H478" i="7"/>
  <c r="G478" i="7"/>
  <c r="H477" i="7"/>
  <c r="I477" i="7" s="1"/>
  <c r="G477" i="7"/>
  <c r="J476" i="7"/>
  <c r="H476" i="7"/>
  <c r="I476" i="7" s="1"/>
  <c r="G476" i="7"/>
  <c r="J475" i="7"/>
  <c r="H475" i="7"/>
  <c r="I475" i="7" s="1"/>
  <c r="G475" i="7"/>
  <c r="I474" i="7"/>
  <c r="H474" i="7"/>
  <c r="G474" i="7"/>
  <c r="H473" i="7"/>
  <c r="G473" i="7"/>
  <c r="J472" i="7"/>
  <c r="H472" i="7"/>
  <c r="I472" i="7" s="1"/>
  <c r="G472" i="7"/>
  <c r="H471" i="7"/>
  <c r="I471" i="7" s="1"/>
  <c r="G471" i="7"/>
  <c r="J471" i="7" s="1"/>
  <c r="I470" i="7"/>
  <c r="H470" i="7"/>
  <c r="J470" i="7" s="1"/>
  <c r="G470" i="7"/>
  <c r="H469" i="7"/>
  <c r="G469" i="7"/>
  <c r="H468" i="7"/>
  <c r="I468" i="7" s="1"/>
  <c r="G468" i="7"/>
  <c r="H467" i="7"/>
  <c r="I467" i="7" s="1"/>
  <c r="G467" i="7"/>
  <c r="H466" i="7"/>
  <c r="I466" i="7" s="1"/>
  <c r="G466" i="7"/>
  <c r="H465" i="7"/>
  <c r="G465" i="7"/>
  <c r="H464" i="7"/>
  <c r="I464" i="7" s="1"/>
  <c r="G464" i="7"/>
  <c r="H463" i="7"/>
  <c r="I463" i="7" s="1"/>
  <c r="G463" i="7"/>
  <c r="J463" i="7" s="1"/>
  <c r="J462" i="7"/>
  <c r="H462" i="7"/>
  <c r="I462" i="7" s="1"/>
  <c r="G462" i="7"/>
  <c r="H461" i="7"/>
  <c r="I461" i="7" s="1"/>
  <c r="G461" i="7"/>
  <c r="J461" i="7" s="1"/>
  <c r="H460" i="7"/>
  <c r="I460" i="7" s="1"/>
  <c r="G460" i="7"/>
  <c r="H459" i="7"/>
  <c r="I459" i="7" s="1"/>
  <c r="G459" i="7"/>
  <c r="H458" i="7"/>
  <c r="I458" i="7" s="1"/>
  <c r="G458" i="7"/>
  <c r="H457" i="7"/>
  <c r="G457" i="7"/>
  <c r="H456" i="7"/>
  <c r="I456" i="7" s="1"/>
  <c r="G456" i="7"/>
  <c r="H455" i="7"/>
  <c r="I455" i="7" s="1"/>
  <c r="G455" i="7"/>
  <c r="J455" i="7" s="1"/>
  <c r="J454" i="7"/>
  <c r="H454" i="7"/>
  <c r="I454" i="7" s="1"/>
  <c r="G454" i="7"/>
  <c r="H453" i="7"/>
  <c r="I453" i="7" s="1"/>
  <c r="G453" i="7"/>
  <c r="J453" i="7" s="1"/>
  <c r="H452" i="7"/>
  <c r="I452" i="7" s="1"/>
  <c r="G452" i="7"/>
  <c r="H451" i="7"/>
  <c r="I451" i="7" s="1"/>
  <c r="G451" i="7"/>
  <c r="H450" i="7"/>
  <c r="I450" i="7" s="1"/>
  <c r="G450" i="7"/>
  <c r="H449" i="7"/>
  <c r="G449" i="7"/>
  <c r="H448" i="7"/>
  <c r="I448" i="7" s="1"/>
  <c r="G448" i="7"/>
  <c r="H447" i="7"/>
  <c r="I447" i="7" s="1"/>
  <c r="G447" i="7"/>
  <c r="J447" i="7" s="1"/>
  <c r="J446" i="7"/>
  <c r="H446" i="7"/>
  <c r="I446" i="7" s="1"/>
  <c r="G446" i="7"/>
  <c r="H445" i="7"/>
  <c r="I445" i="7" s="1"/>
  <c r="G445" i="7"/>
  <c r="J445" i="7" s="1"/>
  <c r="H444" i="7"/>
  <c r="I444" i="7" s="1"/>
  <c r="G444" i="7"/>
  <c r="H443" i="7"/>
  <c r="I443" i="7" s="1"/>
  <c r="G443" i="7"/>
  <c r="J443" i="7" s="1"/>
  <c r="H442" i="7"/>
  <c r="I442" i="7" s="1"/>
  <c r="G442" i="7"/>
  <c r="H441" i="7"/>
  <c r="G441" i="7"/>
  <c r="H440" i="7"/>
  <c r="I440" i="7" s="1"/>
  <c r="G440" i="7"/>
  <c r="H439" i="7"/>
  <c r="I439" i="7" s="1"/>
  <c r="G439" i="7"/>
  <c r="J439" i="7" s="1"/>
  <c r="J438" i="7"/>
  <c r="H438" i="7"/>
  <c r="I438" i="7" s="1"/>
  <c r="G438" i="7"/>
  <c r="J437" i="7"/>
  <c r="H437" i="7"/>
  <c r="I437" i="7" s="1"/>
  <c r="G437" i="7"/>
  <c r="H436" i="7"/>
  <c r="I436" i="7" s="1"/>
  <c r="G436" i="7"/>
  <c r="H435" i="7"/>
  <c r="I435" i="7" s="1"/>
  <c r="G435" i="7"/>
  <c r="J435" i="7" s="1"/>
  <c r="H434" i="7"/>
  <c r="I434" i="7" s="1"/>
  <c r="G434" i="7"/>
  <c r="H433" i="7"/>
  <c r="G433" i="7"/>
  <c r="H432" i="7"/>
  <c r="I432" i="7" s="1"/>
  <c r="G432" i="7"/>
  <c r="J431" i="7"/>
  <c r="H431" i="7"/>
  <c r="G431" i="7"/>
  <c r="J430" i="7"/>
  <c r="H430" i="7"/>
  <c r="I430" i="7" s="1"/>
  <c r="G430" i="7"/>
  <c r="J429" i="7"/>
  <c r="H429" i="7"/>
  <c r="I429" i="7" s="1"/>
  <c r="G429" i="7"/>
  <c r="H428" i="7"/>
  <c r="I428" i="7" s="1"/>
  <c r="G428" i="7"/>
  <c r="H427" i="7"/>
  <c r="G427" i="7"/>
  <c r="H426" i="7"/>
  <c r="I426" i="7" s="1"/>
  <c r="G426" i="7"/>
  <c r="H425" i="7"/>
  <c r="G425" i="7"/>
  <c r="H424" i="7"/>
  <c r="I424" i="7" s="1"/>
  <c r="G424" i="7"/>
  <c r="H423" i="7"/>
  <c r="I423" i="7" s="1"/>
  <c r="G423" i="7"/>
  <c r="J423" i="7" s="1"/>
  <c r="J422" i="7"/>
  <c r="H422" i="7"/>
  <c r="I422" i="7" s="1"/>
  <c r="G422" i="7"/>
  <c r="J421" i="7"/>
  <c r="H421" i="7"/>
  <c r="I421" i="7" s="1"/>
  <c r="G421" i="7"/>
  <c r="H420" i="7"/>
  <c r="I420" i="7" s="1"/>
  <c r="G420" i="7"/>
  <c r="H419" i="7"/>
  <c r="I419" i="7" s="1"/>
  <c r="G419" i="7"/>
  <c r="H418" i="7"/>
  <c r="I418" i="7" s="1"/>
  <c r="G418" i="7"/>
  <c r="H417" i="7"/>
  <c r="G417" i="7"/>
  <c r="H416" i="7"/>
  <c r="I416" i="7" s="1"/>
  <c r="G416" i="7"/>
  <c r="H415" i="7"/>
  <c r="I415" i="7" s="1"/>
  <c r="G415" i="7"/>
  <c r="J415" i="7" s="1"/>
  <c r="J414" i="7"/>
  <c r="H414" i="7"/>
  <c r="I414" i="7" s="1"/>
  <c r="G414" i="7"/>
  <c r="J413" i="7"/>
  <c r="H413" i="7"/>
  <c r="I413" i="7" s="1"/>
  <c r="G413" i="7"/>
  <c r="H412" i="7"/>
  <c r="I412" i="7" s="1"/>
  <c r="G412" i="7"/>
  <c r="H411" i="7"/>
  <c r="I411" i="7" s="1"/>
  <c r="G411" i="7"/>
  <c r="H410" i="7"/>
  <c r="I410" i="7" s="1"/>
  <c r="G410" i="7"/>
  <c r="H409" i="7"/>
  <c r="G409" i="7"/>
  <c r="H408" i="7"/>
  <c r="I408" i="7" s="1"/>
  <c r="G408" i="7"/>
  <c r="H407" i="7"/>
  <c r="I407" i="7" s="1"/>
  <c r="G407" i="7"/>
  <c r="J407" i="7" s="1"/>
  <c r="J406" i="7"/>
  <c r="H406" i="7"/>
  <c r="I406" i="7" s="1"/>
  <c r="G406" i="7"/>
  <c r="J405" i="7"/>
  <c r="H405" i="7"/>
  <c r="I405" i="7" s="1"/>
  <c r="G405" i="7"/>
  <c r="H404" i="7"/>
  <c r="I404" i="7" s="1"/>
  <c r="G404" i="7"/>
  <c r="H403" i="7"/>
  <c r="I403" i="7" s="1"/>
  <c r="G403" i="7"/>
  <c r="H402" i="7"/>
  <c r="I402" i="7" s="1"/>
  <c r="G402" i="7"/>
  <c r="H401" i="7"/>
  <c r="G401" i="7"/>
  <c r="H400" i="7"/>
  <c r="I400" i="7" s="1"/>
  <c r="G400" i="7"/>
  <c r="H399" i="7"/>
  <c r="I399" i="7" s="1"/>
  <c r="G399" i="7"/>
  <c r="J399" i="7" s="1"/>
  <c r="J398" i="7"/>
  <c r="H398" i="7"/>
  <c r="I398" i="7" s="1"/>
  <c r="G398" i="7"/>
  <c r="J397" i="7"/>
  <c r="H397" i="7"/>
  <c r="I397" i="7" s="1"/>
  <c r="G397" i="7"/>
  <c r="H396" i="7"/>
  <c r="G396" i="7"/>
  <c r="H395" i="7"/>
  <c r="I395" i="7" s="1"/>
  <c r="G395" i="7"/>
  <c r="H394" i="7"/>
  <c r="I394" i="7" s="1"/>
  <c r="G394" i="7"/>
  <c r="H393" i="7"/>
  <c r="G393" i="7"/>
  <c r="H392" i="7"/>
  <c r="I392" i="7" s="1"/>
  <c r="G392" i="7"/>
  <c r="H391" i="7"/>
  <c r="I391" i="7" s="1"/>
  <c r="G391" i="7"/>
  <c r="J391" i="7" s="1"/>
  <c r="J390" i="7"/>
  <c r="H390" i="7"/>
  <c r="I390" i="7" s="1"/>
  <c r="G390" i="7"/>
  <c r="J389" i="7"/>
  <c r="H389" i="7"/>
  <c r="I389" i="7" s="1"/>
  <c r="G389" i="7"/>
  <c r="H388" i="7"/>
  <c r="I388" i="7" s="1"/>
  <c r="G388" i="7"/>
  <c r="H387" i="7"/>
  <c r="I387" i="7" s="1"/>
  <c r="G387" i="7"/>
  <c r="H386" i="7"/>
  <c r="I386" i="7" s="1"/>
  <c r="G386" i="7"/>
  <c r="H385" i="7"/>
  <c r="G385" i="7"/>
  <c r="H384" i="7"/>
  <c r="I384" i="7" s="1"/>
  <c r="G384" i="7"/>
  <c r="H383" i="7"/>
  <c r="I383" i="7" s="1"/>
  <c r="G383" i="7"/>
  <c r="J383" i="7" s="1"/>
  <c r="J382" i="7"/>
  <c r="H382" i="7"/>
  <c r="I382" i="7" s="1"/>
  <c r="G382" i="7"/>
  <c r="J381" i="7"/>
  <c r="H381" i="7"/>
  <c r="I381" i="7" s="1"/>
  <c r="G381" i="7"/>
  <c r="H380" i="7"/>
  <c r="I380" i="7" s="1"/>
  <c r="G380" i="7"/>
  <c r="H379" i="7"/>
  <c r="I379" i="7" s="1"/>
  <c r="G379" i="7"/>
  <c r="J379" i="7" s="1"/>
  <c r="H378" i="7"/>
  <c r="I378" i="7" s="1"/>
  <c r="G378" i="7"/>
  <c r="H377" i="7"/>
  <c r="G377" i="7"/>
  <c r="H376" i="7"/>
  <c r="I376" i="7" s="1"/>
  <c r="G376" i="7"/>
  <c r="H375" i="7"/>
  <c r="I375" i="7" s="1"/>
  <c r="G375" i="7"/>
  <c r="J375" i="7" s="1"/>
  <c r="J374" i="7"/>
  <c r="H374" i="7"/>
  <c r="I374" i="7" s="1"/>
  <c r="G374" i="7"/>
  <c r="J373" i="7"/>
  <c r="H373" i="7"/>
  <c r="I373" i="7" s="1"/>
  <c r="G373" i="7"/>
  <c r="H372" i="7"/>
  <c r="I372" i="7" s="1"/>
  <c r="G372" i="7"/>
  <c r="H371" i="7"/>
  <c r="J371" i="7" s="1"/>
  <c r="G371" i="7"/>
  <c r="H370" i="7"/>
  <c r="I370" i="7" s="1"/>
  <c r="G370" i="7"/>
  <c r="J370" i="7" s="1"/>
  <c r="J369" i="7"/>
  <c r="I369" i="7"/>
  <c r="H369" i="7"/>
  <c r="G369" i="7"/>
  <c r="H368" i="7"/>
  <c r="I368" i="7" s="1"/>
  <c r="G368" i="7"/>
  <c r="J367" i="7"/>
  <c r="I367" i="7"/>
  <c r="H367" i="7"/>
  <c r="G367" i="7"/>
  <c r="J366" i="7"/>
  <c r="H366" i="7"/>
  <c r="I366" i="7" s="1"/>
  <c r="G366" i="7"/>
  <c r="H365" i="7"/>
  <c r="G365" i="7"/>
  <c r="H364" i="7"/>
  <c r="I364" i="7" s="1"/>
  <c r="G364" i="7"/>
  <c r="H363" i="7"/>
  <c r="J363" i="7" s="1"/>
  <c r="G363" i="7"/>
  <c r="H362" i="7"/>
  <c r="I362" i="7" s="1"/>
  <c r="G362" i="7"/>
  <c r="J362" i="7" s="1"/>
  <c r="I361" i="7"/>
  <c r="H361" i="7"/>
  <c r="J361" i="7" s="1"/>
  <c r="G361" i="7"/>
  <c r="J360" i="7"/>
  <c r="H360" i="7"/>
  <c r="I360" i="7" s="1"/>
  <c r="G360" i="7"/>
  <c r="J359" i="7"/>
  <c r="H359" i="7"/>
  <c r="I359" i="7" s="1"/>
  <c r="G359" i="7"/>
  <c r="H358" i="7"/>
  <c r="G358" i="7"/>
  <c r="I357" i="7"/>
  <c r="H357" i="7"/>
  <c r="G357" i="7"/>
  <c r="J357" i="7" s="1"/>
  <c r="H356" i="7"/>
  <c r="I356" i="7" s="1"/>
  <c r="G356" i="7"/>
  <c r="H355" i="7"/>
  <c r="J355" i="7" s="1"/>
  <c r="G355" i="7"/>
  <c r="H354" i="7"/>
  <c r="I354" i="7" s="1"/>
  <c r="G354" i="7"/>
  <c r="J354" i="7" s="1"/>
  <c r="J353" i="7"/>
  <c r="I353" i="7"/>
  <c r="H353" i="7"/>
  <c r="G353" i="7"/>
  <c r="H352" i="7"/>
  <c r="I352" i="7" s="1"/>
  <c r="G352" i="7"/>
  <c r="I351" i="7"/>
  <c r="H351" i="7"/>
  <c r="J351" i="7" s="1"/>
  <c r="G351" i="7"/>
  <c r="J350" i="7"/>
  <c r="H350" i="7"/>
  <c r="I350" i="7" s="1"/>
  <c r="G350" i="7"/>
  <c r="H349" i="7"/>
  <c r="G349" i="7"/>
  <c r="H348" i="7"/>
  <c r="I348" i="7" s="1"/>
  <c r="G348" i="7"/>
  <c r="H347" i="7"/>
  <c r="J347" i="7" s="1"/>
  <c r="G347" i="7"/>
  <c r="H346" i="7"/>
  <c r="I346" i="7" s="1"/>
  <c r="G346" i="7"/>
  <c r="J346" i="7" s="1"/>
  <c r="I345" i="7"/>
  <c r="H345" i="7"/>
  <c r="J345" i="7" s="1"/>
  <c r="G345" i="7"/>
  <c r="J344" i="7"/>
  <c r="H344" i="7"/>
  <c r="I344" i="7" s="1"/>
  <c r="G344" i="7"/>
  <c r="J343" i="7"/>
  <c r="H343" i="7"/>
  <c r="I343" i="7" s="1"/>
  <c r="G343" i="7"/>
  <c r="H342" i="7"/>
  <c r="G342" i="7"/>
  <c r="I341" i="7"/>
  <c r="H341" i="7"/>
  <c r="G341" i="7"/>
  <c r="J341" i="7" s="1"/>
  <c r="H340" i="7"/>
  <c r="I340" i="7" s="1"/>
  <c r="G340" i="7"/>
  <c r="H339" i="7"/>
  <c r="J339" i="7" s="1"/>
  <c r="G339" i="7"/>
  <c r="H338" i="7"/>
  <c r="I338" i="7" s="1"/>
  <c r="G338" i="7"/>
  <c r="J338" i="7" s="1"/>
  <c r="J337" i="7"/>
  <c r="I337" i="7"/>
  <c r="H337" i="7"/>
  <c r="G337" i="7"/>
  <c r="H336" i="7"/>
  <c r="I336" i="7" s="1"/>
  <c r="G336" i="7"/>
  <c r="I335" i="7"/>
  <c r="H335" i="7"/>
  <c r="J335" i="7" s="1"/>
  <c r="G335" i="7"/>
  <c r="J334" i="7"/>
  <c r="H334" i="7"/>
  <c r="I334" i="7" s="1"/>
  <c r="G334" i="7"/>
  <c r="H333" i="7"/>
  <c r="G333" i="7"/>
  <c r="H332" i="7"/>
  <c r="I332" i="7" s="1"/>
  <c r="G332" i="7"/>
  <c r="H331" i="7"/>
  <c r="J331" i="7" s="1"/>
  <c r="G331" i="7"/>
  <c r="H330" i="7"/>
  <c r="I330" i="7" s="1"/>
  <c r="G330" i="7"/>
  <c r="J330" i="7" s="1"/>
  <c r="I329" i="7"/>
  <c r="H329" i="7"/>
  <c r="J329" i="7" s="1"/>
  <c r="G329" i="7"/>
  <c r="J328" i="7"/>
  <c r="H328" i="7"/>
  <c r="I328" i="7" s="1"/>
  <c r="G328" i="7"/>
  <c r="J327" i="7"/>
  <c r="H327" i="7"/>
  <c r="I327" i="7" s="1"/>
  <c r="G327" i="7"/>
  <c r="H326" i="7"/>
  <c r="G326" i="7"/>
  <c r="I325" i="7"/>
  <c r="H325" i="7"/>
  <c r="G325" i="7"/>
  <c r="J325" i="7" s="1"/>
  <c r="H324" i="7"/>
  <c r="I324" i="7" s="1"/>
  <c r="G324" i="7"/>
  <c r="H323" i="7"/>
  <c r="J323" i="7" s="1"/>
  <c r="G323" i="7"/>
  <c r="H322" i="7"/>
  <c r="I322" i="7" s="1"/>
  <c r="G322" i="7"/>
  <c r="J322" i="7" s="1"/>
  <c r="J321" i="7"/>
  <c r="I321" i="7"/>
  <c r="H321" i="7"/>
  <c r="G321" i="7"/>
  <c r="H320" i="7"/>
  <c r="I320" i="7" s="1"/>
  <c r="G320" i="7"/>
  <c r="I319" i="7"/>
  <c r="H319" i="7"/>
  <c r="J319" i="7" s="1"/>
  <c r="G319" i="7"/>
  <c r="J318" i="7"/>
  <c r="H318" i="7"/>
  <c r="I318" i="7" s="1"/>
  <c r="G318" i="7"/>
  <c r="H317" i="7"/>
  <c r="G317" i="7"/>
  <c r="H316" i="7"/>
  <c r="I316" i="7" s="1"/>
  <c r="G316" i="7"/>
  <c r="H315" i="7"/>
  <c r="I315" i="7" s="1"/>
  <c r="G315" i="7"/>
  <c r="J315" i="7" s="1"/>
  <c r="H314" i="7"/>
  <c r="I314" i="7" s="1"/>
  <c r="G314" i="7"/>
  <c r="J314" i="7" s="1"/>
  <c r="I313" i="7"/>
  <c r="H313" i="7"/>
  <c r="J313" i="7" s="1"/>
  <c r="G313" i="7"/>
  <c r="J312" i="7"/>
  <c r="H312" i="7"/>
  <c r="I312" i="7" s="1"/>
  <c r="G312" i="7"/>
  <c r="J311" i="7"/>
  <c r="H311" i="7"/>
  <c r="I311" i="7" s="1"/>
  <c r="G311" i="7"/>
  <c r="H310" i="7"/>
  <c r="G310" i="7"/>
  <c r="I309" i="7"/>
  <c r="H309" i="7"/>
  <c r="G309" i="7"/>
  <c r="J309" i="7" s="1"/>
  <c r="H308" i="7"/>
  <c r="I308" i="7" s="1"/>
  <c r="G308" i="7"/>
  <c r="J308" i="7" s="1"/>
  <c r="H307" i="7"/>
  <c r="J307" i="7" s="1"/>
  <c r="G307" i="7"/>
  <c r="H306" i="7"/>
  <c r="I306" i="7" s="1"/>
  <c r="G306" i="7"/>
  <c r="J305" i="7"/>
  <c r="I305" i="7"/>
  <c r="H305" i="7"/>
  <c r="G305" i="7"/>
  <c r="H304" i="7"/>
  <c r="I304" i="7" s="1"/>
  <c r="G304" i="7"/>
  <c r="I303" i="7"/>
  <c r="H303" i="7"/>
  <c r="J303" i="7" s="1"/>
  <c r="G303" i="7"/>
  <c r="J302" i="7"/>
  <c r="H302" i="7"/>
  <c r="G302" i="7"/>
  <c r="H301" i="7"/>
  <c r="G301" i="7"/>
  <c r="H300" i="7"/>
  <c r="I300" i="7" s="1"/>
  <c r="G300" i="7"/>
  <c r="I299" i="7"/>
  <c r="H299" i="7"/>
  <c r="G299" i="7"/>
  <c r="J299" i="7" s="1"/>
  <c r="H298" i="7"/>
  <c r="I298" i="7" s="1"/>
  <c r="G298" i="7"/>
  <c r="J298" i="7" s="1"/>
  <c r="H297" i="7"/>
  <c r="J297" i="7" s="1"/>
  <c r="G297" i="7"/>
  <c r="J296" i="7"/>
  <c r="H296" i="7"/>
  <c r="I296" i="7" s="1"/>
  <c r="G296" i="7"/>
  <c r="J295" i="7"/>
  <c r="H295" i="7"/>
  <c r="I295" i="7" s="1"/>
  <c r="G295" i="7"/>
  <c r="H294" i="7"/>
  <c r="G294" i="7"/>
  <c r="I293" i="7"/>
  <c r="H293" i="7"/>
  <c r="J293" i="7" s="1"/>
  <c r="G293" i="7"/>
  <c r="H292" i="7"/>
  <c r="I292" i="7" s="1"/>
  <c r="G292" i="7"/>
  <c r="J292" i="7" s="1"/>
  <c r="H291" i="7"/>
  <c r="J291" i="7" s="1"/>
  <c r="G291" i="7"/>
  <c r="H290" i="7"/>
  <c r="I290" i="7" s="1"/>
  <c r="G290" i="7"/>
  <c r="J289" i="7"/>
  <c r="I289" i="7"/>
  <c r="H289" i="7"/>
  <c r="G289" i="7"/>
  <c r="H288" i="7"/>
  <c r="I288" i="7" s="1"/>
  <c r="G288" i="7"/>
  <c r="I287" i="7"/>
  <c r="H287" i="7"/>
  <c r="J287" i="7" s="1"/>
  <c r="G287" i="7"/>
  <c r="J286" i="7"/>
  <c r="H286" i="7"/>
  <c r="I286" i="7" s="1"/>
  <c r="G286" i="7"/>
  <c r="H285" i="7"/>
  <c r="G285" i="7"/>
  <c r="H284" i="7"/>
  <c r="I284" i="7" s="1"/>
  <c r="G284" i="7"/>
  <c r="I283" i="7"/>
  <c r="H283" i="7"/>
  <c r="G283" i="7"/>
  <c r="J283" i="7" s="1"/>
  <c r="H282" i="7"/>
  <c r="I282" i="7" s="1"/>
  <c r="G282" i="7"/>
  <c r="J282" i="7" s="1"/>
  <c r="H281" i="7"/>
  <c r="J281" i="7" s="1"/>
  <c r="G281" i="7"/>
  <c r="J280" i="7"/>
  <c r="H280" i="7"/>
  <c r="I280" i="7" s="1"/>
  <c r="G280" i="7"/>
  <c r="J279" i="7"/>
  <c r="H279" i="7"/>
  <c r="I279" i="7" s="1"/>
  <c r="G279" i="7"/>
  <c r="H278" i="7"/>
  <c r="G278" i="7"/>
  <c r="I277" i="7"/>
  <c r="H277" i="7"/>
  <c r="J277" i="7" s="1"/>
  <c r="G277" i="7"/>
  <c r="J276" i="7"/>
  <c r="H276" i="7"/>
  <c r="G276" i="7"/>
  <c r="H275" i="7"/>
  <c r="J275" i="7" s="1"/>
  <c r="G275" i="7"/>
  <c r="H274" i="7"/>
  <c r="I274" i="7" s="1"/>
  <c r="G274" i="7"/>
  <c r="J273" i="7"/>
  <c r="I273" i="7"/>
  <c r="H273" i="7"/>
  <c r="G273" i="7"/>
  <c r="H272" i="7"/>
  <c r="I272" i="7" s="1"/>
  <c r="G272" i="7"/>
  <c r="I271" i="7"/>
  <c r="H271" i="7"/>
  <c r="J271" i="7" s="1"/>
  <c r="G271" i="7"/>
  <c r="J270" i="7"/>
  <c r="H270" i="7"/>
  <c r="I270" i="7" s="1"/>
  <c r="G270" i="7"/>
  <c r="H269" i="7"/>
  <c r="G269" i="7"/>
  <c r="H268" i="7"/>
  <c r="I268" i="7" s="1"/>
  <c r="G268" i="7"/>
  <c r="J267" i="7"/>
  <c r="H267" i="7"/>
  <c r="G267" i="7"/>
  <c r="I267" i="7" s="1"/>
  <c r="H266" i="7"/>
  <c r="I266" i="7" s="1"/>
  <c r="G266" i="7"/>
  <c r="J266" i="7" s="1"/>
  <c r="H265" i="7"/>
  <c r="J265" i="7" s="1"/>
  <c r="G265" i="7"/>
  <c r="J264" i="7"/>
  <c r="H264" i="7"/>
  <c r="I264" i="7" s="1"/>
  <c r="G264" i="7"/>
  <c r="J263" i="7"/>
  <c r="H263" i="7"/>
  <c r="I263" i="7" s="1"/>
  <c r="G263" i="7"/>
  <c r="I262" i="7"/>
  <c r="H262" i="7"/>
  <c r="J262" i="7" s="1"/>
  <c r="G262" i="7"/>
  <c r="J261" i="7"/>
  <c r="H261" i="7"/>
  <c r="I261" i="7" s="1"/>
  <c r="G261" i="7"/>
  <c r="I260" i="7"/>
  <c r="H260" i="7"/>
  <c r="J260" i="7" s="1"/>
  <c r="G260" i="7"/>
  <c r="J259" i="7"/>
  <c r="H259" i="7"/>
  <c r="I259" i="7" s="1"/>
  <c r="G259" i="7"/>
  <c r="I258" i="7"/>
  <c r="H258" i="7"/>
  <c r="J258" i="7" s="1"/>
  <c r="G258" i="7"/>
  <c r="J257" i="7"/>
  <c r="H257" i="7"/>
  <c r="I257" i="7" s="1"/>
  <c r="G257" i="7"/>
  <c r="I256" i="7"/>
  <c r="H256" i="7"/>
  <c r="J256" i="7" s="1"/>
  <c r="G256" i="7"/>
  <c r="J255" i="7"/>
  <c r="H255" i="7"/>
  <c r="I255" i="7" s="1"/>
  <c r="G255" i="7"/>
  <c r="I254" i="7"/>
  <c r="H254" i="7"/>
  <c r="J254" i="7" s="1"/>
  <c r="G254" i="7"/>
  <c r="J253" i="7"/>
  <c r="H253" i="7"/>
  <c r="I253" i="7" s="1"/>
  <c r="G253" i="7"/>
  <c r="I252" i="7"/>
  <c r="H252" i="7"/>
  <c r="J252" i="7" s="1"/>
  <c r="G252" i="7"/>
  <c r="J251" i="7"/>
  <c r="H251" i="7"/>
  <c r="I251" i="7" s="1"/>
  <c r="G251" i="7"/>
  <c r="I250" i="7"/>
  <c r="H250" i="7"/>
  <c r="J250" i="7" s="1"/>
  <c r="G250" i="7"/>
  <c r="J249" i="7"/>
  <c r="H249" i="7"/>
  <c r="I249" i="7" s="1"/>
  <c r="G249" i="7"/>
  <c r="I248" i="7"/>
  <c r="H248" i="7"/>
  <c r="J248" i="7" s="1"/>
  <c r="G248" i="7"/>
  <c r="J247" i="7"/>
  <c r="H247" i="7"/>
  <c r="I247" i="7" s="1"/>
  <c r="G247" i="7"/>
  <c r="I246" i="7"/>
  <c r="H246" i="7"/>
  <c r="J246" i="7" s="1"/>
  <c r="G246" i="7"/>
  <c r="J245" i="7"/>
  <c r="H245" i="7"/>
  <c r="I245" i="7" s="1"/>
  <c r="G245" i="7"/>
  <c r="I244" i="7"/>
  <c r="H244" i="7"/>
  <c r="J244" i="7" s="1"/>
  <c r="G244" i="7"/>
  <c r="J243" i="7"/>
  <c r="H243" i="7"/>
  <c r="I243" i="7" s="1"/>
  <c r="G243" i="7"/>
  <c r="I242" i="7"/>
  <c r="H242" i="7"/>
  <c r="J242" i="7" s="1"/>
  <c r="G242" i="7"/>
  <c r="J241" i="7"/>
  <c r="H241" i="7"/>
  <c r="I241" i="7" s="1"/>
  <c r="G241" i="7"/>
  <c r="I240" i="7"/>
  <c r="H240" i="7"/>
  <c r="J240" i="7" s="1"/>
  <c r="G240" i="7"/>
  <c r="H239" i="7"/>
  <c r="I239" i="7" s="1"/>
  <c r="G239" i="7"/>
  <c r="J239" i="7" s="1"/>
  <c r="I238" i="7"/>
  <c r="H238" i="7"/>
  <c r="J238" i="7" s="1"/>
  <c r="G238" i="7"/>
  <c r="H237" i="7"/>
  <c r="I237" i="7" s="1"/>
  <c r="G237" i="7"/>
  <c r="J237" i="7" s="1"/>
  <c r="I236" i="7"/>
  <c r="H236" i="7"/>
  <c r="J236" i="7" s="1"/>
  <c r="G236" i="7"/>
  <c r="H235" i="7"/>
  <c r="I235" i="7" s="1"/>
  <c r="G235" i="7"/>
  <c r="J235" i="7" s="1"/>
  <c r="I234" i="7"/>
  <c r="H234" i="7"/>
  <c r="J234" i="7" s="1"/>
  <c r="G234" i="7"/>
  <c r="H233" i="7"/>
  <c r="I233" i="7" s="1"/>
  <c r="G233" i="7"/>
  <c r="J233" i="7" s="1"/>
  <c r="I232" i="7"/>
  <c r="H232" i="7"/>
  <c r="J232" i="7" s="1"/>
  <c r="G232" i="7"/>
  <c r="H231" i="7"/>
  <c r="I231" i="7" s="1"/>
  <c r="G231" i="7"/>
  <c r="J231" i="7" s="1"/>
  <c r="I230" i="7"/>
  <c r="H230" i="7"/>
  <c r="J230" i="7" s="1"/>
  <c r="G230" i="7"/>
  <c r="H229" i="7"/>
  <c r="I229" i="7" s="1"/>
  <c r="G229" i="7"/>
  <c r="J229" i="7" s="1"/>
  <c r="I228" i="7"/>
  <c r="H228" i="7"/>
  <c r="J228" i="7" s="1"/>
  <c r="G228" i="7"/>
  <c r="H227" i="7"/>
  <c r="I227" i="7" s="1"/>
  <c r="G227" i="7"/>
  <c r="J227" i="7" s="1"/>
  <c r="I226" i="7"/>
  <c r="H226" i="7"/>
  <c r="J226" i="7" s="1"/>
  <c r="G226" i="7"/>
  <c r="H225" i="7"/>
  <c r="J225" i="7" s="1"/>
  <c r="G225" i="7"/>
  <c r="I224" i="7"/>
  <c r="H224" i="7"/>
  <c r="J224" i="7" s="1"/>
  <c r="G224" i="7"/>
  <c r="H223" i="7"/>
  <c r="J223" i="7" s="1"/>
  <c r="G223" i="7"/>
  <c r="I222" i="7"/>
  <c r="H222" i="7"/>
  <c r="J222" i="7" s="1"/>
  <c r="G222" i="7"/>
  <c r="H221" i="7"/>
  <c r="J221" i="7" s="1"/>
  <c r="G221" i="7"/>
  <c r="H220" i="7"/>
  <c r="J220" i="7" s="1"/>
  <c r="G220" i="7"/>
  <c r="H219" i="7"/>
  <c r="J219" i="7" s="1"/>
  <c r="G219" i="7"/>
  <c r="H218" i="7"/>
  <c r="G218" i="7"/>
  <c r="H217" i="7"/>
  <c r="G217" i="7"/>
  <c r="H216" i="7"/>
  <c r="G216" i="7"/>
  <c r="H215" i="7"/>
  <c r="G215" i="7"/>
  <c r="I214" i="7"/>
  <c r="H214" i="7"/>
  <c r="J214" i="7" s="1"/>
  <c r="G214" i="7"/>
  <c r="H213" i="7"/>
  <c r="G213" i="7"/>
  <c r="I212" i="7"/>
  <c r="H212" i="7"/>
  <c r="J212" i="7" s="1"/>
  <c r="G212" i="7"/>
  <c r="H211" i="7"/>
  <c r="G211" i="7"/>
  <c r="I210" i="7"/>
  <c r="H210" i="7"/>
  <c r="J210" i="7" s="1"/>
  <c r="G210" i="7"/>
  <c r="H209" i="7"/>
  <c r="G209" i="7"/>
  <c r="I208" i="7"/>
  <c r="H208" i="7"/>
  <c r="J208" i="7" s="1"/>
  <c r="G208" i="7"/>
  <c r="H207" i="7"/>
  <c r="G207" i="7"/>
  <c r="I206" i="7"/>
  <c r="H206" i="7"/>
  <c r="J206" i="7" s="1"/>
  <c r="G206" i="7"/>
  <c r="H205" i="7"/>
  <c r="G205" i="7"/>
  <c r="H204" i="7"/>
  <c r="J204" i="7" s="1"/>
  <c r="G204" i="7"/>
  <c r="H203" i="7"/>
  <c r="G203" i="7"/>
  <c r="H202" i="7"/>
  <c r="G202" i="7"/>
  <c r="H201" i="7"/>
  <c r="G201" i="7"/>
  <c r="H200" i="7"/>
  <c r="G200" i="7"/>
  <c r="H199" i="7"/>
  <c r="G199" i="7"/>
  <c r="I198" i="7"/>
  <c r="H198" i="7"/>
  <c r="J198" i="7" s="1"/>
  <c r="G198" i="7"/>
  <c r="H197" i="7"/>
  <c r="G197" i="7"/>
  <c r="I196" i="7"/>
  <c r="H196" i="7"/>
  <c r="J196" i="7" s="1"/>
  <c r="G196" i="7"/>
  <c r="H195" i="7"/>
  <c r="G195" i="7"/>
  <c r="I194" i="7"/>
  <c r="H194" i="7"/>
  <c r="J194" i="7" s="1"/>
  <c r="G194" i="7"/>
  <c r="H193" i="7"/>
  <c r="G193" i="7"/>
  <c r="I192" i="7"/>
  <c r="H192" i="7"/>
  <c r="J192" i="7" s="1"/>
  <c r="G192" i="7"/>
  <c r="H191" i="7"/>
  <c r="G191" i="7"/>
  <c r="I190" i="7"/>
  <c r="H190" i="7"/>
  <c r="J190" i="7" s="1"/>
  <c r="G190" i="7"/>
  <c r="H189" i="7"/>
  <c r="G189" i="7"/>
  <c r="H188" i="7"/>
  <c r="J188" i="7" s="1"/>
  <c r="G188" i="7"/>
  <c r="H187" i="7"/>
  <c r="G187" i="7"/>
  <c r="H186" i="7"/>
  <c r="G186" i="7"/>
  <c r="H185" i="7"/>
  <c r="G185" i="7"/>
  <c r="H184" i="7"/>
  <c r="G184" i="7"/>
  <c r="H183" i="7"/>
  <c r="G183" i="7"/>
  <c r="I182" i="7"/>
  <c r="H182" i="7"/>
  <c r="J182" i="7" s="1"/>
  <c r="G182" i="7"/>
  <c r="H181" i="7"/>
  <c r="G181" i="7"/>
  <c r="I180" i="7"/>
  <c r="H180" i="7"/>
  <c r="G180" i="7"/>
  <c r="H179" i="7"/>
  <c r="G179" i="7"/>
  <c r="I178" i="7"/>
  <c r="H178" i="7"/>
  <c r="G178" i="7"/>
  <c r="H177" i="7"/>
  <c r="G177" i="7"/>
  <c r="I176" i="7"/>
  <c r="H176" i="7"/>
  <c r="J176" i="7" s="1"/>
  <c r="G176" i="7"/>
  <c r="H175" i="7"/>
  <c r="G175" i="7"/>
  <c r="I174" i="7"/>
  <c r="H174" i="7"/>
  <c r="J174" i="7" s="1"/>
  <c r="G174" i="7"/>
  <c r="J173" i="7"/>
  <c r="H173" i="7"/>
  <c r="I173" i="7" s="1"/>
  <c r="G173" i="7"/>
  <c r="I172" i="7"/>
  <c r="H172" i="7"/>
  <c r="G172" i="7"/>
  <c r="H171" i="7"/>
  <c r="I171" i="7" s="1"/>
  <c r="G171" i="7"/>
  <c r="J171" i="7" s="1"/>
  <c r="I170" i="7"/>
  <c r="H170" i="7"/>
  <c r="G170" i="7"/>
  <c r="H169" i="7"/>
  <c r="G169" i="7"/>
  <c r="H168" i="7"/>
  <c r="G168" i="7"/>
  <c r="H167" i="7"/>
  <c r="I167" i="7" s="1"/>
  <c r="G167" i="7"/>
  <c r="I166" i="7"/>
  <c r="H166" i="7"/>
  <c r="J166" i="7" s="1"/>
  <c r="G166" i="7"/>
  <c r="J165" i="7"/>
  <c r="H165" i="7"/>
  <c r="I165" i="7" s="1"/>
  <c r="G165" i="7"/>
  <c r="I164" i="7"/>
  <c r="H164" i="7"/>
  <c r="G164" i="7"/>
  <c r="H163" i="7"/>
  <c r="G163" i="7"/>
  <c r="H162" i="7"/>
  <c r="J162" i="7" s="1"/>
  <c r="G162" i="7"/>
  <c r="I161" i="7"/>
  <c r="H161" i="7"/>
  <c r="G161" i="7"/>
  <c r="J161" i="7" s="1"/>
  <c r="H160" i="7"/>
  <c r="J160" i="7" s="1"/>
  <c r="G160" i="7"/>
  <c r="I159" i="7"/>
  <c r="H159" i="7"/>
  <c r="G159" i="7"/>
  <c r="J159" i="7" s="1"/>
  <c r="H158" i="7"/>
  <c r="J158" i="7" s="1"/>
  <c r="G158" i="7"/>
  <c r="J157" i="7"/>
  <c r="I157" i="7"/>
  <c r="H157" i="7"/>
  <c r="G157" i="7"/>
  <c r="H156" i="7"/>
  <c r="J156" i="7" s="1"/>
  <c r="G156" i="7"/>
  <c r="I155" i="7"/>
  <c r="H155" i="7"/>
  <c r="G155" i="7"/>
  <c r="J155" i="7" s="1"/>
  <c r="H154" i="7"/>
  <c r="J154" i="7" s="1"/>
  <c r="G154" i="7"/>
  <c r="I153" i="7"/>
  <c r="H153" i="7"/>
  <c r="G153" i="7"/>
  <c r="J153" i="7" s="1"/>
  <c r="H152" i="7"/>
  <c r="J152" i="7" s="1"/>
  <c r="G152" i="7"/>
  <c r="I151" i="7"/>
  <c r="H151" i="7"/>
  <c r="G151" i="7"/>
  <c r="J151" i="7" s="1"/>
  <c r="H150" i="7"/>
  <c r="J150" i="7" s="1"/>
  <c r="G150" i="7"/>
  <c r="J149" i="7"/>
  <c r="I149" i="7"/>
  <c r="H149" i="7"/>
  <c r="G149" i="7"/>
  <c r="H148" i="7"/>
  <c r="J148" i="7" s="1"/>
  <c r="G148" i="7"/>
  <c r="J147" i="7"/>
  <c r="H147" i="7"/>
  <c r="G147" i="7"/>
  <c r="I147" i="7" s="1"/>
  <c r="H146" i="7"/>
  <c r="J146" i="7" s="1"/>
  <c r="G146" i="7"/>
  <c r="I145" i="7"/>
  <c r="H145" i="7"/>
  <c r="G145" i="7"/>
  <c r="J145" i="7" s="1"/>
  <c r="H144" i="7"/>
  <c r="J144" i="7" s="1"/>
  <c r="G144" i="7"/>
  <c r="I143" i="7"/>
  <c r="H143" i="7"/>
  <c r="G143" i="7"/>
  <c r="J143" i="7" s="1"/>
  <c r="H142" i="7"/>
  <c r="J142" i="7" s="1"/>
  <c r="G142" i="7"/>
  <c r="J141" i="7"/>
  <c r="I141" i="7"/>
  <c r="H141" i="7"/>
  <c r="G141" i="7"/>
  <c r="H140" i="7"/>
  <c r="J140" i="7" s="1"/>
  <c r="G140" i="7"/>
  <c r="I139" i="7"/>
  <c r="H139" i="7"/>
  <c r="G139" i="7"/>
  <c r="J139" i="7" s="1"/>
  <c r="H138" i="7"/>
  <c r="J138" i="7" s="1"/>
  <c r="G138" i="7"/>
  <c r="J137" i="7"/>
  <c r="I137" i="7"/>
  <c r="H137" i="7"/>
  <c r="G137" i="7"/>
  <c r="H136" i="7"/>
  <c r="J136" i="7" s="1"/>
  <c r="G136" i="7"/>
  <c r="J135" i="7"/>
  <c r="H135" i="7"/>
  <c r="G135" i="7"/>
  <c r="I135" i="7" s="1"/>
  <c r="H134" i="7"/>
  <c r="J134" i="7" s="1"/>
  <c r="G134" i="7"/>
  <c r="I133" i="7"/>
  <c r="H133" i="7"/>
  <c r="G133" i="7"/>
  <c r="J133" i="7" s="1"/>
  <c r="H132" i="7"/>
  <c r="J132" i="7" s="1"/>
  <c r="G132" i="7"/>
  <c r="I131" i="7"/>
  <c r="H131" i="7"/>
  <c r="G131" i="7"/>
  <c r="J131" i="7" s="1"/>
  <c r="H130" i="7"/>
  <c r="J130" i="7" s="1"/>
  <c r="G130" i="7"/>
  <c r="I129" i="7"/>
  <c r="H129" i="7"/>
  <c r="G129" i="7"/>
  <c r="J129" i="7" s="1"/>
  <c r="H128" i="7"/>
  <c r="J128" i="7" s="1"/>
  <c r="G128" i="7"/>
  <c r="J127" i="7"/>
  <c r="I127" i="7"/>
  <c r="H127" i="7"/>
  <c r="G127" i="7"/>
  <c r="H126" i="7"/>
  <c r="J126" i="7" s="1"/>
  <c r="G126" i="7"/>
  <c r="I125" i="7"/>
  <c r="H125" i="7"/>
  <c r="G125" i="7"/>
  <c r="J125" i="7" s="1"/>
  <c r="H124" i="7"/>
  <c r="G124" i="7"/>
  <c r="J123" i="7"/>
  <c r="H123" i="7"/>
  <c r="G123" i="7"/>
  <c r="I123" i="7" s="1"/>
  <c r="H122" i="7"/>
  <c r="G122" i="7"/>
  <c r="I121" i="7"/>
  <c r="H121" i="7"/>
  <c r="G121" i="7"/>
  <c r="J121" i="7" s="1"/>
  <c r="H120" i="7"/>
  <c r="G120" i="7"/>
  <c r="J119" i="7"/>
  <c r="I119" i="7"/>
  <c r="H119" i="7"/>
  <c r="G119" i="7"/>
  <c r="H118" i="7"/>
  <c r="G118" i="7"/>
  <c r="I117" i="7"/>
  <c r="H117" i="7"/>
  <c r="G117" i="7"/>
  <c r="J117" i="7" s="1"/>
  <c r="H116" i="7"/>
  <c r="G116" i="7"/>
  <c r="J115" i="7"/>
  <c r="I115" i="7"/>
  <c r="H115" i="7"/>
  <c r="G115" i="7"/>
  <c r="H114" i="7"/>
  <c r="G114" i="7"/>
  <c r="I113" i="7"/>
  <c r="H113" i="7"/>
  <c r="G113" i="7"/>
  <c r="J113" i="7" s="1"/>
  <c r="H112" i="7"/>
  <c r="G112" i="7"/>
  <c r="J111" i="7"/>
  <c r="I111" i="7"/>
  <c r="H111" i="7"/>
  <c r="G111" i="7"/>
  <c r="H110" i="7"/>
  <c r="G110" i="7"/>
  <c r="I109" i="7"/>
  <c r="H109" i="7"/>
  <c r="G109" i="7"/>
  <c r="J109" i="7" s="1"/>
  <c r="H108" i="7"/>
  <c r="G108" i="7"/>
  <c r="J107" i="7"/>
  <c r="I107" i="7"/>
  <c r="H107" i="7"/>
  <c r="G107" i="7"/>
  <c r="H106" i="7"/>
  <c r="G106" i="7"/>
  <c r="I105" i="7"/>
  <c r="H105" i="7"/>
  <c r="G105" i="7"/>
  <c r="J105" i="7" s="1"/>
  <c r="H104" i="7"/>
  <c r="G104" i="7"/>
  <c r="J103" i="7"/>
  <c r="I103" i="7"/>
  <c r="H103" i="7"/>
  <c r="G103" i="7"/>
  <c r="H102" i="7"/>
  <c r="G102" i="7"/>
  <c r="I101" i="7"/>
  <c r="H101" i="7"/>
  <c r="G101" i="7"/>
  <c r="J101" i="7" s="1"/>
  <c r="H100" i="7"/>
  <c r="G100" i="7"/>
  <c r="J99" i="7"/>
  <c r="I99" i="7"/>
  <c r="H99" i="7"/>
  <c r="G99" i="7"/>
  <c r="H98" i="7"/>
  <c r="G98" i="7"/>
  <c r="I97" i="7"/>
  <c r="H97" i="7"/>
  <c r="G97" i="7"/>
  <c r="J97" i="7" s="1"/>
  <c r="H96" i="7"/>
  <c r="G96" i="7"/>
  <c r="J95" i="7"/>
  <c r="I95" i="7"/>
  <c r="H95" i="7"/>
  <c r="G95" i="7"/>
  <c r="H94" i="7"/>
  <c r="G94" i="7"/>
  <c r="I93" i="7"/>
  <c r="H93" i="7"/>
  <c r="G93" i="7"/>
  <c r="J93" i="7" s="1"/>
  <c r="H92" i="7"/>
  <c r="G92" i="7"/>
  <c r="J91" i="7"/>
  <c r="I91" i="7"/>
  <c r="H91" i="7"/>
  <c r="G91" i="7"/>
  <c r="H90" i="7"/>
  <c r="G90" i="7"/>
  <c r="I89" i="7"/>
  <c r="H89" i="7"/>
  <c r="G89" i="7"/>
  <c r="J89" i="7" s="1"/>
  <c r="H88" i="7"/>
  <c r="G88" i="7"/>
  <c r="J87" i="7"/>
  <c r="I87" i="7"/>
  <c r="H87" i="7"/>
  <c r="G87" i="7"/>
  <c r="H86" i="7"/>
  <c r="G86" i="7"/>
  <c r="I85" i="7"/>
  <c r="H85" i="7"/>
  <c r="G85" i="7"/>
  <c r="J85" i="7" s="1"/>
  <c r="H84" i="7"/>
  <c r="G84" i="7"/>
  <c r="J83" i="7"/>
  <c r="I83" i="7"/>
  <c r="H83" i="7"/>
  <c r="G83" i="7"/>
  <c r="H82" i="7"/>
  <c r="G82" i="7"/>
  <c r="H81" i="7"/>
  <c r="I81" i="7" s="1"/>
  <c r="G81" i="7"/>
  <c r="J81" i="7" s="1"/>
  <c r="H80" i="7"/>
  <c r="G80" i="7"/>
  <c r="J79" i="7"/>
  <c r="H79" i="7"/>
  <c r="I79" i="7" s="1"/>
  <c r="G79" i="7"/>
  <c r="H78" i="7"/>
  <c r="G78" i="7"/>
  <c r="H77" i="7"/>
  <c r="G77" i="7"/>
  <c r="H76" i="7"/>
  <c r="G76" i="7"/>
  <c r="J75" i="7"/>
  <c r="I75" i="7"/>
  <c r="H75" i="7"/>
  <c r="G75" i="7"/>
  <c r="H74" i="7"/>
  <c r="G74" i="7"/>
  <c r="H73" i="7"/>
  <c r="I73" i="7" s="1"/>
  <c r="G73" i="7"/>
  <c r="J73" i="7" s="1"/>
  <c r="H72" i="7"/>
  <c r="G72" i="7"/>
  <c r="J71" i="7"/>
  <c r="H71" i="7"/>
  <c r="I71" i="7" s="1"/>
  <c r="G71" i="7"/>
  <c r="H70" i="7"/>
  <c r="G70" i="7"/>
  <c r="H69" i="7"/>
  <c r="G69" i="7"/>
  <c r="H68" i="7"/>
  <c r="G68" i="7"/>
  <c r="J67" i="7"/>
  <c r="I67" i="7"/>
  <c r="H67" i="7"/>
  <c r="G67" i="7"/>
  <c r="H66" i="7"/>
  <c r="G66" i="7"/>
  <c r="H65" i="7"/>
  <c r="I65" i="7" s="1"/>
  <c r="G65" i="7"/>
  <c r="J65" i="7" s="1"/>
  <c r="H64" i="7"/>
  <c r="G64" i="7"/>
  <c r="J63" i="7"/>
  <c r="H63" i="7"/>
  <c r="I63" i="7" s="1"/>
  <c r="G63" i="7"/>
  <c r="H62" i="7"/>
  <c r="G62" i="7"/>
  <c r="H61" i="7"/>
  <c r="G61" i="7"/>
  <c r="H60" i="7"/>
  <c r="G60" i="7"/>
  <c r="J59" i="7"/>
  <c r="I59" i="7"/>
  <c r="H59" i="7"/>
  <c r="G59" i="7"/>
  <c r="H58" i="7"/>
  <c r="G58" i="7"/>
  <c r="H57" i="7"/>
  <c r="I57" i="7" s="1"/>
  <c r="G57" i="7"/>
  <c r="J57" i="7" s="1"/>
  <c r="H56" i="7"/>
  <c r="G56" i="7"/>
  <c r="J55" i="7"/>
  <c r="H55" i="7"/>
  <c r="I55" i="7" s="1"/>
  <c r="G55" i="7"/>
  <c r="H54" i="7"/>
  <c r="G54" i="7"/>
  <c r="H53" i="7"/>
  <c r="G53" i="7"/>
  <c r="H52" i="7"/>
  <c r="G52" i="7"/>
  <c r="J51" i="7"/>
  <c r="I51" i="7"/>
  <c r="H51" i="7"/>
  <c r="G51" i="7"/>
  <c r="H50" i="7"/>
  <c r="G50" i="7"/>
  <c r="H49" i="7"/>
  <c r="I49" i="7" s="1"/>
  <c r="G49" i="7"/>
  <c r="J49" i="7" s="1"/>
  <c r="H48" i="7"/>
  <c r="G48" i="7"/>
  <c r="J47" i="7"/>
  <c r="H47" i="7"/>
  <c r="I47" i="7" s="1"/>
  <c r="G47" i="7"/>
  <c r="H46" i="7"/>
  <c r="G46" i="7"/>
  <c r="H45" i="7"/>
  <c r="G45" i="7"/>
  <c r="H44" i="7"/>
  <c r="G44" i="7"/>
  <c r="J43" i="7"/>
  <c r="I43" i="7"/>
  <c r="H43" i="7"/>
  <c r="G43" i="7"/>
  <c r="H42" i="7"/>
  <c r="G42" i="7"/>
  <c r="H41" i="7"/>
  <c r="I41" i="7" s="1"/>
  <c r="G41" i="7"/>
  <c r="J41" i="7" s="1"/>
  <c r="H40" i="7"/>
  <c r="G40" i="7"/>
  <c r="J39" i="7"/>
  <c r="H39" i="7"/>
  <c r="I39" i="7" s="1"/>
  <c r="G39" i="7"/>
  <c r="H38" i="7"/>
  <c r="G38" i="7"/>
  <c r="H37" i="7"/>
  <c r="G37" i="7"/>
  <c r="H36" i="7"/>
  <c r="G36" i="7"/>
  <c r="J35" i="7"/>
  <c r="I35" i="7"/>
  <c r="H35" i="7"/>
  <c r="G35" i="7"/>
  <c r="H34" i="7"/>
  <c r="G34" i="7"/>
  <c r="H33" i="7"/>
  <c r="I33" i="7" s="1"/>
  <c r="G33" i="7"/>
  <c r="J33" i="7" s="1"/>
  <c r="H32" i="7"/>
  <c r="G32" i="7"/>
  <c r="J31" i="7"/>
  <c r="H31" i="7"/>
  <c r="I31" i="7" s="1"/>
  <c r="G31" i="7"/>
  <c r="H30" i="7"/>
  <c r="G30" i="7"/>
  <c r="H29" i="7"/>
  <c r="G29" i="7"/>
  <c r="H28" i="7"/>
  <c r="G28" i="7"/>
  <c r="J27" i="7"/>
  <c r="I27" i="7"/>
  <c r="H27" i="7"/>
  <c r="G27" i="7"/>
  <c r="H26" i="7"/>
  <c r="G26" i="7"/>
  <c r="H25" i="7"/>
  <c r="I25" i="7" s="1"/>
  <c r="G25" i="7"/>
  <c r="J25" i="7" s="1"/>
  <c r="H24" i="7"/>
  <c r="G24" i="7"/>
  <c r="J23" i="7"/>
  <c r="H23" i="7"/>
  <c r="I23" i="7" s="1"/>
  <c r="G23" i="7"/>
  <c r="H22" i="7"/>
  <c r="G22" i="7"/>
  <c r="H21" i="7"/>
  <c r="G21" i="7"/>
  <c r="H20" i="7"/>
  <c r="G20" i="7"/>
  <c r="J19" i="7"/>
  <c r="I19" i="7"/>
  <c r="H19" i="7"/>
  <c r="G19" i="7"/>
  <c r="H18" i="7"/>
  <c r="G18" i="7"/>
  <c r="H17" i="7"/>
  <c r="I17" i="7" s="1"/>
  <c r="G17" i="7"/>
  <c r="J17" i="7" s="1"/>
  <c r="H16" i="7"/>
  <c r="G16" i="7"/>
  <c r="J15" i="7"/>
  <c r="H15" i="7"/>
  <c r="I15" i="7" s="1"/>
  <c r="G15" i="7"/>
  <c r="H14" i="7"/>
  <c r="G14" i="7"/>
  <c r="H13" i="7"/>
  <c r="G13" i="7"/>
  <c r="H12" i="7"/>
  <c r="G12" i="7"/>
  <c r="J11" i="7"/>
  <c r="I11" i="7"/>
  <c r="H11" i="7"/>
  <c r="G11" i="7"/>
  <c r="H10" i="7"/>
  <c r="G10" i="7"/>
  <c r="H9" i="7"/>
  <c r="I9" i="7" s="1"/>
  <c r="G9" i="7"/>
  <c r="J9" i="7" s="1"/>
  <c r="H8" i="7"/>
  <c r="G8" i="7"/>
  <c r="J7" i="7"/>
  <c r="H7" i="7"/>
  <c r="I7" i="7" s="1"/>
  <c r="G7" i="7"/>
  <c r="J6" i="7"/>
  <c r="I6" i="7"/>
  <c r="H6" i="7"/>
  <c r="G6" i="7"/>
  <c r="J5" i="7"/>
  <c r="H5" i="7"/>
  <c r="I5" i="7" s="1"/>
  <c r="G5" i="7"/>
  <c r="J4" i="7"/>
  <c r="I4" i="7"/>
  <c r="H4" i="7"/>
  <c r="G4" i="7"/>
  <c r="J3" i="7"/>
  <c r="H3" i="7"/>
  <c r="I3" i="7" s="1"/>
  <c r="G3" i="7"/>
  <c r="J2" i="7"/>
  <c r="I2" i="7"/>
  <c r="H2" i="7"/>
  <c r="G2" i="7"/>
  <c r="E140" i="6"/>
  <c r="G139" i="6"/>
  <c r="I139" i="6" s="1"/>
  <c r="G138" i="6"/>
  <c r="I137" i="6"/>
  <c r="H137" i="6"/>
  <c r="G137" i="6"/>
  <c r="H136" i="6"/>
  <c r="G136" i="6"/>
  <c r="I136" i="6" s="1"/>
  <c r="H135" i="6"/>
  <c r="G135" i="6"/>
  <c r="I135" i="6" s="1"/>
  <c r="I134" i="6"/>
  <c r="G134" i="6"/>
  <c r="H134" i="6" s="1"/>
  <c r="I133" i="6"/>
  <c r="H133" i="6"/>
  <c r="G133" i="6"/>
  <c r="I132" i="6"/>
  <c r="G132" i="6"/>
  <c r="H132" i="6" s="1"/>
  <c r="G131" i="6"/>
  <c r="I131" i="6" s="1"/>
  <c r="G130" i="6"/>
  <c r="I129" i="6"/>
  <c r="H129" i="6"/>
  <c r="G129" i="6"/>
  <c r="H128" i="6"/>
  <c r="G128" i="6"/>
  <c r="I128" i="6" s="1"/>
  <c r="H127" i="6"/>
  <c r="G127" i="6"/>
  <c r="I127" i="6" s="1"/>
  <c r="I126" i="6"/>
  <c r="G126" i="6"/>
  <c r="H126" i="6" s="1"/>
  <c r="I125" i="6"/>
  <c r="H125" i="6"/>
  <c r="G125" i="6"/>
  <c r="I124" i="6"/>
  <c r="G124" i="6"/>
  <c r="H124" i="6" s="1"/>
  <c r="G123" i="6"/>
  <c r="I123" i="6" s="1"/>
  <c r="G122" i="6"/>
  <c r="I121" i="6"/>
  <c r="H121" i="6"/>
  <c r="G121" i="6"/>
  <c r="H120" i="6"/>
  <c r="G120" i="6"/>
  <c r="I120" i="6" s="1"/>
  <c r="H119" i="6"/>
  <c r="G119" i="6"/>
  <c r="I119" i="6" s="1"/>
  <c r="I118" i="6"/>
  <c r="G118" i="6"/>
  <c r="H118" i="6" s="1"/>
  <c r="I117" i="6"/>
  <c r="H117" i="6"/>
  <c r="G117" i="6"/>
  <c r="I116" i="6"/>
  <c r="G116" i="6"/>
  <c r="H116" i="6" s="1"/>
  <c r="G115" i="6"/>
  <c r="I115" i="6" s="1"/>
  <c r="G114" i="6"/>
  <c r="I113" i="6"/>
  <c r="H113" i="6"/>
  <c r="G113" i="6"/>
  <c r="H112" i="6"/>
  <c r="G112" i="6"/>
  <c r="I112" i="6" s="1"/>
  <c r="H111" i="6"/>
  <c r="G111" i="6"/>
  <c r="I111" i="6" s="1"/>
  <c r="I110" i="6"/>
  <c r="G110" i="6"/>
  <c r="H110" i="6" s="1"/>
  <c r="I109" i="6"/>
  <c r="H109" i="6"/>
  <c r="G109" i="6"/>
  <c r="I108" i="6"/>
  <c r="G108" i="6"/>
  <c r="H108" i="6" s="1"/>
  <c r="G107" i="6"/>
  <c r="I107" i="6" s="1"/>
  <c r="G106" i="6"/>
  <c r="I105" i="6"/>
  <c r="H105" i="6"/>
  <c r="G105" i="6"/>
  <c r="H104" i="6"/>
  <c r="G104" i="6"/>
  <c r="I104" i="6" s="1"/>
  <c r="H103" i="6"/>
  <c r="G103" i="6"/>
  <c r="I103" i="6" s="1"/>
  <c r="I102" i="6"/>
  <c r="G102" i="6"/>
  <c r="H102" i="6" s="1"/>
  <c r="I101" i="6"/>
  <c r="H101" i="6"/>
  <c r="G101" i="6"/>
  <c r="I100" i="6"/>
  <c r="G100" i="6"/>
  <c r="H100" i="6" s="1"/>
  <c r="G99" i="6"/>
  <c r="I99" i="6" s="1"/>
  <c r="G98" i="6"/>
  <c r="I97" i="6"/>
  <c r="H97" i="6"/>
  <c r="G97" i="6"/>
  <c r="H96" i="6"/>
  <c r="G96" i="6"/>
  <c r="I96" i="6" s="1"/>
  <c r="H95" i="6"/>
  <c r="G95" i="6"/>
  <c r="I95" i="6" s="1"/>
  <c r="I94" i="6"/>
  <c r="G94" i="6"/>
  <c r="H94" i="6" s="1"/>
  <c r="I93" i="6"/>
  <c r="H93" i="6"/>
  <c r="G93" i="6"/>
  <c r="I92" i="6"/>
  <c r="G92" i="6"/>
  <c r="H92" i="6" s="1"/>
  <c r="G91" i="6"/>
  <c r="I91" i="6" s="1"/>
  <c r="G90" i="6"/>
  <c r="I89" i="6"/>
  <c r="H89" i="6"/>
  <c r="G89" i="6"/>
  <c r="H88" i="6"/>
  <c r="G88" i="6"/>
  <c r="I88" i="6" s="1"/>
  <c r="H87" i="6"/>
  <c r="G87" i="6"/>
  <c r="I87" i="6" s="1"/>
  <c r="I86" i="6"/>
  <c r="H86" i="6"/>
  <c r="G86" i="6"/>
  <c r="I85" i="6"/>
  <c r="H85" i="6"/>
  <c r="G85" i="6"/>
  <c r="I84" i="6"/>
  <c r="G84" i="6"/>
  <c r="H84" i="6" s="1"/>
  <c r="G83" i="6"/>
  <c r="I83" i="6" s="1"/>
  <c r="G82" i="6"/>
  <c r="I81" i="6"/>
  <c r="H81" i="6"/>
  <c r="G81" i="6"/>
  <c r="H80" i="6"/>
  <c r="G80" i="6"/>
  <c r="I80" i="6" s="1"/>
  <c r="H79" i="6"/>
  <c r="G79" i="6"/>
  <c r="I79" i="6" s="1"/>
  <c r="I78" i="6"/>
  <c r="H78" i="6"/>
  <c r="G78" i="6"/>
  <c r="I77" i="6"/>
  <c r="H77" i="6"/>
  <c r="G77" i="6"/>
  <c r="I76" i="6"/>
  <c r="G76" i="6"/>
  <c r="H76" i="6" s="1"/>
  <c r="G75" i="6"/>
  <c r="I75" i="6" s="1"/>
  <c r="G74" i="6"/>
  <c r="I73" i="6"/>
  <c r="H73" i="6"/>
  <c r="G73" i="6"/>
  <c r="H72" i="6"/>
  <c r="G72" i="6"/>
  <c r="I72" i="6" s="1"/>
  <c r="H71" i="6"/>
  <c r="G71" i="6"/>
  <c r="I71" i="6" s="1"/>
  <c r="I70" i="6"/>
  <c r="H70" i="6"/>
  <c r="G70" i="6"/>
  <c r="I69" i="6"/>
  <c r="H69" i="6"/>
  <c r="G69" i="6"/>
  <c r="I68" i="6"/>
  <c r="G68" i="6"/>
  <c r="H68" i="6" s="1"/>
  <c r="G67" i="6"/>
  <c r="I67" i="6" s="1"/>
  <c r="G66" i="6"/>
  <c r="I65" i="6"/>
  <c r="H65" i="6"/>
  <c r="G65" i="6"/>
  <c r="H64" i="6"/>
  <c r="G64" i="6"/>
  <c r="I64" i="6" s="1"/>
  <c r="H63" i="6"/>
  <c r="G63" i="6"/>
  <c r="I63" i="6" s="1"/>
  <c r="I62" i="6"/>
  <c r="H62" i="6"/>
  <c r="G62" i="6"/>
  <c r="I61" i="6"/>
  <c r="H61" i="6"/>
  <c r="G61" i="6"/>
  <c r="I60" i="6"/>
  <c r="G60" i="6"/>
  <c r="H60" i="6" s="1"/>
  <c r="G59" i="6"/>
  <c r="I59" i="6" s="1"/>
  <c r="G58" i="6"/>
  <c r="I57" i="6"/>
  <c r="H57" i="6"/>
  <c r="G57" i="6"/>
  <c r="H56" i="6"/>
  <c r="G56" i="6"/>
  <c r="I56" i="6" s="1"/>
  <c r="H55" i="6"/>
  <c r="G55" i="6"/>
  <c r="I55" i="6" s="1"/>
  <c r="I54" i="6"/>
  <c r="H54" i="6"/>
  <c r="G54" i="6"/>
  <c r="I53" i="6"/>
  <c r="H53" i="6"/>
  <c r="G53" i="6"/>
  <c r="I52" i="6"/>
  <c r="G52" i="6"/>
  <c r="H52" i="6" s="1"/>
  <c r="G51" i="6"/>
  <c r="I51" i="6" s="1"/>
  <c r="G50" i="6"/>
  <c r="I49" i="6"/>
  <c r="H49" i="6"/>
  <c r="G49" i="6"/>
  <c r="H48" i="6"/>
  <c r="G48" i="6"/>
  <c r="I48" i="6" s="1"/>
  <c r="H47" i="6"/>
  <c r="G47" i="6"/>
  <c r="I47" i="6" s="1"/>
  <c r="I46" i="6"/>
  <c r="H46" i="6"/>
  <c r="G46" i="6"/>
  <c r="I45" i="6"/>
  <c r="H45" i="6"/>
  <c r="G45" i="6"/>
  <c r="I44" i="6"/>
  <c r="G44" i="6"/>
  <c r="H44" i="6" s="1"/>
  <c r="G43" i="6"/>
  <c r="I43" i="6" s="1"/>
  <c r="G42" i="6"/>
  <c r="I41" i="6"/>
  <c r="H41" i="6"/>
  <c r="G41" i="6"/>
  <c r="H40" i="6"/>
  <c r="G40" i="6"/>
  <c r="I40" i="6" s="1"/>
  <c r="H39" i="6"/>
  <c r="G39" i="6"/>
  <c r="I39" i="6" s="1"/>
  <c r="I38" i="6"/>
  <c r="G38" i="6"/>
  <c r="H38" i="6" s="1"/>
  <c r="I37" i="6"/>
  <c r="H37" i="6"/>
  <c r="G37" i="6"/>
  <c r="I36" i="6"/>
  <c r="G36" i="6"/>
  <c r="H36" i="6" s="1"/>
  <c r="G35" i="6"/>
  <c r="I35" i="6" s="1"/>
  <c r="G34" i="6"/>
  <c r="I33" i="6"/>
  <c r="H33" i="6"/>
  <c r="G33" i="6"/>
  <c r="H32" i="6"/>
  <c r="G32" i="6"/>
  <c r="I32" i="6" s="1"/>
  <c r="H31" i="6"/>
  <c r="G31" i="6"/>
  <c r="I31" i="6" s="1"/>
  <c r="I30" i="6"/>
  <c r="G30" i="6"/>
  <c r="H30" i="6" s="1"/>
  <c r="I29" i="6"/>
  <c r="H29" i="6"/>
  <c r="G29" i="6"/>
  <c r="I28" i="6"/>
  <c r="G28" i="6"/>
  <c r="H28" i="6" s="1"/>
  <c r="G27" i="6"/>
  <c r="I27" i="6" s="1"/>
  <c r="G26" i="6"/>
  <c r="I25" i="6"/>
  <c r="H25" i="6"/>
  <c r="G25" i="6"/>
  <c r="H24" i="6"/>
  <c r="G24" i="6"/>
  <c r="I24" i="6" s="1"/>
  <c r="G23" i="6"/>
  <c r="H23" i="6" s="1"/>
  <c r="G22" i="6"/>
  <c r="H22" i="6" s="1"/>
  <c r="G21" i="6"/>
  <c r="H21" i="6" s="1"/>
  <c r="H20" i="6"/>
  <c r="G20" i="6"/>
  <c r="G19" i="6"/>
  <c r="H19" i="6" s="1"/>
  <c r="G18" i="6"/>
  <c r="H18" i="6" s="1"/>
  <c r="G17" i="6"/>
  <c r="H17" i="6" s="1"/>
  <c r="H16" i="6"/>
  <c r="G16" i="6"/>
  <c r="G15" i="6"/>
  <c r="H15" i="6" s="1"/>
  <c r="G14" i="6"/>
  <c r="H14" i="6" s="1"/>
  <c r="G13" i="6"/>
  <c r="H13" i="6" s="1"/>
  <c r="H12" i="6"/>
  <c r="G12" i="6"/>
  <c r="G11" i="6"/>
  <c r="H11" i="6" s="1"/>
  <c r="G10" i="6"/>
  <c r="H10" i="6" s="1"/>
  <c r="G9" i="6"/>
  <c r="H9" i="6" s="1"/>
  <c r="H8" i="6"/>
  <c r="G8" i="6"/>
  <c r="G7" i="6"/>
  <c r="H7" i="6" s="1"/>
  <c r="G6" i="6"/>
  <c r="H6" i="6" s="1"/>
  <c r="G5" i="6"/>
  <c r="H5" i="6" s="1"/>
  <c r="H4" i="6"/>
  <c r="G4" i="6"/>
  <c r="G3" i="6"/>
  <c r="H3" i="6" s="1"/>
  <c r="G2" i="6"/>
  <c r="H2" i="6" s="1"/>
  <c r="E61" i="5"/>
  <c r="G60" i="5"/>
  <c r="I59" i="5"/>
  <c r="H59" i="5"/>
  <c r="G59" i="5"/>
  <c r="H58" i="5"/>
  <c r="G58" i="5"/>
  <c r="I58" i="5" s="1"/>
  <c r="H57" i="5"/>
  <c r="G57" i="5"/>
  <c r="I57" i="5" s="1"/>
  <c r="I56" i="5"/>
  <c r="G56" i="5"/>
  <c r="H56" i="5" s="1"/>
  <c r="I55" i="5"/>
  <c r="H55" i="5"/>
  <c r="G55" i="5"/>
  <c r="I54" i="5"/>
  <c r="G54" i="5"/>
  <c r="H54" i="5" s="1"/>
  <c r="G53" i="5"/>
  <c r="I53" i="5" s="1"/>
  <c r="G52" i="5"/>
  <c r="I51" i="5"/>
  <c r="H51" i="5"/>
  <c r="G51" i="5"/>
  <c r="H50" i="5"/>
  <c r="G50" i="5"/>
  <c r="I50" i="5" s="1"/>
  <c r="H49" i="5"/>
  <c r="G49" i="5"/>
  <c r="I49" i="5" s="1"/>
  <c r="I48" i="5"/>
  <c r="G48" i="5"/>
  <c r="H48" i="5" s="1"/>
  <c r="I47" i="5"/>
  <c r="H47" i="5"/>
  <c r="G47" i="5"/>
  <c r="I46" i="5"/>
  <c r="G46" i="5"/>
  <c r="H46" i="5" s="1"/>
  <c r="G45" i="5"/>
  <c r="I45" i="5" s="1"/>
  <c r="G44" i="5"/>
  <c r="I43" i="5"/>
  <c r="H43" i="5"/>
  <c r="G43" i="5"/>
  <c r="H42" i="5"/>
  <c r="G42" i="5"/>
  <c r="I42" i="5" s="1"/>
  <c r="H41" i="5"/>
  <c r="G41" i="5"/>
  <c r="I41" i="5" s="1"/>
  <c r="I40" i="5"/>
  <c r="G40" i="5"/>
  <c r="H40" i="5" s="1"/>
  <c r="I39" i="5"/>
  <c r="H39" i="5"/>
  <c r="G39" i="5"/>
  <c r="I38" i="5"/>
  <c r="G38" i="5"/>
  <c r="H38" i="5" s="1"/>
  <c r="G37" i="5"/>
  <c r="I37" i="5" s="1"/>
  <c r="G36" i="5"/>
  <c r="I35" i="5"/>
  <c r="H35" i="5"/>
  <c r="G35" i="5"/>
  <c r="H34" i="5"/>
  <c r="G34" i="5"/>
  <c r="I34" i="5" s="1"/>
  <c r="H33" i="5"/>
  <c r="G33" i="5"/>
  <c r="I33" i="5" s="1"/>
  <c r="I32" i="5"/>
  <c r="G32" i="5"/>
  <c r="H32" i="5" s="1"/>
  <c r="I31" i="5"/>
  <c r="H31" i="5"/>
  <c r="G31" i="5"/>
  <c r="I30" i="5"/>
  <c r="G30" i="5"/>
  <c r="H30" i="5" s="1"/>
  <c r="G29" i="5"/>
  <c r="I29" i="5" s="1"/>
  <c r="G28" i="5"/>
  <c r="I27" i="5"/>
  <c r="H27" i="5"/>
  <c r="G27" i="5"/>
  <c r="H26" i="5"/>
  <c r="G26" i="5"/>
  <c r="I26" i="5" s="1"/>
  <c r="H25" i="5"/>
  <c r="G25" i="5"/>
  <c r="I25" i="5" s="1"/>
  <c r="I24" i="5"/>
  <c r="G24" i="5"/>
  <c r="H24" i="5" s="1"/>
  <c r="I23" i="5"/>
  <c r="H23" i="5"/>
  <c r="G23" i="5"/>
  <c r="I22" i="5"/>
  <c r="G22" i="5"/>
  <c r="H22" i="5" s="1"/>
  <c r="G21" i="5"/>
  <c r="I21" i="5" s="1"/>
  <c r="G20" i="5"/>
  <c r="I19" i="5"/>
  <c r="H19" i="5"/>
  <c r="G19" i="5"/>
  <c r="H18" i="5"/>
  <c r="G18" i="5"/>
  <c r="I18" i="5" s="1"/>
  <c r="H17" i="5"/>
  <c r="G17" i="5"/>
  <c r="I17" i="5" s="1"/>
  <c r="I16" i="5"/>
  <c r="G16" i="5"/>
  <c r="H16" i="5" s="1"/>
  <c r="I15" i="5"/>
  <c r="H15" i="5"/>
  <c r="G15" i="5"/>
  <c r="I14" i="5"/>
  <c r="G14" i="5"/>
  <c r="H14" i="5" s="1"/>
  <c r="G13" i="5"/>
  <c r="I13" i="5" s="1"/>
  <c r="G12" i="5"/>
  <c r="I11" i="5"/>
  <c r="H11" i="5"/>
  <c r="G11" i="5"/>
  <c r="H10" i="5"/>
  <c r="G10" i="5"/>
  <c r="I10" i="5" s="1"/>
  <c r="H9" i="5"/>
  <c r="G9" i="5"/>
  <c r="I9" i="5" s="1"/>
  <c r="I8" i="5"/>
  <c r="G8" i="5"/>
  <c r="H8" i="5" s="1"/>
  <c r="I7" i="5"/>
  <c r="H7" i="5"/>
  <c r="G7" i="5"/>
  <c r="I6" i="5"/>
  <c r="G6" i="5"/>
  <c r="H6" i="5" s="1"/>
  <c r="G5" i="5"/>
  <c r="I5" i="5" s="1"/>
  <c r="G4" i="5"/>
  <c r="I3" i="5"/>
  <c r="H3" i="5"/>
  <c r="G3" i="5"/>
  <c r="H2" i="5"/>
  <c r="G2" i="5"/>
  <c r="I2" i="5" s="1"/>
  <c r="E53" i="4"/>
  <c r="I52" i="4"/>
  <c r="G52" i="4"/>
  <c r="H52" i="4" s="1"/>
  <c r="I51" i="4"/>
  <c r="G51" i="4"/>
  <c r="H51" i="4" s="1"/>
  <c r="I50" i="4"/>
  <c r="G50" i="4"/>
  <c r="H50" i="4" s="1"/>
  <c r="G49" i="4"/>
  <c r="I49" i="4" s="1"/>
  <c r="G48" i="4"/>
  <c r="I47" i="4"/>
  <c r="H47" i="4"/>
  <c r="G47" i="4"/>
  <c r="H46" i="4"/>
  <c r="G46" i="4"/>
  <c r="I46" i="4" s="1"/>
  <c r="H45" i="4"/>
  <c r="G45" i="4"/>
  <c r="I45" i="4" s="1"/>
  <c r="I44" i="4"/>
  <c r="G44" i="4"/>
  <c r="H44" i="4" s="1"/>
  <c r="I43" i="4"/>
  <c r="G43" i="4"/>
  <c r="H43" i="4" s="1"/>
  <c r="I42" i="4"/>
  <c r="G42" i="4"/>
  <c r="H42" i="4" s="1"/>
  <c r="G41" i="4"/>
  <c r="I41" i="4" s="1"/>
  <c r="G40" i="4"/>
  <c r="I39" i="4"/>
  <c r="H39" i="4"/>
  <c r="G39" i="4"/>
  <c r="H38" i="4"/>
  <c r="G38" i="4"/>
  <c r="I38" i="4" s="1"/>
  <c r="H37" i="4"/>
  <c r="G37" i="4"/>
  <c r="I37" i="4" s="1"/>
  <c r="I36" i="4"/>
  <c r="G36" i="4"/>
  <c r="H36" i="4" s="1"/>
  <c r="I35" i="4"/>
  <c r="G35" i="4"/>
  <c r="H35" i="4" s="1"/>
  <c r="I34" i="4"/>
  <c r="G34" i="4"/>
  <c r="H34" i="4" s="1"/>
  <c r="G33" i="4"/>
  <c r="I33" i="4" s="1"/>
  <c r="G32" i="4"/>
  <c r="I31" i="4"/>
  <c r="H31" i="4"/>
  <c r="G31" i="4"/>
  <c r="H30" i="4"/>
  <c r="G30" i="4"/>
  <c r="I30" i="4" s="1"/>
  <c r="H29" i="4"/>
  <c r="G29" i="4"/>
  <c r="I29" i="4" s="1"/>
  <c r="I28" i="4"/>
  <c r="H28" i="4"/>
  <c r="G28" i="4"/>
  <c r="I27" i="4"/>
  <c r="G27" i="4"/>
  <c r="H27" i="4" s="1"/>
  <c r="I26" i="4"/>
  <c r="G26" i="4"/>
  <c r="H26" i="4" s="1"/>
  <c r="G25" i="4"/>
  <c r="I25" i="4" s="1"/>
  <c r="G24" i="4"/>
  <c r="I23" i="4"/>
  <c r="H23" i="4"/>
  <c r="G23" i="4"/>
  <c r="I22" i="4"/>
  <c r="H22" i="4"/>
  <c r="G22" i="4"/>
  <c r="H21" i="4"/>
  <c r="G21" i="4"/>
  <c r="I21" i="4" s="1"/>
  <c r="I20" i="4"/>
  <c r="G20" i="4"/>
  <c r="H20" i="4" s="1"/>
  <c r="I19" i="4"/>
  <c r="G19" i="4"/>
  <c r="H19" i="4" s="1"/>
  <c r="I18" i="4"/>
  <c r="G18" i="4"/>
  <c r="H18" i="4" s="1"/>
  <c r="G17" i="4"/>
  <c r="I17" i="4" s="1"/>
  <c r="G16" i="4"/>
  <c r="I15" i="4"/>
  <c r="H15" i="4"/>
  <c r="G15" i="4"/>
  <c r="H14" i="4"/>
  <c r="G14" i="4"/>
  <c r="I14" i="4" s="1"/>
  <c r="H13" i="4"/>
  <c r="G13" i="4"/>
  <c r="I13" i="4" s="1"/>
  <c r="I12" i="4"/>
  <c r="G12" i="4"/>
  <c r="H12" i="4" s="1"/>
  <c r="I11" i="4"/>
  <c r="G11" i="4"/>
  <c r="H11" i="4" s="1"/>
  <c r="I10" i="4"/>
  <c r="G10" i="4"/>
  <c r="H10" i="4" s="1"/>
  <c r="G9" i="4"/>
  <c r="I9" i="4" s="1"/>
  <c r="G8" i="4"/>
  <c r="I7" i="4"/>
  <c r="H7" i="4"/>
  <c r="G7" i="4"/>
  <c r="H6" i="4"/>
  <c r="G6" i="4"/>
  <c r="I6" i="4" s="1"/>
  <c r="H5" i="4"/>
  <c r="G5" i="4"/>
  <c r="I5" i="4" s="1"/>
  <c r="I4" i="4"/>
  <c r="G4" i="4"/>
  <c r="H4" i="4" s="1"/>
  <c r="I3" i="4"/>
  <c r="G3" i="4"/>
  <c r="H3" i="4" s="1"/>
  <c r="I2" i="4"/>
  <c r="G2" i="4"/>
  <c r="H2" i="4" s="1"/>
  <c r="I72" i="3"/>
  <c r="H72" i="3"/>
  <c r="E69" i="3"/>
  <c r="I68" i="3"/>
  <c r="G68" i="3"/>
  <c r="H68" i="3" s="1"/>
  <c r="G67" i="3"/>
  <c r="I67" i="3" s="1"/>
  <c r="G66" i="3"/>
  <c r="I65" i="3"/>
  <c r="H65" i="3"/>
  <c r="G65" i="3"/>
  <c r="H64" i="3"/>
  <c r="G64" i="3"/>
  <c r="I64" i="3" s="1"/>
  <c r="H63" i="3"/>
  <c r="G63" i="3"/>
  <c r="I63" i="3" s="1"/>
  <c r="I62" i="3"/>
  <c r="G62" i="3"/>
  <c r="H62" i="3" s="1"/>
  <c r="I61" i="3"/>
  <c r="G61" i="3"/>
  <c r="H61" i="3" s="1"/>
  <c r="I60" i="3"/>
  <c r="G60" i="3"/>
  <c r="H60" i="3" s="1"/>
  <c r="G59" i="3"/>
  <c r="I59" i="3" s="1"/>
  <c r="G58" i="3"/>
  <c r="H57" i="3"/>
  <c r="G57" i="3"/>
  <c r="I57" i="3" s="1"/>
  <c r="H56" i="3"/>
  <c r="G56" i="3"/>
  <c r="I56" i="3" s="1"/>
  <c r="H55" i="3"/>
  <c r="G55" i="3"/>
  <c r="I55" i="3" s="1"/>
  <c r="I54" i="3"/>
  <c r="H54" i="3"/>
  <c r="G54" i="3"/>
  <c r="I53" i="3"/>
  <c r="G53" i="3"/>
  <c r="H53" i="3" s="1"/>
  <c r="I52" i="3"/>
  <c r="G52" i="3"/>
  <c r="H52" i="3" s="1"/>
  <c r="G51" i="3"/>
  <c r="I51" i="3" s="1"/>
  <c r="G50" i="3"/>
  <c r="H49" i="3"/>
  <c r="G49" i="3"/>
  <c r="I49" i="3" s="1"/>
  <c r="H48" i="3"/>
  <c r="G48" i="3"/>
  <c r="I48" i="3" s="1"/>
  <c r="H47" i="3"/>
  <c r="G47" i="3"/>
  <c r="I47" i="3" s="1"/>
  <c r="I46" i="3"/>
  <c r="H46" i="3"/>
  <c r="G46" i="3"/>
  <c r="I45" i="3"/>
  <c r="G45" i="3"/>
  <c r="H45" i="3" s="1"/>
  <c r="I44" i="3"/>
  <c r="G44" i="3"/>
  <c r="H44" i="3" s="1"/>
  <c r="G43" i="3"/>
  <c r="I43" i="3" s="1"/>
  <c r="G42" i="3"/>
  <c r="H41" i="3"/>
  <c r="G41" i="3"/>
  <c r="I41" i="3" s="1"/>
  <c r="H40" i="3"/>
  <c r="G40" i="3"/>
  <c r="I40" i="3" s="1"/>
  <c r="H39" i="3"/>
  <c r="G39" i="3"/>
  <c r="I39" i="3" s="1"/>
  <c r="I38" i="3"/>
  <c r="H38" i="3"/>
  <c r="G38" i="3"/>
  <c r="I37" i="3"/>
  <c r="G37" i="3"/>
  <c r="H37" i="3" s="1"/>
  <c r="I36" i="3"/>
  <c r="G36" i="3"/>
  <c r="H36" i="3" s="1"/>
  <c r="G35" i="3"/>
  <c r="I35" i="3" s="1"/>
  <c r="G34" i="3"/>
  <c r="H33" i="3"/>
  <c r="G33" i="3"/>
  <c r="I33" i="3" s="1"/>
  <c r="I32" i="3"/>
  <c r="H32" i="3"/>
  <c r="G32" i="3"/>
  <c r="H31" i="3"/>
  <c r="G31" i="3"/>
  <c r="I31" i="3" s="1"/>
  <c r="I30" i="3"/>
  <c r="G30" i="3"/>
  <c r="H30" i="3" s="1"/>
  <c r="I29" i="3"/>
  <c r="G29" i="3"/>
  <c r="H29" i="3" s="1"/>
  <c r="I28" i="3"/>
  <c r="G28" i="3"/>
  <c r="H28" i="3" s="1"/>
  <c r="G27" i="3"/>
  <c r="I27" i="3" s="1"/>
  <c r="G26" i="3"/>
  <c r="H25" i="3"/>
  <c r="G25" i="3"/>
  <c r="I25" i="3" s="1"/>
  <c r="H24" i="3"/>
  <c r="G24" i="3"/>
  <c r="I24" i="3" s="1"/>
  <c r="H23" i="3"/>
  <c r="G23" i="3"/>
  <c r="I23" i="3" s="1"/>
  <c r="I22" i="3"/>
  <c r="G22" i="3"/>
  <c r="H22" i="3" s="1"/>
  <c r="I21" i="3"/>
  <c r="G21" i="3"/>
  <c r="H21" i="3" s="1"/>
  <c r="I20" i="3"/>
  <c r="G20" i="3"/>
  <c r="H20" i="3" s="1"/>
  <c r="G19" i="3"/>
  <c r="I19" i="3" s="1"/>
  <c r="G18" i="3"/>
  <c r="H17" i="3"/>
  <c r="G17" i="3"/>
  <c r="I17" i="3" s="1"/>
  <c r="H16" i="3"/>
  <c r="G16" i="3"/>
  <c r="I16" i="3" s="1"/>
  <c r="H15" i="3"/>
  <c r="G15" i="3"/>
  <c r="I15" i="3" s="1"/>
  <c r="I14" i="3"/>
  <c r="G14" i="3"/>
  <c r="H14" i="3" s="1"/>
  <c r="I13" i="3"/>
  <c r="G13" i="3"/>
  <c r="H13" i="3" s="1"/>
  <c r="I12" i="3"/>
  <c r="G12" i="3"/>
  <c r="H12" i="3" s="1"/>
  <c r="G11" i="3"/>
  <c r="I11" i="3" s="1"/>
  <c r="G10" i="3"/>
  <c r="I9" i="3"/>
  <c r="H9" i="3"/>
  <c r="G9" i="3"/>
  <c r="H8" i="3"/>
  <c r="G8" i="3"/>
  <c r="I8" i="3" s="1"/>
  <c r="H7" i="3"/>
  <c r="G7" i="3"/>
  <c r="I7" i="3" s="1"/>
  <c r="I6" i="3"/>
  <c r="G6" i="3"/>
  <c r="H6" i="3" s="1"/>
  <c r="I5" i="3"/>
  <c r="G5" i="3"/>
  <c r="H5" i="3" s="1"/>
  <c r="I4" i="3"/>
  <c r="G4" i="3"/>
  <c r="H4" i="3" s="1"/>
  <c r="G3" i="3"/>
  <c r="I3" i="3" s="1"/>
  <c r="G2" i="3"/>
  <c r="E69" i="2"/>
  <c r="H68" i="2"/>
  <c r="G68" i="2"/>
  <c r="I68" i="2" s="1"/>
  <c r="H67" i="2"/>
  <c r="G67" i="2"/>
  <c r="I67" i="2" s="1"/>
  <c r="I66" i="2"/>
  <c r="H66" i="2"/>
  <c r="G66" i="2"/>
  <c r="I65" i="2"/>
  <c r="H65" i="2"/>
  <c r="G65" i="2"/>
  <c r="I64" i="2"/>
  <c r="G64" i="2"/>
  <c r="H64" i="2" s="1"/>
  <c r="G63" i="2"/>
  <c r="G62" i="2"/>
  <c r="H61" i="2"/>
  <c r="G61" i="2"/>
  <c r="I61" i="2" s="1"/>
  <c r="H60" i="2"/>
  <c r="G60" i="2"/>
  <c r="I60" i="2" s="1"/>
  <c r="H59" i="2"/>
  <c r="G59" i="2"/>
  <c r="I59" i="2" s="1"/>
  <c r="I58" i="2"/>
  <c r="H58" i="2"/>
  <c r="G58" i="2"/>
  <c r="I57" i="2"/>
  <c r="G57" i="2"/>
  <c r="H57" i="2" s="1"/>
  <c r="I56" i="2"/>
  <c r="G56" i="2"/>
  <c r="H56" i="2" s="1"/>
  <c r="G55" i="2"/>
  <c r="G54" i="2"/>
  <c r="H53" i="2"/>
  <c r="G53" i="2"/>
  <c r="I53" i="2" s="1"/>
  <c r="H52" i="2"/>
  <c r="G52" i="2"/>
  <c r="I52" i="2" s="1"/>
  <c r="H51" i="2"/>
  <c r="G51" i="2"/>
  <c r="I51" i="2" s="1"/>
  <c r="I50" i="2"/>
  <c r="G50" i="2"/>
  <c r="H50" i="2" s="1"/>
  <c r="I49" i="2"/>
  <c r="G49" i="2"/>
  <c r="H49" i="2" s="1"/>
  <c r="G48" i="2"/>
  <c r="H48" i="2" s="1"/>
  <c r="G47" i="2"/>
  <c r="G46" i="2"/>
  <c r="H45" i="2"/>
  <c r="G45" i="2"/>
  <c r="I45" i="2" s="1"/>
  <c r="I44" i="2"/>
  <c r="H44" i="2"/>
  <c r="G44" i="2"/>
  <c r="H43" i="2"/>
  <c r="G43" i="2"/>
  <c r="I43" i="2" s="1"/>
  <c r="I42" i="2"/>
  <c r="G42" i="2"/>
  <c r="H42" i="2" s="1"/>
  <c r="I41" i="2"/>
  <c r="G41" i="2"/>
  <c r="H41" i="2" s="1"/>
  <c r="I40" i="2"/>
  <c r="G40" i="2"/>
  <c r="H40" i="2" s="1"/>
  <c r="G39" i="2"/>
  <c r="G38" i="2"/>
  <c r="H37" i="2"/>
  <c r="G37" i="2"/>
  <c r="I37" i="2" s="1"/>
  <c r="I36" i="2"/>
  <c r="H36" i="2"/>
  <c r="G36" i="2"/>
  <c r="H35" i="2"/>
  <c r="G35" i="2"/>
  <c r="I35" i="2" s="1"/>
  <c r="I34" i="2"/>
  <c r="G34" i="2"/>
  <c r="H34" i="2" s="1"/>
  <c r="I33" i="2"/>
  <c r="H33" i="2"/>
  <c r="G33" i="2"/>
  <c r="I32" i="2"/>
  <c r="G32" i="2"/>
  <c r="H32" i="2" s="1"/>
  <c r="G31" i="2"/>
  <c r="I31" i="2" s="1"/>
  <c r="G30" i="2"/>
  <c r="H29" i="2"/>
  <c r="G29" i="2"/>
  <c r="I29" i="2" s="1"/>
  <c r="I28" i="2"/>
  <c r="H28" i="2"/>
  <c r="G28" i="2"/>
  <c r="H27" i="2"/>
  <c r="G27" i="2"/>
  <c r="I27" i="2" s="1"/>
  <c r="I26" i="2"/>
  <c r="H26" i="2"/>
  <c r="G26" i="2"/>
  <c r="I25" i="2"/>
  <c r="H25" i="2"/>
  <c r="G25" i="2"/>
  <c r="G24" i="2"/>
  <c r="H24" i="2" s="1"/>
  <c r="I23" i="2"/>
  <c r="H23" i="2"/>
  <c r="G23" i="2"/>
  <c r="G22" i="2"/>
  <c r="H21" i="2"/>
  <c r="G21" i="2"/>
  <c r="I21" i="2" s="1"/>
  <c r="I20" i="2"/>
  <c r="H20" i="2"/>
  <c r="G20" i="2"/>
  <c r="H19" i="2"/>
  <c r="G19" i="2"/>
  <c r="I19" i="2" s="1"/>
  <c r="I18" i="2"/>
  <c r="H18" i="2"/>
  <c r="G18" i="2"/>
  <c r="I17" i="2"/>
  <c r="G17" i="2"/>
  <c r="H17" i="2" s="1"/>
  <c r="I16" i="2"/>
  <c r="H16" i="2"/>
  <c r="G16" i="2"/>
  <c r="I15" i="2"/>
  <c r="H15" i="2"/>
  <c r="G15" i="2"/>
  <c r="G14" i="2"/>
  <c r="H14" i="2" s="1"/>
  <c r="I13" i="2"/>
  <c r="G13" i="2"/>
  <c r="H13" i="2" s="1"/>
  <c r="I12" i="2"/>
  <c r="H12" i="2"/>
  <c r="G12" i="2"/>
  <c r="H11" i="2"/>
  <c r="G11" i="2"/>
  <c r="I11" i="2" s="1"/>
  <c r="G10" i="2"/>
  <c r="I10" i="2" s="1"/>
  <c r="I9" i="2"/>
  <c r="G9" i="2"/>
  <c r="H9" i="2" s="1"/>
  <c r="I8" i="2"/>
  <c r="H8" i="2"/>
  <c r="G8" i="2"/>
  <c r="H7" i="2"/>
  <c r="G7" i="2"/>
  <c r="I7" i="2" s="1"/>
  <c r="G6" i="2"/>
  <c r="I6" i="2" s="1"/>
  <c r="I5" i="2"/>
  <c r="G5" i="2"/>
  <c r="H5" i="2" s="1"/>
  <c r="I4" i="2"/>
  <c r="H4" i="2"/>
  <c r="G4" i="2"/>
  <c r="G3" i="2"/>
  <c r="I3" i="2" s="1"/>
  <c r="G2" i="2"/>
  <c r="I2" i="2" s="1"/>
  <c r="B23" i="1"/>
  <c r="B22" i="1"/>
  <c r="B21" i="1"/>
  <c r="B20" i="1"/>
  <c r="B19" i="1"/>
  <c r="B18" i="1"/>
  <c r="B14" i="1"/>
  <c r="B13" i="1"/>
  <c r="B12" i="1"/>
  <c r="B6" i="1"/>
  <c r="B5" i="1"/>
  <c r="B4" i="1"/>
  <c r="B3" i="1"/>
  <c r="B2" i="1"/>
  <c r="I34" i="1" l="1"/>
  <c r="J34" i="1" s="1"/>
  <c r="K34" i="1" s="1"/>
  <c r="I37" i="1"/>
  <c r="J37" i="1" s="1"/>
  <c r="K37" i="1" s="1"/>
  <c r="I41" i="1"/>
  <c r="J41" i="1" s="1"/>
  <c r="K41" i="1" s="1"/>
  <c r="I36" i="1"/>
  <c r="J36" i="1" s="1"/>
  <c r="K36" i="1" s="1"/>
  <c r="I38" i="1"/>
  <c r="J38" i="1" s="1"/>
  <c r="K38" i="1" s="1"/>
  <c r="B7" i="1"/>
  <c r="B24" i="1"/>
  <c r="I35" i="1"/>
  <c r="J35" i="1" s="1"/>
  <c r="K35" i="1" s="1"/>
  <c r="J66" i="7"/>
  <c r="I66" i="7"/>
  <c r="I16" i="9"/>
  <c r="H16" i="9"/>
  <c r="H2" i="2"/>
  <c r="H10" i="2"/>
  <c r="I54" i="2"/>
  <c r="H54" i="2"/>
  <c r="I63" i="2"/>
  <c r="H63" i="2"/>
  <c r="I34" i="3"/>
  <c r="H34" i="3"/>
  <c r="I8" i="4"/>
  <c r="I53" i="4" s="1"/>
  <c r="D4" i="1" s="1"/>
  <c r="H8" i="4"/>
  <c r="I58" i="6"/>
  <c r="H58" i="6"/>
  <c r="J26" i="7"/>
  <c r="I26" i="7"/>
  <c r="J29" i="7"/>
  <c r="I29" i="7"/>
  <c r="J186" i="7"/>
  <c r="I186" i="7"/>
  <c r="I55" i="2"/>
  <c r="H55" i="2"/>
  <c r="I26" i="3"/>
  <c r="H26" i="3"/>
  <c r="I66" i="6"/>
  <c r="H66" i="6"/>
  <c r="J50" i="7"/>
  <c r="I50" i="7"/>
  <c r="J53" i="7"/>
  <c r="I53" i="7"/>
  <c r="J98" i="7"/>
  <c r="I98" i="7"/>
  <c r="I22" i="2"/>
  <c r="H22" i="2"/>
  <c r="I42" i="3"/>
  <c r="H42" i="3"/>
  <c r="I14" i="8"/>
  <c r="H14" i="8"/>
  <c r="I30" i="2"/>
  <c r="H30" i="2"/>
  <c r="I46" i="2"/>
  <c r="H46" i="2"/>
  <c r="I74" i="6"/>
  <c r="H74" i="6"/>
  <c r="J10" i="7"/>
  <c r="I10" i="7"/>
  <c r="J13" i="7"/>
  <c r="I13" i="7"/>
  <c r="J74" i="7"/>
  <c r="I74" i="7"/>
  <c r="J77" i="7"/>
  <c r="I77" i="7"/>
  <c r="I47" i="2"/>
  <c r="H47" i="2"/>
  <c r="I18" i="3"/>
  <c r="H18" i="3"/>
  <c r="I82" i="6"/>
  <c r="H82" i="6"/>
  <c r="J34" i="7"/>
  <c r="I34" i="7"/>
  <c r="J37" i="7"/>
  <c r="I37" i="7"/>
  <c r="J90" i="7"/>
  <c r="I90" i="7"/>
  <c r="J122" i="7"/>
  <c r="I122" i="7"/>
  <c r="I62" i="2"/>
  <c r="H62" i="2"/>
  <c r="I16" i="4"/>
  <c r="H16" i="4"/>
  <c r="I50" i="6"/>
  <c r="H50" i="6"/>
  <c r="J69" i="7"/>
  <c r="I69" i="7"/>
  <c r="I82" i="9"/>
  <c r="H82" i="9"/>
  <c r="H3" i="2"/>
  <c r="I38" i="2"/>
  <c r="H38" i="2"/>
  <c r="H6" i="2"/>
  <c r="I14" i="2"/>
  <c r="I69" i="2" s="1"/>
  <c r="D2" i="1" s="1"/>
  <c r="I24" i="2"/>
  <c r="H31" i="2"/>
  <c r="I39" i="2"/>
  <c r="H39" i="2"/>
  <c r="I66" i="3"/>
  <c r="H66" i="3"/>
  <c r="I4" i="5"/>
  <c r="I61" i="5" s="1"/>
  <c r="D5" i="1" s="1"/>
  <c r="H4" i="5"/>
  <c r="I12" i="5"/>
  <c r="H12" i="5"/>
  <c r="I20" i="5"/>
  <c r="H20" i="5"/>
  <c r="I28" i="5"/>
  <c r="H28" i="5"/>
  <c r="I36" i="5"/>
  <c r="H36" i="5"/>
  <c r="I44" i="5"/>
  <c r="H44" i="5"/>
  <c r="I52" i="5"/>
  <c r="H52" i="5"/>
  <c r="I60" i="5"/>
  <c r="H60" i="5"/>
  <c r="I90" i="6"/>
  <c r="H90" i="6"/>
  <c r="I98" i="6"/>
  <c r="H98" i="6"/>
  <c r="I106" i="6"/>
  <c r="H106" i="6"/>
  <c r="I114" i="6"/>
  <c r="H114" i="6"/>
  <c r="I122" i="6"/>
  <c r="H122" i="6"/>
  <c r="I130" i="6"/>
  <c r="H130" i="6"/>
  <c r="I138" i="6"/>
  <c r="H138" i="6"/>
  <c r="J58" i="7"/>
  <c r="I58" i="7"/>
  <c r="J61" i="7"/>
  <c r="I61" i="7"/>
  <c r="I24" i="4"/>
  <c r="H24" i="4"/>
  <c r="I49" i="8"/>
  <c r="H49" i="8"/>
  <c r="I48" i="2"/>
  <c r="I10" i="3"/>
  <c r="H10" i="3"/>
  <c r="I58" i="3"/>
  <c r="H58" i="3"/>
  <c r="I48" i="4"/>
  <c r="H48" i="4"/>
  <c r="J18" i="7"/>
  <c r="I18" i="7"/>
  <c r="J21" i="7"/>
  <c r="I21" i="7"/>
  <c r="J82" i="7"/>
  <c r="I82" i="7"/>
  <c r="J114" i="7"/>
  <c r="I114" i="7"/>
  <c r="I32" i="4"/>
  <c r="H32" i="4"/>
  <c r="J106" i="7"/>
  <c r="I106" i="7"/>
  <c r="I2" i="3"/>
  <c r="H2" i="3"/>
  <c r="I50" i="3"/>
  <c r="H50" i="3"/>
  <c r="I40" i="4"/>
  <c r="H40" i="4"/>
  <c r="I26" i="6"/>
  <c r="H26" i="6"/>
  <c r="H140" i="6" s="1"/>
  <c r="C6" i="1" s="1"/>
  <c r="I34" i="6"/>
  <c r="H34" i="6"/>
  <c r="I42" i="6"/>
  <c r="H42" i="6"/>
  <c r="J42" i="7"/>
  <c r="I42" i="7"/>
  <c r="J45" i="7"/>
  <c r="I45" i="7"/>
  <c r="G483" i="7"/>
  <c r="J200" i="7"/>
  <c r="I200" i="7"/>
  <c r="J8" i="7"/>
  <c r="I8" i="7"/>
  <c r="I483" i="7" s="1"/>
  <c r="C12" i="1" s="1"/>
  <c r="C14" i="1" s="1"/>
  <c r="C15" i="1" s="1"/>
  <c r="J16" i="7"/>
  <c r="I16" i="7"/>
  <c r="J24" i="7"/>
  <c r="I24" i="7"/>
  <c r="J32" i="7"/>
  <c r="I32" i="7"/>
  <c r="J40" i="7"/>
  <c r="I40" i="7"/>
  <c r="J48" i="7"/>
  <c r="I48" i="7"/>
  <c r="J56" i="7"/>
  <c r="I56" i="7"/>
  <c r="J64" i="7"/>
  <c r="I64" i="7"/>
  <c r="J72" i="7"/>
  <c r="I72" i="7"/>
  <c r="J80" i="7"/>
  <c r="I80" i="7"/>
  <c r="J88" i="7"/>
  <c r="I88" i="7"/>
  <c r="J96" i="7"/>
  <c r="I96" i="7"/>
  <c r="J104" i="7"/>
  <c r="I104" i="7"/>
  <c r="J112" i="7"/>
  <c r="I112" i="7"/>
  <c r="J120" i="7"/>
  <c r="I120" i="7"/>
  <c r="J187" i="7"/>
  <c r="I187" i="7"/>
  <c r="J218" i="7"/>
  <c r="I218" i="7"/>
  <c r="J205" i="7"/>
  <c r="I205" i="7"/>
  <c r="J269" i="7"/>
  <c r="I269" i="7"/>
  <c r="I278" i="7"/>
  <c r="J278" i="7"/>
  <c r="I294" i="7"/>
  <c r="J294" i="7"/>
  <c r="I310" i="7"/>
  <c r="J310" i="7"/>
  <c r="I326" i="7"/>
  <c r="J326" i="7"/>
  <c r="I342" i="7"/>
  <c r="J342" i="7"/>
  <c r="I358" i="7"/>
  <c r="J358" i="7"/>
  <c r="I377" i="7"/>
  <c r="J377" i="7"/>
  <c r="I409" i="7"/>
  <c r="J409" i="7"/>
  <c r="H3" i="3"/>
  <c r="H11" i="3"/>
  <c r="H19" i="3"/>
  <c r="H27" i="3"/>
  <c r="H35" i="3"/>
  <c r="H43" i="3"/>
  <c r="H51" i="3"/>
  <c r="H59" i="3"/>
  <c r="H67" i="3"/>
  <c r="H9" i="4"/>
  <c r="H17" i="4"/>
  <c r="H25" i="4"/>
  <c r="H33" i="4"/>
  <c r="H53" i="4" s="1"/>
  <c r="C4" i="1" s="1"/>
  <c r="H41" i="4"/>
  <c r="H49" i="4"/>
  <c r="H5" i="5"/>
  <c r="H13" i="5"/>
  <c r="H21" i="5"/>
  <c r="H29" i="5"/>
  <c r="H37" i="5"/>
  <c r="H45" i="5"/>
  <c r="H61" i="5" s="1"/>
  <c r="C5" i="1" s="1"/>
  <c r="H53" i="5"/>
  <c r="H27" i="6"/>
  <c r="H35" i="6"/>
  <c r="H43" i="6"/>
  <c r="H51" i="6"/>
  <c r="H59" i="6"/>
  <c r="H67" i="6"/>
  <c r="H75" i="6"/>
  <c r="H83" i="6"/>
  <c r="H91" i="6"/>
  <c r="H99" i="6"/>
  <c r="H107" i="6"/>
  <c r="H115" i="6"/>
  <c r="H123" i="6"/>
  <c r="H131" i="6"/>
  <c r="H139" i="6"/>
  <c r="J14" i="7"/>
  <c r="I14" i="7"/>
  <c r="J22" i="7"/>
  <c r="I22" i="7"/>
  <c r="J30" i="7"/>
  <c r="I30" i="7"/>
  <c r="J38" i="7"/>
  <c r="I38" i="7"/>
  <c r="J46" i="7"/>
  <c r="I46" i="7"/>
  <c r="J54" i="7"/>
  <c r="I54" i="7"/>
  <c r="J62" i="7"/>
  <c r="I62" i="7"/>
  <c r="J70" i="7"/>
  <c r="I70" i="7"/>
  <c r="J78" i="7"/>
  <c r="I78" i="7"/>
  <c r="J86" i="7"/>
  <c r="I86" i="7"/>
  <c r="J94" i="7"/>
  <c r="I94" i="7"/>
  <c r="J102" i="7"/>
  <c r="I102" i="7"/>
  <c r="J110" i="7"/>
  <c r="I110" i="7"/>
  <c r="J118" i="7"/>
  <c r="I118" i="7"/>
  <c r="J168" i="7"/>
  <c r="I168" i="7"/>
  <c r="J184" i="7"/>
  <c r="I184" i="7"/>
  <c r="J124" i="7"/>
  <c r="I124" i="7"/>
  <c r="J202" i="7"/>
  <c r="I202" i="7"/>
  <c r="J12" i="7"/>
  <c r="J483" i="7" s="1"/>
  <c r="D12" i="1" s="1"/>
  <c r="D14" i="1" s="1"/>
  <c r="I12" i="7"/>
  <c r="J20" i="7"/>
  <c r="I20" i="7"/>
  <c r="J28" i="7"/>
  <c r="I28" i="7"/>
  <c r="J36" i="7"/>
  <c r="I36" i="7"/>
  <c r="J44" i="7"/>
  <c r="I44" i="7"/>
  <c r="J52" i="7"/>
  <c r="I52" i="7"/>
  <c r="J60" i="7"/>
  <c r="I60" i="7"/>
  <c r="J68" i="7"/>
  <c r="I68" i="7"/>
  <c r="J76" i="7"/>
  <c r="I76" i="7"/>
  <c r="J84" i="7"/>
  <c r="I84" i="7"/>
  <c r="J92" i="7"/>
  <c r="I92" i="7"/>
  <c r="J100" i="7"/>
  <c r="I100" i="7"/>
  <c r="J108" i="7"/>
  <c r="I108" i="7"/>
  <c r="J116" i="7"/>
  <c r="I116" i="7"/>
  <c r="I169" i="7"/>
  <c r="J169" i="7"/>
  <c r="J189" i="7"/>
  <c r="I189" i="7"/>
  <c r="J216" i="7"/>
  <c r="I216" i="7"/>
  <c r="J163" i="7"/>
  <c r="I163" i="7"/>
  <c r="J203" i="7"/>
  <c r="I203" i="7"/>
  <c r="J180" i="7"/>
  <c r="J183" i="7"/>
  <c r="I183" i="7"/>
  <c r="J199" i="7"/>
  <c r="I199" i="7"/>
  <c r="J215" i="7"/>
  <c r="I401" i="7"/>
  <c r="J401" i="7"/>
  <c r="J177" i="7"/>
  <c r="I177" i="7"/>
  <c r="J193" i="7"/>
  <c r="I193" i="7"/>
  <c r="J209" i="7"/>
  <c r="I209" i="7"/>
  <c r="I433" i="7"/>
  <c r="J433" i="7"/>
  <c r="J164" i="7"/>
  <c r="J172" i="7"/>
  <c r="J178" i="7"/>
  <c r="J181" i="7"/>
  <c r="I181" i="7"/>
  <c r="J197" i="7"/>
  <c r="I197" i="7"/>
  <c r="J213" i="7"/>
  <c r="J285" i="7"/>
  <c r="I285" i="7"/>
  <c r="J301" i="7"/>
  <c r="I301" i="7"/>
  <c r="J317" i="7"/>
  <c r="I317" i="7"/>
  <c r="J333" i="7"/>
  <c r="I333" i="7"/>
  <c r="J349" i="7"/>
  <c r="I349" i="7"/>
  <c r="J365" i="7"/>
  <c r="I365" i="7"/>
  <c r="I441" i="7"/>
  <c r="J441" i="7"/>
  <c r="J175" i="7"/>
  <c r="I175" i="7"/>
  <c r="J191" i="7"/>
  <c r="I191" i="7"/>
  <c r="J207" i="7"/>
  <c r="I207" i="7"/>
  <c r="I385" i="7"/>
  <c r="J385" i="7"/>
  <c r="I417" i="7"/>
  <c r="J417" i="7"/>
  <c r="I449" i="7"/>
  <c r="J449" i="7"/>
  <c r="I126" i="7"/>
  <c r="I128" i="7"/>
  <c r="I130" i="7"/>
  <c r="I132" i="7"/>
  <c r="I134" i="7"/>
  <c r="I136" i="7"/>
  <c r="I138" i="7"/>
  <c r="I140" i="7"/>
  <c r="I142" i="7"/>
  <c r="I144" i="7"/>
  <c r="I146" i="7"/>
  <c r="I148" i="7"/>
  <c r="I150" i="7"/>
  <c r="I152" i="7"/>
  <c r="I154" i="7"/>
  <c r="I156" i="7"/>
  <c r="I158" i="7"/>
  <c r="I160" i="7"/>
  <c r="I162" i="7"/>
  <c r="J167" i="7"/>
  <c r="J170" i="7"/>
  <c r="J185" i="7"/>
  <c r="I185" i="7"/>
  <c r="I188" i="7"/>
  <c r="J201" i="7"/>
  <c r="I201" i="7"/>
  <c r="I204" i="7"/>
  <c r="J217" i="7"/>
  <c r="I220" i="7"/>
  <c r="I457" i="7"/>
  <c r="J457" i="7"/>
  <c r="J179" i="7"/>
  <c r="I179" i="7"/>
  <c r="J195" i="7"/>
  <c r="I195" i="7"/>
  <c r="J211" i="7"/>
  <c r="I211" i="7"/>
  <c r="I393" i="7"/>
  <c r="J393" i="7"/>
  <c r="I425" i="7"/>
  <c r="J425" i="7"/>
  <c r="I465" i="7"/>
  <c r="J465" i="7"/>
  <c r="I276" i="7"/>
  <c r="I396" i="7"/>
  <c r="J474" i="7"/>
  <c r="H10" i="8"/>
  <c r="I10" i="8"/>
  <c r="I59" i="8"/>
  <c r="H59" i="8"/>
  <c r="I3" i="9"/>
  <c r="I359" i="9" s="1"/>
  <c r="D19" i="1" s="1"/>
  <c r="H3" i="9"/>
  <c r="I47" i="9"/>
  <c r="H47" i="9"/>
  <c r="H333" i="9"/>
  <c r="I333" i="9"/>
  <c r="J324" i="7"/>
  <c r="I331" i="7"/>
  <c r="J340" i="7"/>
  <c r="I347" i="7"/>
  <c r="J356" i="7"/>
  <c r="I363" i="7"/>
  <c r="J372" i="7"/>
  <c r="J380" i="7"/>
  <c r="J388" i="7"/>
  <c r="J396" i="7"/>
  <c r="J404" i="7"/>
  <c r="J412" i="7"/>
  <c r="J420" i="7"/>
  <c r="J428" i="7"/>
  <c r="I431" i="7"/>
  <c r="J436" i="7"/>
  <c r="J444" i="7"/>
  <c r="J452" i="7"/>
  <c r="J460" i="7"/>
  <c r="J468" i="7"/>
  <c r="J480" i="7"/>
  <c r="I11" i="8"/>
  <c r="H11" i="8"/>
  <c r="I46" i="8"/>
  <c r="H46" i="8"/>
  <c r="I13" i="9"/>
  <c r="H13" i="9"/>
  <c r="H317" i="9"/>
  <c r="I317" i="9"/>
  <c r="I265" i="7"/>
  <c r="J274" i="7"/>
  <c r="I281" i="7"/>
  <c r="J290" i="7"/>
  <c r="I297" i="7"/>
  <c r="J306" i="7"/>
  <c r="I33" i="8"/>
  <c r="H33" i="8"/>
  <c r="H23" i="9"/>
  <c r="I23" i="9"/>
  <c r="H58" i="9"/>
  <c r="I58" i="9"/>
  <c r="H105" i="9"/>
  <c r="I105" i="9"/>
  <c r="I123" i="9"/>
  <c r="H123" i="9"/>
  <c r="I213" i="7"/>
  <c r="I215" i="7"/>
  <c r="I217" i="7"/>
  <c r="I219" i="7"/>
  <c r="I221" i="7"/>
  <c r="I223" i="7"/>
  <c r="I225" i="7"/>
  <c r="J272" i="7"/>
  <c r="J288" i="7"/>
  <c r="I302" i="7"/>
  <c r="J304" i="7"/>
  <c r="J320" i="7"/>
  <c r="J336" i="7"/>
  <c r="J352" i="7"/>
  <c r="J368" i="7"/>
  <c r="J378" i="7"/>
  <c r="J386" i="7"/>
  <c r="J394" i="7"/>
  <c r="J402" i="7"/>
  <c r="J410" i="7"/>
  <c r="J418" i="7"/>
  <c r="J426" i="7"/>
  <c r="J434" i="7"/>
  <c r="J442" i="7"/>
  <c r="J450" i="7"/>
  <c r="J458" i="7"/>
  <c r="J466" i="7"/>
  <c r="I469" i="7"/>
  <c r="J469" i="7"/>
  <c r="J478" i="7"/>
  <c r="I43" i="8"/>
  <c r="H43" i="8"/>
  <c r="I78" i="8"/>
  <c r="H78" i="8"/>
  <c r="I30" i="8"/>
  <c r="H30" i="8"/>
  <c r="I65" i="8"/>
  <c r="H65" i="8"/>
  <c r="H33" i="9"/>
  <c r="I33" i="9"/>
  <c r="I71" i="9"/>
  <c r="H71" i="9"/>
  <c r="J268" i="7"/>
  <c r="I275" i="7"/>
  <c r="J284" i="7"/>
  <c r="I291" i="7"/>
  <c r="J300" i="7"/>
  <c r="I307" i="7"/>
  <c r="J316" i="7"/>
  <c r="I323" i="7"/>
  <c r="J332" i="7"/>
  <c r="I339" i="7"/>
  <c r="J348" i="7"/>
  <c r="I355" i="7"/>
  <c r="J364" i="7"/>
  <c r="I371" i="7"/>
  <c r="J376" i="7"/>
  <c r="J384" i="7"/>
  <c r="J392" i="7"/>
  <c r="J400" i="7"/>
  <c r="J408" i="7"/>
  <c r="J416" i="7"/>
  <c r="J424" i="7"/>
  <c r="I427" i="7"/>
  <c r="J432" i="7"/>
  <c r="J440" i="7"/>
  <c r="J448" i="7"/>
  <c r="J456" i="7"/>
  <c r="J464" i="7"/>
  <c r="I17" i="8"/>
  <c r="H17" i="8"/>
  <c r="H26" i="8"/>
  <c r="I26" i="8"/>
  <c r="I75" i="8"/>
  <c r="H75" i="8"/>
  <c r="I19" i="9"/>
  <c r="H19" i="9"/>
  <c r="I85" i="9"/>
  <c r="H85" i="9"/>
  <c r="I102" i="9"/>
  <c r="H102" i="9"/>
  <c r="H281" i="9"/>
  <c r="I281" i="9"/>
  <c r="J387" i="7"/>
  <c r="J395" i="7"/>
  <c r="J403" i="7"/>
  <c r="J411" i="7"/>
  <c r="J419" i="7"/>
  <c r="J427" i="7"/>
  <c r="J451" i="7"/>
  <c r="J459" i="7"/>
  <c r="J467" i="7"/>
  <c r="I473" i="7"/>
  <c r="J473" i="7"/>
  <c r="I27" i="8"/>
  <c r="H27" i="8"/>
  <c r="I62" i="8"/>
  <c r="H62" i="8"/>
  <c r="I27" i="9"/>
  <c r="H27" i="9"/>
  <c r="I54" i="9"/>
  <c r="H54" i="9"/>
  <c r="I78" i="9"/>
  <c r="H78" i="9"/>
  <c r="H89" i="9"/>
  <c r="I89" i="9"/>
  <c r="I130" i="9"/>
  <c r="H130" i="9"/>
  <c r="H145" i="9"/>
  <c r="I145" i="9"/>
  <c r="H161" i="9"/>
  <c r="I161" i="9"/>
  <c r="H177" i="9"/>
  <c r="I177" i="9"/>
  <c r="H193" i="9"/>
  <c r="I193" i="9"/>
  <c r="H209" i="9"/>
  <c r="I209" i="9"/>
  <c r="H225" i="9"/>
  <c r="I225" i="9"/>
  <c r="H241" i="9"/>
  <c r="I241" i="9"/>
  <c r="I265" i="9"/>
  <c r="H278" i="9"/>
  <c r="H314" i="9"/>
  <c r="J481" i="7"/>
  <c r="I2" i="8"/>
  <c r="I79" i="8" s="1"/>
  <c r="D18" i="1" s="1"/>
  <c r="I18" i="8"/>
  <c r="I34" i="8"/>
  <c r="I50" i="8"/>
  <c r="I66" i="8"/>
  <c r="I4" i="9"/>
  <c r="I20" i="9"/>
  <c r="H24" i="9"/>
  <c r="I34" i="9"/>
  <c r="I55" i="9"/>
  <c r="H59" i="9"/>
  <c r="I65" i="9"/>
  <c r="H79" i="9"/>
  <c r="I86" i="9"/>
  <c r="H86" i="9"/>
  <c r="I90" i="9"/>
  <c r="H103" i="9"/>
  <c r="H106" i="9"/>
  <c r="H120" i="9"/>
  <c r="I127" i="9"/>
  <c r="H127" i="9"/>
  <c r="H134" i="9"/>
  <c r="I137" i="9"/>
  <c r="H150" i="9"/>
  <c r="I153" i="9"/>
  <c r="H166" i="9"/>
  <c r="I169" i="9"/>
  <c r="H182" i="9"/>
  <c r="I185" i="9"/>
  <c r="H198" i="9"/>
  <c r="I201" i="9"/>
  <c r="H214" i="9"/>
  <c r="I217" i="9"/>
  <c r="H230" i="9"/>
  <c r="I233" i="9"/>
  <c r="H246" i="9"/>
  <c r="I322" i="9"/>
  <c r="H322" i="9"/>
  <c r="H347" i="9"/>
  <c r="I347" i="9"/>
  <c r="I142" i="9"/>
  <c r="H142" i="9"/>
  <c r="I158" i="9"/>
  <c r="H158" i="9"/>
  <c r="I174" i="9"/>
  <c r="H174" i="9"/>
  <c r="I190" i="9"/>
  <c r="H190" i="9"/>
  <c r="I206" i="9"/>
  <c r="H206" i="9"/>
  <c r="I222" i="9"/>
  <c r="H222" i="9"/>
  <c r="I238" i="9"/>
  <c r="H238" i="9"/>
  <c r="H275" i="9"/>
  <c r="I339" i="9"/>
  <c r="J477" i="7"/>
  <c r="H9" i="8"/>
  <c r="H79" i="8" s="1"/>
  <c r="C18" i="1" s="1"/>
  <c r="C24" i="1" s="1"/>
  <c r="H25" i="8"/>
  <c r="H41" i="8"/>
  <c r="H57" i="8"/>
  <c r="H73" i="8"/>
  <c r="H11" i="9"/>
  <c r="H359" i="9" s="1"/>
  <c r="C19" i="1" s="1"/>
  <c r="H25" i="9"/>
  <c r="I25" i="9"/>
  <c r="H38" i="9"/>
  <c r="H49" i="9"/>
  <c r="I49" i="9"/>
  <c r="I66" i="9"/>
  <c r="I87" i="9"/>
  <c r="I97" i="9"/>
  <c r="H121" i="9"/>
  <c r="I121" i="9"/>
  <c r="H147" i="9"/>
  <c r="H163" i="9"/>
  <c r="H179" i="9"/>
  <c r="H195" i="9"/>
  <c r="H211" i="9"/>
  <c r="H227" i="9"/>
  <c r="H243" i="9"/>
  <c r="H259" i="9"/>
  <c r="I297" i="9"/>
  <c r="I139" i="9"/>
  <c r="H139" i="9"/>
  <c r="I155" i="9"/>
  <c r="H155" i="9"/>
  <c r="I171" i="9"/>
  <c r="H171" i="9"/>
  <c r="I187" i="9"/>
  <c r="H187" i="9"/>
  <c r="I203" i="9"/>
  <c r="H203" i="9"/>
  <c r="I219" i="9"/>
  <c r="H219" i="9"/>
  <c r="I235" i="9"/>
  <c r="H235" i="9"/>
  <c r="I42" i="8"/>
  <c r="I58" i="8"/>
  <c r="I74" i="8"/>
  <c r="I12" i="9"/>
  <c r="I22" i="9"/>
  <c r="H22" i="9"/>
  <c r="I26" i="9"/>
  <c r="I46" i="9"/>
  <c r="H46" i="9"/>
  <c r="H57" i="9"/>
  <c r="I57" i="9"/>
  <c r="H70" i="9"/>
  <c r="H81" i="9"/>
  <c r="I81" i="9"/>
  <c r="I98" i="9"/>
  <c r="I118" i="9"/>
  <c r="H118" i="9"/>
  <c r="H291" i="9"/>
  <c r="I321" i="9"/>
  <c r="H321" i="9"/>
  <c r="I305" i="9"/>
  <c r="H305" i="9"/>
  <c r="I329" i="9"/>
  <c r="H329" i="9"/>
  <c r="H251" i="9"/>
  <c r="H254" i="9"/>
  <c r="I257" i="9"/>
  <c r="H267" i="9"/>
  <c r="H270" i="9"/>
  <c r="I273" i="9"/>
  <c r="I337" i="9"/>
  <c r="H337" i="9"/>
  <c r="I341" i="9"/>
  <c r="H306" i="9"/>
  <c r="I309" i="9"/>
  <c r="I323" i="9"/>
  <c r="H330" i="9"/>
  <c r="I345" i="9"/>
  <c r="H345" i="9"/>
  <c r="I349" i="9"/>
  <c r="H110" i="9"/>
  <c r="I113" i="9"/>
  <c r="H146" i="9"/>
  <c r="I149" i="9"/>
  <c r="H162" i="9"/>
  <c r="I165" i="9"/>
  <c r="H178" i="9"/>
  <c r="I181" i="9"/>
  <c r="H194" i="9"/>
  <c r="I197" i="9"/>
  <c r="H210" i="9"/>
  <c r="I213" i="9"/>
  <c r="H226" i="9"/>
  <c r="I229" i="9"/>
  <c r="H242" i="9"/>
  <c r="I245" i="9"/>
  <c r="H258" i="9"/>
  <c r="I261" i="9"/>
  <c r="H274" i="9"/>
  <c r="I277" i="9"/>
  <c r="I313" i="9"/>
  <c r="H313" i="9"/>
  <c r="H338" i="9"/>
  <c r="I357" i="9"/>
  <c r="H355" i="9"/>
  <c r="H358" i="9"/>
  <c r="H353" i="9"/>
  <c r="H356" i="9"/>
  <c r="D15" i="1" l="1"/>
  <c r="C16" i="1" s="1"/>
  <c r="C25" i="1"/>
  <c r="D24" i="1"/>
  <c r="D25" i="1" s="1"/>
  <c r="C26" i="1" s="1"/>
  <c r="H69" i="3"/>
  <c r="C3" i="1" s="1"/>
  <c r="I69" i="3"/>
  <c r="D3" i="1" s="1"/>
  <c r="I140" i="6"/>
  <c r="D6" i="1" s="1"/>
  <c r="H69" i="2"/>
  <c r="C2" i="1" s="1"/>
  <c r="C7" i="1" s="1"/>
  <c r="D7" i="1" l="1"/>
  <c r="D8" i="1" s="1"/>
  <c r="C10" i="1"/>
  <c r="C8" i="1"/>
  <c r="C9" i="1" l="1"/>
</calcChain>
</file>

<file path=xl/sharedStrings.xml><?xml version="1.0" encoding="utf-8"?>
<sst xmlns="http://schemas.openxmlformats.org/spreadsheetml/2006/main" count="9840" uniqueCount="832">
  <si>
    <t>FORNO</t>
  </si>
  <si>
    <t>HORAS CALENDARIO</t>
  </si>
  <si>
    <t>PARADAS PROGRAMADAS (H)</t>
  </si>
  <si>
    <t>PARADAS NÃO PROGRAMADAS (H)</t>
  </si>
  <si>
    <t>Observação</t>
  </si>
  <si>
    <t>01</t>
  </si>
  <si>
    <t>Para o forno 08 não foi considerado os primeiros 5 dias de abril/2023</t>
  </si>
  <si>
    <t>03</t>
  </si>
  <si>
    <t>05</t>
  </si>
  <si>
    <t>06</t>
  </si>
  <si>
    <t>08</t>
  </si>
  <si>
    <t>TOTAL (H)</t>
  </si>
  <si>
    <t xml:space="preserve">(%) </t>
  </si>
  <si>
    <t>IF(%)</t>
  </si>
  <si>
    <t>04</t>
  </si>
  <si>
    <t>07</t>
  </si>
  <si>
    <t>09</t>
  </si>
  <si>
    <t>10</t>
  </si>
  <si>
    <t>11</t>
  </si>
  <si>
    <t>12</t>
  </si>
  <si>
    <t>13</t>
  </si>
  <si>
    <t>14</t>
  </si>
  <si>
    <t>Forno</t>
  </si>
  <si>
    <t>Dia</t>
  </si>
  <si>
    <t>H Inicial</t>
  </si>
  <si>
    <t>H Final</t>
  </si>
  <si>
    <t>Duração</t>
  </si>
  <si>
    <t>Motivo</t>
  </si>
  <si>
    <t>TIPO</t>
  </si>
  <si>
    <t>TIPO P</t>
  </si>
  <si>
    <t>TIPO NP</t>
  </si>
  <si>
    <t>FN01</t>
  </si>
  <si>
    <t>11 - Modulação</t>
  </si>
  <si>
    <t>22 - Recuperação de testa</t>
  </si>
  <si>
    <t>12 - Outros Mecânica</t>
  </si>
  <si>
    <t>13 - Outros Produção</t>
  </si>
  <si>
    <t>16 - Problema no Transformador</t>
  </si>
  <si>
    <t>8 - Incêndio</t>
  </si>
  <si>
    <t>2 - Cortar fita, substituir flexível</t>
  </si>
  <si>
    <t>30 - Vazamento de água na placa</t>
  </si>
  <si>
    <t>29 - Vazamento de água na coroa</t>
  </si>
  <si>
    <t>26 - Tamponar forno</t>
  </si>
  <si>
    <t>5 - Deslizamento, sanfona</t>
  </si>
  <si>
    <t>4 - Deslizamento, escorregamento espontâneo</t>
  </si>
  <si>
    <t>3 - Deslizamento, Anel, Cilindro, Encoder</t>
  </si>
  <si>
    <t>31 - Vazamento de água, outros</t>
  </si>
  <si>
    <t>FN03</t>
  </si>
  <si>
    <t>14 - Problema Elétrico</t>
  </si>
  <si>
    <t>24 - Soprar tubulação de água / Água fervendo</t>
  </si>
  <si>
    <t>28 - Vazamento de água em flexíveis</t>
  </si>
  <si>
    <t>FN05</t>
  </si>
  <si>
    <t>23 - Sobrecarga</t>
  </si>
  <si>
    <t>10 - Medição de eletrodos</t>
  </si>
  <si>
    <t>FN06</t>
  </si>
  <si>
    <t>25 - Sopro / Fervura</t>
  </si>
  <si>
    <t>18 - Quebra dura Eletrodo A</t>
  </si>
  <si>
    <t>FN08</t>
  </si>
  <si>
    <t>9 - Inspeção</t>
  </si>
  <si>
    <t>6 - Fuga de corrente</t>
  </si>
  <si>
    <t>19 - Quebra dura Eletrodo B</t>
  </si>
  <si>
    <t>20 - Quebra dura Eletrodo C</t>
  </si>
  <si>
    <t>1 - Controlador de demanda</t>
  </si>
  <si>
    <t>FN04</t>
  </si>
  <si>
    <t>03:18</t>
  </si>
  <si>
    <t>03:23</t>
  </si>
  <si>
    <t>00:05</t>
  </si>
  <si>
    <t>QUEBRA DE BORDA / BICA</t>
  </si>
  <si>
    <t>06:40</t>
  </si>
  <si>
    <t>06:45</t>
  </si>
  <si>
    <t>BASCULAMENTO</t>
  </si>
  <si>
    <t>06:50</t>
  </si>
  <si>
    <t>MEDIDA PROFUNDIDADE FORNO</t>
  </si>
  <si>
    <t>07:00</t>
  </si>
  <si>
    <t>00:10</t>
  </si>
  <si>
    <t>DESLIZAMENTO ELETRODO</t>
  </si>
  <si>
    <t>07:09</t>
  </si>
  <si>
    <t>00:09</t>
  </si>
  <si>
    <t>16:11</t>
  </si>
  <si>
    <t>16:16</t>
  </si>
  <si>
    <t>16:19</t>
  </si>
  <si>
    <t>00:03</t>
  </si>
  <si>
    <t>16:24</t>
  </si>
  <si>
    <t>21:49</t>
  </si>
  <si>
    <t>21:54</t>
  </si>
  <si>
    <t>22:00</t>
  </si>
  <si>
    <t>00:06</t>
  </si>
  <si>
    <t>22:20</t>
  </si>
  <si>
    <t>00:20</t>
  </si>
  <si>
    <t>22:29</t>
  </si>
  <si>
    <t>LIMPEZA DO FOSSO DE REAÇÃO</t>
  </si>
  <si>
    <t>04:00</t>
  </si>
  <si>
    <t>04:05</t>
  </si>
  <si>
    <t>04:10</t>
  </si>
  <si>
    <t>04:15</t>
  </si>
  <si>
    <t>18:49</t>
  </si>
  <si>
    <t>18:54</t>
  </si>
  <si>
    <t>18:58</t>
  </si>
  <si>
    <t>00:04</t>
  </si>
  <si>
    <t>19:11</t>
  </si>
  <si>
    <t>00:13</t>
  </si>
  <si>
    <t>21:47</t>
  </si>
  <si>
    <t>21:50</t>
  </si>
  <si>
    <t>21:55</t>
  </si>
  <si>
    <t>22:24</t>
  </si>
  <si>
    <t>00:29</t>
  </si>
  <si>
    <t>EMENDA DE ELETRODO</t>
  </si>
  <si>
    <t>06:00</t>
  </si>
  <si>
    <t>06:05</t>
  </si>
  <si>
    <t>06:10</t>
  </si>
  <si>
    <t>06:24</t>
  </si>
  <si>
    <t>00:14</t>
  </si>
  <si>
    <t>10:09</t>
  </si>
  <si>
    <t>10:44</t>
  </si>
  <si>
    <t>00:35</t>
  </si>
  <si>
    <t>15:21</t>
  </si>
  <si>
    <t>15:26</t>
  </si>
  <si>
    <t>15:30</t>
  </si>
  <si>
    <t>15:44</t>
  </si>
  <si>
    <t>20:10</t>
  </si>
  <si>
    <t>20:15</t>
  </si>
  <si>
    <t>20:20</t>
  </si>
  <si>
    <t>20:35</t>
  </si>
  <si>
    <t>00:15</t>
  </si>
  <si>
    <t>21:38</t>
  </si>
  <si>
    <t>01:03</t>
  </si>
  <si>
    <t>04:02</t>
  </si>
  <si>
    <t>04:19</t>
  </si>
  <si>
    <t>09:50</t>
  </si>
  <si>
    <t>10:29</t>
  </si>
  <si>
    <t>00:39</t>
  </si>
  <si>
    <t>14:12</t>
  </si>
  <si>
    <t>14:17</t>
  </si>
  <si>
    <t>14:29</t>
  </si>
  <si>
    <t>00:12</t>
  </si>
  <si>
    <t>16:14</t>
  </si>
  <si>
    <t>16:20</t>
  </si>
  <si>
    <t>16:50</t>
  </si>
  <si>
    <t>00:30</t>
  </si>
  <si>
    <t>QUEBRA DO ELETRODO C</t>
  </si>
  <si>
    <t>17:15</t>
  </si>
  <si>
    <t>00:25</t>
  </si>
  <si>
    <t>18:43</t>
  </si>
  <si>
    <t>18:48</t>
  </si>
  <si>
    <t>21:39</t>
  </si>
  <si>
    <t>21:44</t>
  </si>
  <si>
    <t>21:48</t>
  </si>
  <si>
    <t>22:08</t>
  </si>
  <si>
    <t>22:09</t>
  </si>
  <si>
    <t>22:25</t>
  </si>
  <si>
    <t>00:16</t>
  </si>
  <si>
    <t>PROBLEMAS OPERACIONAIS</t>
  </si>
  <si>
    <t>00:17</t>
  </si>
  <si>
    <t>08:46</t>
  </si>
  <si>
    <t>08:49</t>
  </si>
  <si>
    <t>08:54</t>
  </si>
  <si>
    <t>09:39</t>
  </si>
  <si>
    <t>00:45</t>
  </si>
  <si>
    <t>16:06</t>
  </si>
  <si>
    <t>16:15</t>
  </si>
  <si>
    <t>16:29</t>
  </si>
  <si>
    <t>22:05</t>
  </si>
  <si>
    <t>22:30</t>
  </si>
  <si>
    <t>22:50</t>
  </si>
  <si>
    <t>09:55</t>
  </si>
  <si>
    <t>10:00</t>
  </si>
  <si>
    <t>10:05</t>
  </si>
  <si>
    <t>10:25</t>
  </si>
  <si>
    <t>10:51</t>
  </si>
  <si>
    <t>00:26</t>
  </si>
  <si>
    <t>SERVIÇOS DE SOLDA</t>
  </si>
  <si>
    <t>11:43</t>
  </si>
  <si>
    <t>11:48</t>
  </si>
  <si>
    <t>15:25</t>
  </si>
  <si>
    <t>15:35</t>
  </si>
  <si>
    <t>15:40</t>
  </si>
  <si>
    <t>15:58</t>
  </si>
  <si>
    <t>00:18</t>
  </si>
  <si>
    <t>21:36</t>
  </si>
  <si>
    <t>21:41</t>
  </si>
  <si>
    <t>21:45</t>
  </si>
  <si>
    <t>22:10</t>
  </si>
  <si>
    <t>00:53</t>
  </si>
  <si>
    <t>00:59</t>
  </si>
  <si>
    <t>03:39</t>
  </si>
  <si>
    <t>03:44</t>
  </si>
  <si>
    <t>03:49</t>
  </si>
  <si>
    <t>03:55</t>
  </si>
  <si>
    <t>08:30</t>
  </si>
  <si>
    <t>08:35</t>
  </si>
  <si>
    <t>08:40</t>
  </si>
  <si>
    <t>08:55</t>
  </si>
  <si>
    <t>09:20</t>
  </si>
  <si>
    <t>10:14</t>
  </si>
  <si>
    <t>11:09</t>
  </si>
  <si>
    <t>00:55</t>
  </si>
  <si>
    <t>14:21</t>
  </si>
  <si>
    <t>14:38</t>
  </si>
  <si>
    <t>20:57</t>
  </si>
  <si>
    <t>21:02</t>
  </si>
  <si>
    <t>21:05</t>
  </si>
  <si>
    <t>21:15</t>
  </si>
  <si>
    <t>21:29</t>
  </si>
  <si>
    <t>02:55</t>
  </si>
  <si>
    <t>03:00</t>
  </si>
  <si>
    <t>03:03</t>
  </si>
  <si>
    <t>03:04</t>
  </si>
  <si>
    <t>03:13</t>
  </si>
  <si>
    <t>05:56</t>
  </si>
  <si>
    <t>06:01</t>
  </si>
  <si>
    <t>06:53</t>
  </si>
  <si>
    <t>06:58</t>
  </si>
  <si>
    <t>07:04</t>
  </si>
  <si>
    <t>11:34</t>
  </si>
  <si>
    <t>11:39</t>
  </si>
  <si>
    <t>11:45</t>
  </si>
  <si>
    <t>12:10</t>
  </si>
  <si>
    <t>17:54</t>
  </si>
  <si>
    <t>18:14</t>
  </si>
  <si>
    <t>21:53</t>
  </si>
  <si>
    <t>21:58</t>
  </si>
  <si>
    <t>22:03</t>
  </si>
  <si>
    <t>00:07</t>
  </si>
  <si>
    <t>03:01</t>
  </si>
  <si>
    <t>03:06</t>
  </si>
  <si>
    <t>04:59</t>
  </si>
  <si>
    <t>05:04</t>
  </si>
  <si>
    <t>05:08</t>
  </si>
  <si>
    <t>05:16</t>
  </si>
  <si>
    <t>00:08</t>
  </si>
  <si>
    <t>10:40</t>
  </si>
  <si>
    <t>10:45</t>
  </si>
  <si>
    <t>10:50</t>
  </si>
  <si>
    <t>11:20</t>
  </si>
  <si>
    <t>16:47</t>
  </si>
  <si>
    <t>17:05</t>
  </si>
  <si>
    <t>23:30</t>
  </si>
  <si>
    <t>23:35</t>
  </si>
  <si>
    <t>23:40</t>
  </si>
  <si>
    <t>23:45</t>
  </si>
  <si>
    <t>05:47</t>
  </si>
  <si>
    <t>05:52</t>
  </si>
  <si>
    <t>05:57</t>
  </si>
  <si>
    <t>06:11</t>
  </si>
  <si>
    <t>06:18</t>
  </si>
  <si>
    <t>8:55</t>
  </si>
  <si>
    <t>9:45</t>
  </si>
  <si>
    <t>00:50</t>
  </si>
  <si>
    <t>00:24</t>
  </si>
  <si>
    <t>OUTROS</t>
  </si>
  <si>
    <t>10:34</t>
  </si>
  <si>
    <t>17:40</t>
  </si>
  <si>
    <t>19:30</t>
  </si>
  <si>
    <t>01:50</t>
  </si>
  <si>
    <t>HORA DE PONTA</t>
  </si>
  <si>
    <t>21:00</t>
  </si>
  <si>
    <t>01:30</t>
  </si>
  <si>
    <t>03:54</t>
  </si>
  <si>
    <t>03:59</t>
  </si>
  <si>
    <t>04:03</t>
  </si>
  <si>
    <t>05:07</t>
  </si>
  <si>
    <t>05:12</t>
  </si>
  <si>
    <t>08:50</t>
  </si>
  <si>
    <t>09:00</t>
  </si>
  <si>
    <t>09:15</t>
  </si>
  <si>
    <t>00:40</t>
  </si>
  <si>
    <t>14:25</t>
  </si>
  <si>
    <t>14:31</t>
  </si>
  <si>
    <t>18:06</t>
  </si>
  <si>
    <t>01:24</t>
  </si>
  <si>
    <t>21:03</t>
  </si>
  <si>
    <t>01:33</t>
  </si>
  <si>
    <t>02:05</t>
  </si>
  <si>
    <t>02:14</t>
  </si>
  <si>
    <t>04:01</t>
  </si>
  <si>
    <t>04:06</t>
  </si>
  <si>
    <t>04:29</t>
  </si>
  <si>
    <t>11:01</t>
  </si>
  <si>
    <t>11:06</t>
  </si>
  <si>
    <t>11:10</t>
  </si>
  <si>
    <t>11:30</t>
  </si>
  <si>
    <t>11:35</t>
  </si>
  <si>
    <t>16:59</t>
  </si>
  <si>
    <t>17:06</t>
  </si>
  <si>
    <t>17:58</t>
  </si>
  <si>
    <t>21:30</t>
  </si>
  <si>
    <t>03:32</t>
  </si>
  <si>
    <t>17:48</t>
  </si>
  <si>
    <t>03:42</t>
  </si>
  <si>
    <t>02:23</t>
  </si>
  <si>
    <t>02:28</t>
  </si>
  <si>
    <t>02:33</t>
  </si>
  <si>
    <t>02:44</t>
  </si>
  <si>
    <t>00:11</t>
  </si>
  <si>
    <t>10:03</t>
  </si>
  <si>
    <t>10:23</t>
  </si>
  <si>
    <t>10:24</t>
  </si>
  <si>
    <t>10:47</t>
  </si>
  <si>
    <t>10:53</t>
  </si>
  <si>
    <t>10:58</t>
  </si>
  <si>
    <t>00:22</t>
  </si>
  <si>
    <t>13:05</t>
  </si>
  <si>
    <t>13:10</t>
  </si>
  <si>
    <t>18:01</t>
  </si>
  <si>
    <t>00:21</t>
  </si>
  <si>
    <t>22:35</t>
  </si>
  <si>
    <t>23:10</t>
  </si>
  <si>
    <t>04:39</t>
  </si>
  <si>
    <t>06:48</t>
  </si>
  <si>
    <t>08:02</t>
  </si>
  <si>
    <t>08:07</t>
  </si>
  <si>
    <t>08:10</t>
  </si>
  <si>
    <t>08:25</t>
  </si>
  <si>
    <t>09:19</t>
  </si>
  <si>
    <t>15:45</t>
  </si>
  <si>
    <t>15:50</t>
  </si>
  <si>
    <t>16:00</t>
  </si>
  <si>
    <t>23:03</t>
  </si>
  <si>
    <t>00:28</t>
  </si>
  <si>
    <t>02:41</t>
  </si>
  <si>
    <t>02:57</t>
  </si>
  <si>
    <t>08:33</t>
  </si>
  <si>
    <t>08:38</t>
  </si>
  <si>
    <t>08:43</t>
  </si>
  <si>
    <t>PROBLEMAS DE MECANICA</t>
  </si>
  <si>
    <t>18:32</t>
  </si>
  <si>
    <t>18:50</t>
  </si>
  <si>
    <t>22:34</t>
  </si>
  <si>
    <t>22:39</t>
  </si>
  <si>
    <t>22:40</t>
  </si>
  <si>
    <t>22:45</t>
  </si>
  <si>
    <t>23:13</t>
  </si>
  <si>
    <t>05:46</t>
  </si>
  <si>
    <t>06:04</t>
  </si>
  <si>
    <t>12:11</t>
  </si>
  <si>
    <t>13:45</t>
  </si>
  <si>
    <t>01:34</t>
  </si>
  <si>
    <t>07:51</t>
  </si>
  <si>
    <t>07:59</t>
  </si>
  <si>
    <t>09:48</t>
  </si>
  <si>
    <t>09:53</t>
  </si>
  <si>
    <t>09:58</t>
  </si>
  <si>
    <t>10:10</t>
  </si>
  <si>
    <t>12:15</t>
  </si>
  <si>
    <t>13:30</t>
  </si>
  <si>
    <t>01:15</t>
  </si>
  <si>
    <t>23:05</t>
  </si>
  <si>
    <t>23:15</t>
  </si>
  <si>
    <t>23:41</t>
  </si>
  <si>
    <t>06:08</t>
  </si>
  <si>
    <t>06:26</t>
  </si>
  <si>
    <t>10:02</t>
  </si>
  <si>
    <t>10:07</t>
  </si>
  <si>
    <t>10:12</t>
  </si>
  <si>
    <t>10:20</t>
  </si>
  <si>
    <t>10:39</t>
  </si>
  <si>
    <t>00:19</t>
  </si>
  <si>
    <t>16:07</t>
  </si>
  <si>
    <t>17:16</t>
  </si>
  <si>
    <t>00:57</t>
  </si>
  <si>
    <t>01:10</t>
  </si>
  <si>
    <t>06:42</t>
  </si>
  <si>
    <t>07:05</t>
  </si>
  <si>
    <t>12:26</t>
  </si>
  <si>
    <t>00:43</t>
  </si>
  <si>
    <t>17:52</t>
  </si>
  <si>
    <t>21:01</t>
  </si>
  <si>
    <t>03:09</t>
  </si>
  <si>
    <t>02:50</t>
  </si>
  <si>
    <t>06:03</t>
  </si>
  <si>
    <t>18:42</t>
  </si>
  <si>
    <t>18:45</t>
  </si>
  <si>
    <t>18:55</t>
  </si>
  <si>
    <t>19:04</t>
  </si>
  <si>
    <t>04:40</t>
  </si>
  <si>
    <t>04:45</t>
  </si>
  <si>
    <t>05:37</t>
  </si>
  <si>
    <t>05:40</t>
  </si>
  <si>
    <t>05:45</t>
  </si>
  <si>
    <t>05:59</t>
  </si>
  <si>
    <t>10:37</t>
  </si>
  <si>
    <t>15:57</t>
  </si>
  <si>
    <t>16:02</t>
  </si>
  <si>
    <t>16:05</t>
  </si>
  <si>
    <t>16:10</t>
  </si>
  <si>
    <t>16:21</t>
  </si>
  <si>
    <t>23:19</t>
  </si>
  <si>
    <t>23:20</t>
  </si>
  <si>
    <t>23:24</t>
  </si>
  <si>
    <t>06:43</t>
  </si>
  <si>
    <t>13:57</t>
  </si>
  <si>
    <t>14:04</t>
  </si>
  <si>
    <t>17:42</t>
  </si>
  <si>
    <t>17:47</t>
  </si>
  <si>
    <t>17:50</t>
  </si>
  <si>
    <t>17:55</t>
  </si>
  <si>
    <t>18:05</t>
  </si>
  <si>
    <t>22:52</t>
  </si>
  <si>
    <t>22:54</t>
  </si>
  <si>
    <t>00:02</t>
  </si>
  <si>
    <t>22:55</t>
  </si>
  <si>
    <t>23:00</t>
  </si>
  <si>
    <t>04:48</t>
  </si>
  <si>
    <t>05:05</t>
  </si>
  <si>
    <t>10:38</t>
  </si>
  <si>
    <t>10:42</t>
  </si>
  <si>
    <t>11:04</t>
  </si>
  <si>
    <t>16:52</t>
  </si>
  <si>
    <t>16:55</t>
  </si>
  <si>
    <t>17:10</t>
  </si>
  <si>
    <t>17:19</t>
  </si>
  <si>
    <t>21:51</t>
  </si>
  <si>
    <t xml:space="preserve"> 3:10</t>
  </si>
  <si>
    <t>3:15</t>
  </si>
  <si>
    <t xml:space="preserve"> 3:15</t>
  </si>
  <si>
    <t>3:20</t>
  </si>
  <si>
    <t xml:space="preserve"> 3:20</t>
  </si>
  <si>
    <t>3:35</t>
  </si>
  <si>
    <t>SISTEMA ABASTECIMENTO</t>
  </si>
  <si>
    <t>08:12</t>
  </si>
  <si>
    <t>09:05</t>
  </si>
  <si>
    <t>09:14</t>
  </si>
  <si>
    <t>11:05</t>
  </si>
  <si>
    <t>18:03</t>
  </si>
  <si>
    <t>01:27</t>
  </si>
  <si>
    <t>21:11</t>
  </si>
  <si>
    <t>00:37</t>
  </si>
  <si>
    <t>VAZAMENTO ÁGUA COROA ELET. A</t>
  </si>
  <si>
    <t>03:02</t>
  </si>
  <si>
    <t>05:44</t>
  </si>
  <si>
    <t>05:50</t>
  </si>
  <si>
    <t>05:55</t>
  </si>
  <si>
    <t>09:59</t>
  </si>
  <si>
    <t>10:57</t>
  </si>
  <si>
    <t>11:00</t>
  </si>
  <si>
    <t>16:45</t>
  </si>
  <si>
    <t>01:29</t>
  </si>
  <si>
    <t>04:38</t>
  </si>
  <si>
    <t>11:27</t>
  </si>
  <si>
    <t>12:00</t>
  </si>
  <si>
    <t>18:24</t>
  </si>
  <si>
    <t>19:13</t>
  </si>
  <si>
    <t>00:49</t>
  </si>
  <si>
    <t>00:36</t>
  </si>
  <si>
    <t>00:41</t>
  </si>
  <si>
    <t>01:00</t>
  </si>
  <si>
    <t>06:25</t>
  </si>
  <si>
    <t>18:37</t>
  </si>
  <si>
    <t>18:56</t>
  </si>
  <si>
    <t xml:space="preserve"> 21:03</t>
  </si>
  <si>
    <t>21:08</t>
  </si>
  <si>
    <t>CONTROLADOR DE DEMANDA</t>
  </si>
  <si>
    <t>00:27</t>
  </si>
  <si>
    <t>00:32</t>
  </si>
  <si>
    <t>01:05</t>
  </si>
  <si>
    <t>11:19</t>
  </si>
  <si>
    <t>11:56</t>
  </si>
  <si>
    <t>15:34</t>
  </si>
  <si>
    <t>15:49</t>
  </si>
  <si>
    <t>17:39</t>
  </si>
  <si>
    <t>03:22</t>
  </si>
  <si>
    <t>04:46</t>
  </si>
  <si>
    <t>04:51</t>
  </si>
  <si>
    <t>04:55</t>
  </si>
  <si>
    <t>05:00</t>
  </si>
  <si>
    <t>05:11</t>
  </si>
  <si>
    <t>10:33</t>
  </si>
  <si>
    <t>10:35</t>
  </si>
  <si>
    <t>17:32</t>
  </si>
  <si>
    <t>17:46</t>
  </si>
  <si>
    <t>23:58</t>
  </si>
  <si>
    <t>01:46</t>
  </si>
  <si>
    <t>01:54</t>
  </si>
  <si>
    <t>06:31</t>
  </si>
  <si>
    <t>06:36</t>
  </si>
  <si>
    <t>11:40</t>
  </si>
  <si>
    <t>00:01</t>
  </si>
  <si>
    <t>11:44</t>
  </si>
  <si>
    <t>12:17</t>
  </si>
  <si>
    <t>14:58</t>
  </si>
  <si>
    <t>15:04</t>
  </si>
  <si>
    <t>18:30</t>
  </si>
  <si>
    <t>18:35</t>
  </si>
  <si>
    <t>18:39</t>
  </si>
  <si>
    <t>18:40</t>
  </si>
  <si>
    <t>22:44</t>
  </si>
  <si>
    <t>FN07</t>
  </si>
  <si>
    <t>05:24</t>
  </si>
  <si>
    <t>05:49</t>
  </si>
  <si>
    <t>11:17</t>
  </si>
  <si>
    <t>11:54</t>
  </si>
  <si>
    <t>18:22</t>
  </si>
  <si>
    <t>00:23</t>
  </si>
  <si>
    <t>23:18</t>
  </si>
  <si>
    <t>23:54</t>
  </si>
  <si>
    <t>04:21</t>
  </si>
  <si>
    <t>04:35</t>
  </si>
  <si>
    <t>10:41</t>
  </si>
  <si>
    <t>18:04</t>
  </si>
  <si>
    <t>18:19</t>
  </si>
  <si>
    <t>22:59</t>
  </si>
  <si>
    <t>23:49</t>
  </si>
  <si>
    <t>05:39</t>
  </si>
  <si>
    <t>09:25</t>
  </si>
  <si>
    <t>00:47</t>
  </si>
  <si>
    <t>15:41</t>
  </si>
  <si>
    <t>17:51</t>
  </si>
  <si>
    <t>02:19</t>
  </si>
  <si>
    <t>11:18</t>
  </si>
  <si>
    <t>11:50</t>
  </si>
  <si>
    <t>17:41</t>
  </si>
  <si>
    <t>01:49</t>
  </si>
  <si>
    <t>16:26</t>
  </si>
  <si>
    <t>21:40</t>
  </si>
  <si>
    <t>05:31</t>
  </si>
  <si>
    <t>05:43</t>
  </si>
  <si>
    <t>09:24</t>
  </si>
  <si>
    <t>00:46</t>
  </si>
  <si>
    <t>16:41</t>
  </si>
  <si>
    <t>16:54</t>
  </si>
  <si>
    <t>17:45</t>
  </si>
  <si>
    <t>21:12</t>
  </si>
  <si>
    <t>03:27</t>
  </si>
  <si>
    <t>02:00</t>
  </si>
  <si>
    <t>PROBLEMAS DE ELETRICAS</t>
  </si>
  <si>
    <t>05:30</t>
  </si>
  <si>
    <t>10:52</t>
  </si>
  <si>
    <t>11:22</t>
  </si>
  <si>
    <t>14:06</t>
  </si>
  <si>
    <t>14:11</t>
  </si>
  <si>
    <t>16:13</t>
  </si>
  <si>
    <t>17:59</t>
  </si>
  <si>
    <t>21:04</t>
  </si>
  <si>
    <t>03:05</t>
  </si>
  <si>
    <t>03:45</t>
  </si>
  <si>
    <t>04:12</t>
  </si>
  <si>
    <t>09:42</t>
  </si>
  <si>
    <t>00:56</t>
  </si>
  <si>
    <t>15:12</t>
  </si>
  <si>
    <t>15:23</t>
  </si>
  <si>
    <t>22:43</t>
  </si>
  <si>
    <t>23:21</t>
  </si>
  <si>
    <t>00:38</t>
  </si>
  <si>
    <t>04:53</t>
  </si>
  <si>
    <t>05:15</t>
  </si>
  <si>
    <t>17:38</t>
  </si>
  <si>
    <t>23:02</t>
  </si>
  <si>
    <t>00:33</t>
  </si>
  <si>
    <t>23:53</t>
  </si>
  <si>
    <t>00:54</t>
  </si>
  <si>
    <t>04:34</t>
  </si>
  <si>
    <t>10:26</t>
  </si>
  <si>
    <t>10:59</t>
  </si>
  <si>
    <t>18:28</t>
  </si>
  <si>
    <t>18:44</t>
  </si>
  <si>
    <t>05:35</t>
  </si>
  <si>
    <t>15:01</t>
  </si>
  <si>
    <t>15:08</t>
  </si>
  <si>
    <t>18:47</t>
  </si>
  <si>
    <t>19:02</t>
  </si>
  <si>
    <t>00:00</t>
  </si>
  <si>
    <t>19:55</t>
  </si>
  <si>
    <t>20:00</t>
  </si>
  <si>
    <t>23:16</t>
  </si>
  <si>
    <t>01:28</t>
  </si>
  <si>
    <t>01:16</t>
  </si>
  <si>
    <t>01:21</t>
  </si>
  <si>
    <t>04:04</t>
  </si>
  <si>
    <t>00:31</t>
  </si>
  <si>
    <t>06:27</t>
  </si>
  <si>
    <t>07:19</t>
  </si>
  <si>
    <t>00:52</t>
  </si>
  <si>
    <t>QUEBRA DO ELETRODO B</t>
  </si>
  <si>
    <t>11:02</t>
  </si>
  <si>
    <t>18:21</t>
  </si>
  <si>
    <t>06:21</t>
  </si>
  <si>
    <t>23:25</t>
  </si>
  <si>
    <t>0:00</t>
  </si>
  <si>
    <t>03:35</t>
  </si>
  <si>
    <t>03:40</t>
  </si>
  <si>
    <t>05:26</t>
  </si>
  <si>
    <t>06:34</t>
  </si>
  <si>
    <t>06:39</t>
  </si>
  <si>
    <t>9:17</t>
  </si>
  <si>
    <t>9:21</t>
  </si>
  <si>
    <t>9:25</t>
  </si>
  <si>
    <t>9:40</t>
  </si>
  <si>
    <t>10:08</t>
  </si>
  <si>
    <t>17:35</t>
  </si>
  <si>
    <t>01:55</t>
  </si>
  <si>
    <t>23:59</t>
  </si>
  <si>
    <t>00:44</t>
  </si>
  <si>
    <t>09:30</t>
  </si>
  <si>
    <t>09:35</t>
  </si>
  <si>
    <t>09:40</t>
  </si>
  <si>
    <t>14:35</t>
  </si>
  <si>
    <t>01:58</t>
  </si>
  <si>
    <t>02:13</t>
  </si>
  <si>
    <t>1:55</t>
  </si>
  <si>
    <t>2:15</t>
  </si>
  <si>
    <t>07:45</t>
  </si>
  <si>
    <t>09:56</t>
  </si>
  <si>
    <t>16:27</t>
  </si>
  <si>
    <t>16:42</t>
  </si>
  <si>
    <t>23:28</t>
  </si>
  <si>
    <t>09:49</t>
  </si>
  <si>
    <t>13:22</t>
  </si>
  <si>
    <t>13:27</t>
  </si>
  <si>
    <t>19:09</t>
  </si>
  <si>
    <t>23:39</t>
  </si>
  <si>
    <t>06:29</t>
  </si>
  <si>
    <t>15:54</t>
  </si>
  <si>
    <t>16:03</t>
  </si>
  <si>
    <t>21:14</t>
  </si>
  <si>
    <t>03:24</t>
  </si>
  <si>
    <t>05:06</t>
  </si>
  <si>
    <t>11:36</t>
  </si>
  <si>
    <t>13:02</t>
  </si>
  <si>
    <t>13:06</t>
  </si>
  <si>
    <t>15:48</t>
  </si>
  <si>
    <t>16:04</t>
  </si>
  <si>
    <t>23:11</t>
  </si>
  <si>
    <t>06:46</t>
  </si>
  <si>
    <t>11:23</t>
  </si>
  <si>
    <t>18:18</t>
  </si>
  <si>
    <t>03:30</t>
  </si>
  <si>
    <t>02:18</t>
  </si>
  <si>
    <t>02:34</t>
  </si>
  <si>
    <t>VAZAMENTO ÁGUA COROA ELET. C</t>
  </si>
  <si>
    <t>10:28</t>
  </si>
  <si>
    <t>12:22</t>
  </si>
  <si>
    <t>12:50</t>
  </si>
  <si>
    <t>18:25</t>
  </si>
  <si>
    <t>02:36</t>
  </si>
  <si>
    <t>01:31</t>
  </si>
  <si>
    <t>05:23</t>
  </si>
  <si>
    <t>05:33</t>
  </si>
  <si>
    <t>09:45</t>
  </si>
  <si>
    <t>15:10</t>
  </si>
  <si>
    <t>15:29</t>
  </si>
  <si>
    <t>21:25</t>
  </si>
  <si>
    <t>01:06</t>
  </si>
  <si>
    <t>15:31</t>
  </si>
  <si>
    <t>15:36</t>
  </si>
  <si>
    <t>16:44</t>
  </si>
  <si>
    <t>21:20</t>
  </si>
  <si>
    <t>04:43</t>
  </si>
  <si>
    <t>11:03</t>
  </si>
  <si>
    <t>16:18</t>
  </si>
  <si>
    <t>22:19</t>
  </si>
  <si>
    <t>03:43</t>
  </si>
  <si>
    <t>10:22</t>
  </si>
  <si>
    <t>10:55</t>
  </si>
  <si>
    <t>18:17</t>
  </si>
  <si>
    <t>18:34</t>
  </si>
  <si>
    <t>23:38</t>
  </si>
  <si>
    <t>07:25</t>
  </si>
  <si>
    <t>9:14</t>
  </si>
  <si>
    <t>9:18</t>
  </si>
  <si>
    <t>9:22</t>
  </si>
  <si>
    <t>21:13</t>
  </si>
  <si>
    <t>21:23</t>
  </si>
  <si>
    <t>QUEBRA DO ELETRODO A</t>
  </si>
  <si>
    <t>06:15</t>
  </si>
  <si>
    <t>08:23</t>
  </si>
  <si>
    <t>01:08</t>
  </si>
  <si>
    <t>14:37</t>
  </si>
  <si>
    <t>14:56</t>
  </si>
  <si>
    <t>03:50</t>
  </si>
  <si>
    <t>04:22</t>
  </si>
  <si>
    <t>17:37</t>
  </si>
  <si>
    <t>21:27</t>
  </si>
  <si>
    <t>09:10</t>
  </si>
  <si>
    <t>09:46</t>
  </si>
  <si>
    <t>16:56</t>
  </si>
  <si>
    <t>17:08</t>
  </si>
  <si>
    <t>22:36</t>
  </si>
  <si>
    <t>18:13</t>
  </si>
  <si>
    <t>0:15</t>
  </si>
  <si>
    <t>06:54</t>
  </si>
  <si>
    <t>17:14</t>
  </si>
  <si>
    <t>17:23</t>
  </si>
  <si>
    <t>23:37</t>
  </si>
  <si>
    <t>22:32</t>
  </si>
  <si>
    <t>FN09</t>
  </si>
  <si>
    <t>AVALIAR FORNO</t>
  </si>
  <si>
    <t>38 - HORA DE PONTA</t>
  </si>
  <si>
    <t>RECUPERAÇÃO NA CARCAÇA DO FORNO</t>
  </si>
  <si>
    <t>SERVIÇO NA CARCAÇA</t>
  </si>
  <si>
    <t>88 - OUTROS</t>
  </si>
  <si>
    <t>9 - QUEBRA  DURA  ELETRODO B</t>
  </si>
  <si>
    <t>TRIP BAIXA PRESSÃO DE AGUA NAS COROAS</t>
  </si>
  <si>
    <t>52 - MEDIÇÃO DE ELETRODO</t>
  </si>
  <si>
    <t>TRIP ESCORREGAMENTO</t>
  </si>
  <si>
    <t>SUBISTITUIR ISOLAÇÃO DO BARRAMENTO</t>
  </si>
  <si>
    <t>PROBLEMA COM CANAL DE CORRIDA</t>
  </si>
  <si>
    <t>4 - SOBRECARGA</t>
  </si>
  <si>
    <t>DESTRAVAR MOEGA 01</t>
  </si>
  <si>
    <t>AVALIAR VAZAMENTO  AGUA  COROA  ELET. C</t>
  </si>
  <si>
    <t>18 - VAZAMENTO  AGUA  COROA  ELET. C</t>
  </si>
  <si>
    <t>FLUXO FORTE DE LIGA</t>
  </si>
  <si>
    <t>FN10</t>
  </si>
  <si>
    <t>90 - DERRAME DE LIGA</t>
  </si>
  <si>
    <t>VAZAMENTO ESPONTÂNEO</t>
  </si>
  <si>
    <t xml:space="preserve">ELIMINAR VASAMENTO DE OLEO MANGUEIRA DE ELEVAÇÃO ELETRODO "B" </t>
  </si>
  <si>
    <t xml:space="preserve">SOLDAR TRILHO NO CAMINHO DE ROLAMENTO </t>
  </si>
  <si>
    <t>FINALISANDO SERVIÇO DE SOLDA NOS RILHO DO CAMINHO DE ROLAMENTO</t>
  </si>
  <si>
    <t>102 - TAMPAR FORNO</t>
  </si>
  <si>
    <t>PROBLEMA NO GUINCHO</t>
  </si>
  <si>
    <t>107 - TRIP ESCORREGAMENTO</t>
  </si>
  <si>
    <t>14 - MUDANÇA DE LIGAÇÃO</t>
  </si>
  <si>
    <t>SERVIÇO NA BICA 03</t>
  </si>
  <si>
    <t>71 - RECUPERAÇÃO DE CARCAÇA- BICA 03</t>
  </si>
  <si>
    <t xml:space="preserve">CADINHO DESCARRILHOU </t>
  </si>
  <si>
    <t>ISOLAR CÂMARA DO ELETRODO B</t>
  </si>
  <si>
    <t>52 - MEDIÇÃO DE ELETRODO / ADICIONAR CARGA</t>
  </si>
  <si>
    <t>55 - VENTILADOR RESERVA</t>
  </si>
  <si>
    <t>TRIP - ESCORREGAMENTO INSTANTANEO - ELETRODO B MANGUEIRA SOLTA PAINEL DE DESLIZAMENTO</t>
  </si>
  <si>
    <t>PROBLEMA NAS PONTE ROLANTE 01,02 e10</t>
  </si>
  <si>
    <t>SERVIÇO VENTILADOR DO MANTO ELET. B E DESLIZ. ELET. C</t>
  </si>
  <si>
    <t>4 - SOBRECARGA/ INSPECIONAR O FORNO</t>
  </si>
  <si>
    <t>FORTE FLUXO DE LIGA</t>
  </si>
  <si>
    <t xml:space="preserve">FINALIZANDO SUBISTITUIÇÃO DE VALVULA ELETRODO C </t>
  </si>
  <si>
    <t>TAMPAR FORNO</t>
  </si>
  <si>
    <t>FECHAR A CHAVE SECCIONADORA</t>
  </si>
  <si>
    <t>GRANDE FLUXO DE LIGA</t>
  </si>
  <si>
    <t>FN11</t>
  </si>
  <si>
    <t>DESTRAVAR MOEGA 6</t>
  </si>
  <si>
    <t>COLOCAR VENTILADOR AUXILIAR NO MANTO  A</t>
  </si>
  <si>
    <t>15 - MANGUEIRAS SOLTAS</t>
  </si>
  <si>
    <t xml:space="preserve"> VASAMENTO DE AGUA ELETRODO "A"</t>
  </si>
  <si>
    <t>VAZAMENTO DE ÁGUA MANTO D ELET C e  MANTO A ELE.T  C</t>
  </si>
  <si>
    <t>SERVIÇO NAS CHAMINÉS</t>
  </si>
  <si>
    <t>SUBSTITUIR VALVULAR NA CHAMINÉ ELETRODO C</t>
  </si>
  <si>
    <t>SERVIÇO NA MOEGA 6</t>
  </si>
  <si>
    <t>2 - CURTO CIRCUITO MANTO C ELETRODO C</t>
  </si>
  <si>
    <t>FECHAR MOEGA 02</t>
  </si>
  <si>
    <t>FECHAR MOEGA 06 E SOLDAR MANTO ELE B e C</t>
  </si>
  <si>
    <t>FECHAR MOEGA 1</t>
  </si>
  <si>
    <t>FINALIZANDO TAMPONAMENTO DE FURO MOEGA 05</t>
  </si>
  <si>
    <t>107 - TRIP ESCORREGAMENTO ELET B</t>
  </si>
  <si>
    <t xml:space="preserve">SERVIÇO NA CHAMINÉ B </t>
  </si>
  <si>
    <t>105 - BAIXA PRESSÃO DE ÁGUA</t>
  </si>
  <si>
    <t>54 - AGUARDANDO MANUTENÇÃO</t>
  </si>
  <si>
    <t>MANGUEIRA DO ANEL DE SELGAEM ELETRODO A</t>
  </si>
  <si>
    <t>FN12</t>
  </si>
  <si>
    <t>TRIP DE ESCORREGAMENTO ELETRODO B</t>
  </si>
  <si>
    <t>TRIP DE ESCORREGAMENTO ELETRODO A</t>
  </si>
  <si>
    <t>TRIP RELÊ DE SEGURANÇA</t>
  </si>
  <si>
    <t>22 - VAZAMENTO AGUA MANTO ELET.  A</t>
  </si>
  <si>
    <t>AGUARDANDO FECHAR SECCIONADORA</t>
  </si>
  <si>
    <t>TEMPERATURA ALTA NA SALA DO CCM</t>
  </si>
  <si>
    <t>TAMPAR O FURO NA MOEGA CENTRAL</t>
  </si>
  <si>
    <t xml:space="preserve"> FALHA NO FÚSIVEL DO TP</t>
  </si>
  <si>
    <t>TRIP RELÉ DE SEGURANÇA</t>
  </si>
  <si>
    <t>REALIZAR LIMPEZA DAS CAIXAS DE FUMAÇA</t>
  </si>
  <si>
    <t xml:space="preserve">MANGUIERA FURADA CHAMINÉ "B" e "C" </t>
  </si>
  <si>
    <t>DESTRAVAR MOEGA 2</t>
  </si>
  <si>
    <t>FINALIZANDO SERVIÇO NA MOEGA 02</t>
  </si>
  <si>
    <t>FORNO ARROMBOU NO CADINHO RESERVA</t>
  </si>
  <si>
    <t>VAZAMENTO DE ÓLEO SISTEMA DE DESLIZAMENTO ELETRODO B.</t>
  </si>
  <si>
    <t>TRIP BAIXA PRESSÃO DE ÁGUA NOS ANÉIS DE PRESSÃO</t>
  </si>
  <si>
    <t>CABO DO ENCOLDER ELETRODOO A EM CURTO</t>
  </si>
  <si>
    <t>2 - CURTO CIRCUITO ELETRODO B</t>
  </si>
  <si>
    <t>29 - DESLIZAMENTO ELETRODO A - M</t>
  </si>
  <si>
    <t>41 - INCÊNDIO NA COLUNA ELETRODO A</t>
  </si>
  <si>
    <t>57 - TROCA CONJ. ANEIS DESLIZ. ELET A</t>
  </si>
  <si>
    <t>JATO INICIAL MUITO FORTE</t>
  </si>
  <si>
    <t xml:space="preserve"> TROCAR DE  COROA  "E" ELETRODO C</t>
  </si>
  <si>
    <t>INSPECIONAR ELETRODO B</t>
  </si>
  <si>
    <t>FURAR FORNO</t>
  </si>
  <si>
    <t>VAZAMEMNTO ESPONTÂNEO CO CAINHO RESERVA</t>
  </si>
  <si>
    <t>FN13</t>
  </si>
  <si>
    <t>FORNO ARROMBOU NA BICA 04</t>
  </si>
  <si>
    <t>6 - SISTEMA ELÉTRICO - FERBASA</t>
  </si>
  <si>
    <t>107 - TRIP ESCORREGAMENTO ELETRODO A</t>
  </si>
  <si>
    <t>24 - VAZAMENTO AGUA MANTO ELET.  C</t>
  </si>
  <si>
    <t>FECHAR SECCIONADORA</t>
  </si>
  <si>
    <t>TAMPAR O FORNO DE PASTA.</t>
  </si>
  <si>
    <t>AVALIAR ELETRODO B</t>
  </si>
  <si>
    <t>SERVIÇO DE CALDERARIA</t>
  </si>
  <si>
    <t>VAZAMENTO ESPONTÂNEO CADINHO STAND</t>
  </si>
  <si>
    <t>FN14</t>
  </si>
  <si>
    <t>TRIP BAIXA PRESSÃO AGUAS DAS COROAS</t>
  </si>
  <si>
    <t>VAZAMENTO ESPÔNTANEO</t>
  </si>
  <si>
    <t>VAZAMENTO DE LIGA  ESPÔNTANEO</t>
  </si>
  <si>
    <t>33 - DESLIZAMENTO ELETRODO B - E</t>
  </si>
  <si>
    <t>FINALIZANDO SERVIÇO NO BARRAMENTO</t>
  </si>
  <si>
    <t xml:space="preserve">106 - TROCAR COROA "D" DO ELETRODO "A" </t>
  </si>
  <si>
    <t>038 - HORA DE PONTA</t>
  </si>
  <si>
    <t>ARROMBOU NO CADINHO RESERVA</t>
  </si>
  <si>
    <t>108 - FECHAR MOEGA</t>
  </si>
  <si>
    <t>41 - INCÊNDIO NOS FIOS DO ABASTECIMENTO</t>
  </si>
  <si>
    <t>PROBLEMA DESLIZAMENTO ELETRODO C</t>
  </si>
  <si>
    <t>PARADA</t>
  </si>
  <si>
    <t>P</t>
  </si>
  <si>
    <t>NP</t>
  </si>
  <si>
    <t>Dia Semana</t>
  </si>
  <si>
    <t>seg</t>
  </si>
  <si>
    <t>ter</t>
  </si>
  <si>
    <t>qua</t>
  </si>
  <si>
    <t>qui</t>
  </si>
  <si>
    <t>sex</t>
  </si>
  <si>
    <t>dom</t>
  </si>
  <si>
    <t>sáb</t>
  </si>
  <si>
    <t xml:space="preserve"> </t>
  </si>
  <si>
    <t>A</t>
  </si>
  <si>
    <t>Fornos</t>
  </si>
  <si>
    <t>Ano/Mês</t>
  </si>
  <si>
    <t>Dias Mês</t>
  </si>
  <si>
    <t>Qtde Fornos</t>
  </si>
  <si>
    <t>Dias Parada</t>
  </si>
  <si>
    <t>Horas Parada</t>
  </si>
  <si>
    <t>Horas Mês</t>
  </si>
  <si>
    <t>% Paradas Programadas</t>
  </si>
  <si>
    <t>Horas Paradas Programadas</t>
  </si>
  <si>
    <t>Total Horas Paradas</t>
  </si>
  <si>
    <t>Forno 01 08</t>
  </si>
  <si>
    <t>2023/06</t>
  </si>
  <si>
    <t>Forno 03</t>
  </si>
  <si>
    <t>2023/07</t>
  </si>
  <si>
    <t>Forno 04 07</t>
  </si>
  <si>
    <t>2023/05</t>
  </si>
  <si>
    <t>2023/08</t>
  </si>
  <si>
    <t>Forno 05 06</t>
  </si>
  <si>
    <t>2023/09</t>
  </si>
  <si>
    <t>Forno 09</t>
  </si>
  <si>
    <t>Forno 10 14</t>
  </si>
  <si>
    <t>2023/10</t>
  </si>
  <si>
    <t>2023/11</t>
  </si>
  <si>
    <t>CÁLCULO DAS PARADAS PROGRAMADAS CONSIDERANDO AS PARADAS PROGRAMADAS DO FORNOS PARA MANUTENÇÃO</t>
  </si>
  <si>
    <t>NÃO TEREMOS PARADA PARA MANUTENÇÃO NESSE FORNO NO PERIODO DE MAIO A DEZEMBRO 2023</t>
  </si>
  <si>
    <t>% Paradas Programadas Ajustada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</si>
</sst>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]:mm:ss;@"/>
    <numFmt numFmtId="165" formatCode="d/m/yyyy"/>
    <numFmt numFmtId="166" formatCode="[hh]:mm:ss"/>
    <numFmt numFmtId="167" formatCode="[$-F400]h:mm:ss\ AM/PM"/>
  </numFmts>
  <fonts count="5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3" fillId="0" borderId="0" applyBorder="0" applyProtection="0"/>
    <xf numFmtId="0" fontId="1" fillId="0" borderId="0"/>
  </cellStyleXfs>
  <cellXfs count="32">
    <xf numFmtId="0" fontId="0" fillId="0" borderId="0" xfId="0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0" fontId="3" fillId="3" borderId="0" xfId="1" applyNumberFormat="1" applyFill="1" applyBorder="1" applyAlignment="1" applyProtection="1">
      <alignment horizontal="center"/>
    </xf>
    <xf numFmtId="0" fontId="2" fillId="4" borderId="1" xfId="0" applyFont="1" applyFill="1" applyBorder="1" applyAlignment="1">
      <alignment horizontal="center"/>
    </xf>
    <xf numFmtId="10" fontId="2" fillId="4" borderId="2" xfId="1" applyNumberFormat="1" applyFont="1" applyFill="1" applyBorder="1" applyAlignment="1" applyProtection="1">
      <alignment horizont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166" fontId="0" fillId="2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166" fontId="0" fillId="0" borderId="0" xfId="0" applyNumberFormat="1"/>
    <xf numFmtId="10" fontId="3" fillId="0" borderId="0" xfId="1" applyNumberFormat="1" applyBorder="1" applyProtection="1"/>
    <xf numFmtId="2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0" fontId="3" fillId="0" borderId="0" xfId="1" applyNumberFormat="1" applyBorder="1" applyAlignment="1" applyProtection="1">
      <alignment horizontal="right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3">
    <cellStyle name="Normal" xfId="0" builtinId="0"/>
    <cellStyle name="Normal 3" xfId="2" xr:uid="{00000000-0005-0000-0000-000006000000}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23" zoomScaleNormal="100" workbookViewId="0">
      <selection activeCell="K34" sqref="K34"/>
    </sheetView>
  </sheetViews>
  <sheetFormatPr defaultColWidth="11.44140625" defaultRowHeight="15.05" x14ac:dyDescent="0.3"/>
  <cols>
    <col min="7" max="7" width="11.88671875" bestFit="1" customWidth="1"/>
    <col min="8" max="8" width="21.44140625" bestFit="1" customWidth="1"/>
    <col min="9" max="9" width="20.6640625" bestFit="1" customWidth="1"/>
    <col min="10" max="10" width="24.109375" bestFit="1" customWidth="1"/>
    <col min="11" max="11" width="30.77734375" customWidth="1"/>
    <col min="12" max="12" width="20.6640625" bestFit="1" customWidth="1"/>
  </cols>
  <sheetData>
    <row r="1" spans="1:5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5" t="s">
        <v>5</v>
      </c>
      <c r="B2" s="5">
        <f>30*24</f>
        <v>720</v>
      </c>
      <c r="C2" s="6">
        <f>'Forno 01'!H69</f>
        <v>3.2618055555555587</v>
      </c>
      <c r="D2" s="6">
        <f>'Forno 01'!I69</f>
        <v>1.0861111111111119</v>
      </c>
      <c r="E2" t="s">
        <v>6</v>
      </c>
    </row>
    <row r="3" spans="1:5" x14ac:dyDescent="0.3">
      <c r="A3" s="5" t="s">
        <v>7</v>
      </c>
      <c r="B3" s="5">
        <f>30*24</f>
        <v>720</v>
      </c>
      <c r="C3" s="6">
        <f>'Forno 03'!H69</f>
        <v>2.5513888888888903</v>
      </c>
      <c r="D3" s="6">
        <f>'Forno 03'!I69</f>
        <v>1.1277777777777782</v>
      </c>
    </row>
    <row r="4" spans="1:5" x14ac:dyDescent="0.3">
      <c r="A4" s="5" t="s">
        <v>8</v>
      </c>
      <c r="B4" s="5">
        <f>30*24</f>
        <v>720</v>
      </c>
      <c r="C4" s="6">
        <f>'Forno 05'!H53</f>
        <v>2.1055555555555565</v>
      </c>
      <c r="D4" s="6">
        <f>'Forno 05'!I53</f>
        <v>0.74305555555555625</v>
      </c>
    </row>
    <row r="5" spans="1:5" x14ac:dyDescent="0.3">
      <c r="A5" s="5" t="s">
        <v>9</v>
      </c>
      <c r="B5" s="5">
        <f>30*24</f>
        <v>720</v>
      </c>
      <c r="C5" s="6">
        <f>'Forno 06'!H61</f>
        <v>1.9555555555555559</v>
      </c>
      <c r="D5" s="6">
        <f>'Forno 06'!I61</f>
        <v>0.56597222222222232</v>
      </c>
    </row>
    <row r="6" spans="1:5" x14ac:dyDescent="0.3">
      <c r="A6" s="5" t="s">
        <v>10</v>
      </c>
      <c r="B6" s="5">
        <f>30*24-5*24</f>
        <v>600</v>
      </c>
      <c r="C6" s="6">
        <f>'Forno 08'!H140</f>
        <v>1.3611111111111123</v>
      </c>
      <c r="D6" s="6">
        <f>'Forno 08'!I140</f>
        <v>3.8798611111111083</v>
      </c>
    </row>
    <row r="7" spans="1:5" x14ac:dyDescent="0.3">
      <c r="A7" s="5" t="s">
        <v>11</v>
      </c>
      <c r="B7" s="5">
        <f>SUM(B2:B6)</f>
        <v>3480</v>
      </c>
      <c r="C7" s="7">
        <f>SUM(C2:C6)*24</f>
        <v>269.65000000000015</v>
      </c>
      <c r="D7" s="7">
        <f>SUM(D2:D6)*24</f>
        <v>177.66666666666663</v>
      </c>
    </row>
    <row r="8" spans="1:5" x14ac:dyDescent="0.3">
      <c r="A8" s="5"/>
      <c r="B8" s="8" t="s">
        <v>12</v>
      </c>
      <c r="C8" s="9">
        <f>C7/B7</f>
        <v>7.7485632183908082E-2</v>
      </c>
      <c r="D8" s="9">
        <f>D7/(B7-C7)</f>
        <v>5.5341837079030835E-2</v>
      </c>
    </row>
    <row r="9" spans="1:5" x14ac:dyDescent="0.3">
      <c r="A9" s="5"/>
      <c r="B9" s="10" t="s">
        <v>13</v>
      </c>
      <c r="C9" s="11">
        <f>(1-C8)*(1-D8)</f>
        <v>0.87146072796934859</v>
      </c>
      <c r="D9" s="6"/>
    </row>
    <row r="10" spans="1:5" x14ac:dyDescent="0.3">
      <c r="A10" s="5"/>
      <c r="B10" s="5"/>
      <c r="C10" s="6" t="str">
        <f>TEXT(C7,"")</f>
        <v/>
      </c>
      <c r="D10" s="6"/>
    </row>
    <row r="11" spans="1:5" x14ac:dyDescent="0.3">
      <c r="A11" s="5"/>
      <c r="B11" s="5"/>
      <c r="C11" s="12"/>
    </row>
    <row r="12" spans="1:5" x14ac:dyDescent="0.3">
      <c r="A12" s="5" t="s">
        <v>14</v>
      </c>
      <c r="B12" s="5">
        <f>30*24</f>
        <v>720</v>
      </c>
      <c r="C12" s="2">
        <f>'Forno 04 07'!I483</f>
        <v>71.716666666666654</v>
      </c>
      <c r="D12" s="2">
        <f>'Forno 04 07'!J483</f>
        <v>117.88333333333325</v>
      </c>
    </row>
    <row r="13" spans="1:5" x14ac:dyDescent="0.3">
      <c r="A13" s="5" t="s">
        <v>15</v>
      </c>
      <c r="B13" s="5">
        <f>30*24</f>
        <v>720</v>
      </c>
      <c r="C13" s="2"/>
      <c r="D13" s="2"/>
    </row>
    <row r="14" spans="1:5" x14ac:dyDescent="0.3">
      <c r="A14" s="5" t="s">
        <v>11</v>
      </c>
      <c r="B14" s="5">
        <f>SUM(B12:B13)</f>
        <v>1440</v>
      </c>
      <c r="C14" s="7">
        <f>SUM(C12:C13)</f>
        <v>71.716666666666654</v>
      </c>
      <c r="D14" s="7">
        <f>SUM(D12:D13)</f>
        <v>117.88333333333325</v>
      </c>
    </row>
    <row r="15" spans="1:5" x14ac:dyDescent="0.3">
      <c r="A15" s="5"/>
      <c r="B15" s="8" t="s">
        <v>12</v>
      </c>
      <c r="C15" s="9">
        <f>C14/B14</f>
        <v>4.9803240740740731E-2</v>
      </c>
      <c r="D15" s="9">
        <f>D14/(B14-C14)</f>
        <v>8.6154183465900036E-2</v>
      </c>
    </row>
    <row r="16" spans="1:5" x14ac:dyDescent="0.3">
      <c r="A16" s="5"/>
      <c r="B16" s="10" t="s">
        <v>13</v>
      </c>
      <c r="C16" s="11">
        <f>(1-C15)*(1-D15)</f>
        <v>0.8683333333333334</v>
      </c>
    </row>
    <row r="17" spans="1:9" x14ac:dyDescent="0.3">
      <c r="B17" s="5"/>
    </row>
    <row r="18" spans="1:9" x14ac:dyDescent="0.3">
      <c r="A18" s="5" t="s">
        <v>16</v>
      </c>
      <c r="B18" s="5">
        <f t="shared" ref="B18:B23" si="0">30*24</f>
        <v>720</v>
      </c>
      <c r="C18" s="6">
        <f>'Forno 09'!H79</f>
        <v>2.2732638888888888</v>
      </c>
      <c r="D18" s="6">
        <f>'Forno 09'!I79</f>
        <v>1.1479166666666656</v>
      </c>
    </row>
    <row r="19" spans="1:9" x14ac:dyDescent="0.3">
      <c r="A19" s="5" t="s">
        <v>17</v>
      </c>
      <c r="B19" s="5">
        <f t="shared" si="0"/>
        <v>720</v>
      </c>
      <c r="C19" s="1">
        <f>'Forno 10 a 14'!H359</f>
        <v>10.261805555555563</v>
      </c>
      <c r="D19" s="1">
        <f>'Forno 10 a 14'!I359</f>
        <v>7.7868055555555564</v>
      </c>
    </row>
    <row r="20" spans="1:9" x14ac:dyDescent="0.3">
      <c r="A20" s="5" t="s">
        <v>18</v>
      </c>
      <c r="B20" s="5">
        <f t="shared" si="0"/>
        <v>720</v>
      </c>
      <c r="C20" s="1"/>
      <c r="D20" s="1"/>
    </row>
    <row r="21" spans="1:9" x14ac:dyDescent="0.3">
      <c r="A21" s="5" t="s">
        <v>19</v>
      </c>
      <c r="B21" s="5">
        <f t="shared" si="0"/>
        <v>720</v>
      </c>
      <c r="C21" s="1"/>
      <c r="D21" s="1"/>
    </row>
    <row r="22" spans="1:9" x14ac:dyDescent="0.3">
      <c r="A22" s="5" t="s">
        <v>20</v>
      </c>
      <c r="B22" s="5">
        <f t="shared" si="0"/>
        <v>720</v>
      </c>
      <c r="C22" s="1"/>
      <c r="D22" s="1"/>
    </row>
    <row r="23" spans="1:9" x14ac:dyDescent="0.3">
      <c r="A23" s="5" t="s">
        <v>21</v>
      </c>
      <c r="B23" s="5">
        <f t="shared" si="0"/>
        <v>720</v>
      </c>
      <c r="C23" s="1"/>
      <c r="D23" s="1"/>
    </row>
    <row r="24" spans="1:9" x14ac:dyDescent="0.3">
      <c r="A24" s="5" t="s">
        <v>11</v>
      </c>
      <c r="B24" s="5">
        <f>SUM(B18:B23)</f>
        <v>4320</v>
      </c>
      <c r="C24" s="7">
        <f>SUM(C18:C23)*24</f>
        <v>300.84166666666687</v>
      </c>
      <c r="D24" s="7">
        <f>SUM(D18:D23)*24</f>
        <v>214.43333333333334</v>
      </c>
    </row>
    <row r="25" spans="1:9" x14ac:dyDescent="0.3">
      <c r="A25" s="5"/>
      <c r="B25" s="8" t="s">
        <v>12</v>
      </c>
      <c r="C25" s="9">
        <f>C24/B24</f>
        <v>6.9639274691358069E-2</v>
      </c>
      <c r="D25" s="9">
        <f>D24/(B24-C24)</f>
        <v>5.33527956723941E-2</v>
      </c>
    </row>
    <row r="26" spans="1:9" x14ac:dyDescent="0.3">
      <c r="A26" s="5"/>
      <c r="B26" s="10" t="s">
        <v>13</v>
      </c>
      <c r="C26" s="11">
        <f>(1-C25)*(1-D25)</f>
        <v>0.88072337962962954</v>
      </c>
      <c r="D26" s="6"/>
    </row>
    <row r="27" spans="1:9" x14ac:dyDescent="0.3">
      <c r="A27" s="5"/>
    </row>
    <row r="28" spans="1:9" x14ac:dyDescent="0.3">
      <c r="A28" s="5"/>
    </row>
    <row r="29" spans="1:9" x14ac:dyDescent="0.3">
      <c r="A29" s="5"/>
    </row>
    <row r="30" spans="1:9" x14ac:dyDescent="0.3">
      <c r="A30" s="5"/>
    </row>
    <row r="31" spans="1:9" x14ac:dyDescent="0.3">
      <c r="A31" s="5"/>
    </row>
    <row r="32" spans="1:9" x14ac:dyDescent="0.3">
      <c r="A32" s="30" t="s">
        <v>829</v>
      </c>
      <c r="B32" s="30"/>
      <c r="C32" s="30"/>
      <c r="D32" s="30"/>
      <c r="E32" s="30"/>
      <c r="F32" s="30"/>
      <c r="G32" s="30"/>
      <c r="H32" s="30"/>
      <c r="I32" s="30"/>
    </row>
    <row r="33" spans="1:11" x14ac:dyDescent="0.3">
      <c r="A33" s="30" t="s">
        <v>806</v>
      </c>
      <c r="B33" s="30" t="s">
        <v>807</v>
      </c>
      <c r="C33" s="30" t="s">
        <v>808</v>
      </c>
      <c r="D33" s="30" t="s">
        <v>809</v>
      </c>
      <c r="E33" s="30" t="s">
        <v>810</v>
      </c>
      <c r="F33" s="30" t="s">
        <v>811</v>
      </c>
      <c r="G33" s="30" t="s">
        <v>812</v>
      </c>
      <c r="H33" s="31" t="s">
        <v>813</v>
      </c>
      <c r="I33" s="30" t="s">
        <v>814</v>
      </c>
      <c r="J33" s="30" t="s">
        <v>815</v>
      </c>
      <c r="K33" s="30" t="s">
        <v>831</v>
      </c>
    </row>
    <row r="34" spans="1:11" x14ac:dyDescent="0.3">
      <c r="A34" t="s">
        <v>816</v>
      </c>
      <c r="B34" t="s">
        <v>817</v>
      </c>
      <c r="C34" s="5">
        <v>30</v>
      </c>
      <c r="D34" s="5">
        <v>2</v>
      </c>
      <c r="E34" s="5">
        <v>10</v>
      </c>
      <c r="F34" s="5">
        <f t="shared" ref="F34:F39" si="1">E34*24</f>
        <v>240</v>
      </c>
      <c r="G34" s="5">
        <f t="shared" ref="G34:G39" si="2">C34*D34*24</f>
        <v>1440</v>
      </c>
      <c r="H34" s="28">
        <f>C8</f>
        <v>7.7485632183908082E-2</v>
      </c>
      <c r="I34" s="7">
        <f t="shared" ref="I34:I39" si="3">(G34-F34) * H34</f>
        <v>92.982758620689694</v>
      </c>
      <c r="J34" s="29">
        <f t="shared" ref="J34:J39" si="4">I34+F34</f>
        <v>332.98275862068971</v>
      </c>
      <c r="K34" s="28">
        <f t="shared" ref="K34:K39" si="5">J34/G34</f>
        <v>0.23123802681992342</v>
      </c>
    </row>
    <row r="35" spans="1:11" x14ac:dyDescent="0.3">
      <c r="A35" t="s">
        <v>818</v>
      </c>
      <c r="B35" t="s">
        <v>819</v>
      </c>
      <c r="C35" s="5">
        <v>31</v>
      </c>
      <c r="D35" s="5">
        <v>1</v>
      </c>
      <c r="E35" s="5">
        <v>3</v>
      </c>
      <c r="F35" s="5">
        <f t="shared" si="1"/>
        <v>72</v>
      </c>
      <c r="G35" s="5">
        <f t="shared" si="2"/>
        <v>744</v>
      </c>
      <c r="H35" s="28">
        <f>H34</f>
        <v>7.7485632183908082E-2</v>
      </c>
      <c r="I35" s="7">
        <f t="shared" si="3"/>
        <v>52.070344827586233</v>
      </c>
      <c r="J35" s="29">
        <f t="shared" si="4"/>
        <v>124.07034482758624</v>
      </c>
      <c r="K35" s="28">
        <f t="shared" si="5"/>
        <v>0.16676121616611053</v>
      </c>
    </row>
    <row r="36" spans="1:11" x14ac:dyDescent="0.3">
      <c r="A36" t="s">
        <v>820</v>
      </c>
      <c r="B36" t="s">
        <v>821</v>
      </c>
      <c r="C36" s="5">
        <v>31</v>
      </c>
      <c r="D36" s="5">
        <v>2</v>
      </c>
      <c r="E36" s="5">
        <v>20</v>
      </c>
      <c r="F36" s="5">
        <f t="shared" si="1"/>
        <v>480</v>
      </c>
      <c r="G36" s="5">
        <f t="shared" si="2"/>
        <v>1488</v>
      </c>
      <c r="H36" s="28">
        <f>C15</f>
        <v>4.9803240740740731E-2</v>
      </c>
      <c r="I36" s="7">
        <f t="shared" si="3"/>
        <v>50.201666666666654</v>
      </c>
      <c r="J36" s="29">
        <f t="shared" si="4"/>
        <v>530.2016666666666</v>
      </c>
      <c r="K36" s="28">
        <f t="shared" si="5"/>
        <v>0.35631832437275979</v>
      </c>
    </row>
    <row r="37" spans="1:11" x14ac:dyDescent="0.3">
      <c r="B37" t="s">
        <v>822</v>
      </c>
      <c r="C37" s="5">
        <v>31</v>
      </c>
      <c r="D37" s="5">
        <v>2</v>
      </c>
      <c r="E37" s="5">
        <v>20</v>
      </c>
      <c r="F37" s="5">
        <f t="shared" si="1"/>
        <v>480</v>
      </c>
      <c r="G37" s="5">
        <f t="shared" si="2"/>
        <v>1488</v>
      </c>
      <c r="H37" s="28">
        <f>H36</f>
        <v>4.9803240740740731E-2</v>
      </c>
      <c r="I37" s="7">
        <f t="shared" si="3"/>
        <v>50.201666666666654</v>
      </c>
      <c r="J37" s="29">
        <f t="shared" si="4"/>
        <v>530.2016666666666</v>
      </c>
      <c r="K37" s="28">
        <f t="shared" si="5"/>
        <v>0.35631832437275979</v>
      </c>
    </row>
    <row r="38" spans="1:11" x14ac:dyDescent="0.3">
      <c r="A38" t="s">
        <v>823</v>
      </c>
      <c r="B38" t="s">
        <v>822</v>
      </c>
      <c r="C38" s="5">
        <v>31</v>
      </c>
      <c r="D38" s="5">
        <v>2</v>
      </c>
      <c r="E38" s="5">
        <v>17</v>
      </c>
      <c r="F38" s="5">
        <f t="shared" si="1"/>
        <v>408</v>
      </c>
      <c r="G38" s="5">
        <f t="shared" si="2"/>
        <v>1488</v>
      </c>
      <c r="H38" s="28">
        <f>H34</f>
        <v>7.7485632183908082E-2</v>
      </c>
      <c r="I38" s="7">
        <f t="shared" si="3"/>
        <v>83.684482758620732</v>
      </c>
      <c r="J38" s="29">
        <f t="shared" si="4"/>
        <v>491.68448275862073</v>
      </c>
      <c r="K38" s="28">
        <f t="shared" si="5"/>
        <v>0.33043312013348169</v>
      </c>
    </row>
    <row r="39" spans="1:11" x14ac:dyDescent="0.3">
      <c r="B39" t="s">
        <v>824</v>
      </c>
      <c r="C39" s="5">
        <v>30</v>
      </c>
      <c r="D39" s="5">
        <v>2</v>
      </c>
      <c r="E39" s="5">
        <v>17</v>
      </c>
      <c r="F39" s="5">
        <f t="shared" si="1"/>
        <v>408</v>
      </c>
      <c r="G39" s="5">
        <f t="shared" si="2"/>
        <v>1440</v>
      </c>
      <c r="H39" s="28">
        <f>H38</f>
        <v>7.7485632183908082E-2</v>
      </c>
      <c r="I39" s="7">
        <f t="shared" si="3"/>
        <v>79.965172413793141</v>
      </c>
      <c r="J39" s="29">
        <f t="shared" si="4"/>
        <v>487.96517241379314</v>
      </c>
      <c r="K39" s="28">
        <f t="shared" si="5"/>
        <v>0.33886470306513411</v>
      </c>
    </row>
    <row r="40" spans="1:11" x14ac:dyDescent="0.3">
      <c r="A40" t="s">
        <v>825</v>
      </c>
      <c r="B40" t="s">
        <v>830</v>
      </c>
      <c r="C40" s="5"/>
      <c r="D40" s="5"/>
      <c r="E40" s="5"/>
      <c r="F40" s="5"/>
      <c r="G40" s="5"/>
      <c r="H40" s="5"/>
      <c r="I40" s="7"/>
      <c r="J40" s="29"/>
      <c r="K40" s="5"/>
    </row>
    <row r="41" spans="1:11" x14ac:dyDescent="0.3">
      <c r="A41" t="s">
        <v>826</v>
      </c>
      <c r="B41" t="s">
        <v>827</v>
      </c>
      <c r="C41" s="5">
        <v>31</v>
      </c>
      <c r="D41" s="5">
        <v>5</v>
      </c>
      <c r="E41" s="5">
        <v>17</v>
      </c>
      <c r="F41" s="5">
        <f>E41*24</f>
        <v>408</v>
      </c>
      <c r="G41" s="5">
        <f>C41*D41*24</f>
        <v>3720</v>
      </c>
      <c r="H41" s="28">
        <f>C25</f>
        <v>6.9639274691358069E-2</v>
      </c>
      <c r="I41" s="7">
        <f>(G41-F41) * H41</f>
        <v>230.64527777777792</v>
      </c>
      <c r="J41" s="29">
        <f>I41+F41</f>
        <v>638.64527777777789</v>
      </c>
      <c r="K41" s="28">
        <f>J41/G41</f>
        <v>0.17167883811230589</v>
      </c>
    </row>
    <row r="42" spans="1:11" x14ac:dyDescent="0.3">
      <c r="B42" t="s">
        <v>828</v>
      </c>
      <c r="C42" s="5">
        <v>30</v>
      </c>
      <c r="D42" s="5">
        <v>5</v>
      </c>
      <c r="E42" s="5">
        <v>17</v>
      </c>
      <c r="F42" s="5">
        <f>E42*24</f>
        <v>408</v>
      </c>
      <c r="G42" s="5">
        <f>C42*D42*24</f>
        <v>3600</v>
      </c>
      <c r="H42" s="28">
        <f>H41</f>
        <v>6.9639274691358069E-2</v>
      </c>
      <c r="I42" s="7">
        <f>(G42-F42) * H42</f>
        <v>222.28856481481495</v>
      </c>
      <c r="J42" s="29">
        <f>I42+F42</f>
        <v>630.28856481481489</v>
      </c>
      <c r="K42" s="28">
        <f>J42/G42</f>
        <v>0.17508015689300413</v>
      </c>
    </row>
  </sheetData>
  <mergeCells count="4">
    <mergeCell ref="C12:C13"/>
    <mergeCell ref="D12:D13"/>
    <mergeCell ref="C19:C23"/>
    <mergeCell ref="D19:D2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zoomScaleNormal="100" workbookViewId="0">
      <selection activeCell="H71" sqref="H71"/>
    </sheetView>
  </sheetViews>
  <sheetFormatPr defaultColWidth="8.44140625" defaultRowHeight="15.05" x14ac:dyDescent="0.3"/>
  <cols>
    <col min="2" max="2" width="10.5546875" customWidth="1"/>
    <col min="5" max="5" width="9.109375" customWidth="1"/>
    <col min="6" max="6" width="42.5546875" customWidth="1"/>
    <col min="9" max="9" width="10.77734375" customWidth="1"/>
  </cols>
  <sheetData>
    <row r="1" spans="1:9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G1" s="17" t="s">
        <v>28</v>
      </c>
      <c r="H1" s="17" t="s">
        <v>29</v>
      </c>
      <c r="I1" s="17" t="s">
        <v>30</v>
      </c>
    </row>
    <row r="2" spans="1:9" x14ac:dyDescent="0.3">
      <c r="A2" s="18" t="s">
        <v>31</v>
      </c>
      <c r="B2" s="19">
        <v>45019</v>
      </c>
      <c r="C2" s="20">
        <v>0.74861111111111101</v>
      </c>
      <c r="D2" s="20">
        <v>0.8125</v>
      </c>
      <c r="E2" s="20">
        <v>6.3888888888888995E-2</v>
      </c>
      <c r="F2" s="21" t="s">
        <v>32</v>
      </c>
      <c r="G2" t="str">
        <f>VLOOKUP(F2,'Tipo Parada Fab 1'!$A$2:$B$27,2,FALSE())</f>
        <v>P</v>
      </c>
      <c r="H2" s="20">
        <f t="shared" ref="H2:H33" si="0">IF(G2="P",E2,"")</f>
        <v>6.3888888888888995E-2</v>
      </c>
      <c r="I2" s="20" t="str">
        <f t="shared" ref="I2:I33" si="1">IF(G2="NP",E2,"")</f>
        <v/>
      </c>
    </row>
    <row r="3" spans="1:9" x14ac:dyDescent="0.3">
      <c r="A3" s="18" t="s">
        <v>31</v>
      </c>
      <c r="B3" s="19">
        <v>45019</v>
      </c>
      <c r="C3" s="20">
        <v>0.8125</v>
      </c>
      <c r="D3" s="20">
        <v>0.875694444444444</v>
      </c>
      <c r="E3" s="20">
        <v>6.31944444444444E-2</v>
      </c>
      <c r="F3" s="21" t="s">
        <v>32</v>
      </c>
      <c r="G3" t="str">
        <f>VLOOKUP(F3,'Tipo Parada Fab 1'!$A$2:$B$27,2,FALSE())</f>
        <v>P</v>
      </c>
      <c r="H3" s="20">
        <f t="shared" si="0"/>
        <v>6.31944444444444E-2</v>
      </c>
      <c r="I3" s="20" t="str">
        <f t="shared" si="1"/>
        <v/>
      </c>
    </row>
    <row r="4" spans="1:9" x14ac:dyDescent="0.3">
      <c r="A4" s="18" t="s">
        <v>31</v>
      </c>
      <c r="B4" s="19">
        <v>45020</v>
      </c>
      <c r="C4" s="20">
        <v>0.74861111111111101</v>
      </c>
      <c r="D4" s="20">
        <v>0.8125</v>
      </c>
      <c r="E4" s="20">
        <v>6.3888888888888995E-2</v>
      </c>
      <c r="F4" s="21" t="s">
        <v>32</v>
      </c>
      <c r="G4" t="str">
        <f>VLOOKUP(F4,'Tipo Parada Fab 1'!$A$2:$B$27,2,FALSE())</f>
        <v>P</v>
      </c>
      <c r="H4" s="20">
        <f t="shared" si="0"/>
        <v>6.3888888888888995E-2</v>
      </c>
      <c r="I4" s="20" t="str">
        <f t="shared" si="1"/>
        <v/>
      </c>
    </row>
    <row r="5" spans="1:9" x14ac:dyDescent="0.3">
      <c r="A5" s="18" t="s">
        <v>31</v>
      </c>
      <c r="B5" s="19">
        <v>45020</v>
      </c>
      <c r="C5" s="20">
        <v>0.8125</v>
      </c>
      <c r="D5" s="20">
        <v>0.875</v>
      </c>
      <c r="E5" s="20">
        <v>6.25E-2</v>
      </c>
      <c r="F5" s="21" t="s">
        <v>32</v>
      </c>
      <c r="G5" t="str">
        <f>VLOOKUP(F5,'Tipo Parada Fab 1'!$A$2:$B$27,2,FALSE())</f>
        <v>P</v>
      </c>
      <c r="H5" s="20">
        <f t="shared" si="0"/>
        <v>6.25E-2</v>
      </c>
      <c r="I5" s="20" t="str">
        <f t="shared" si="1"/>
        <v/>
      </c>
    </row>
    <row r="6" spans="1:9" x14ac:dyDescent="0.3">
      <c r="A6" s="18" t="s">
        <v>31</v>
      </c>
      <c r="B6" s="19">
        <v>45020</v>
      </c>
      <c r="C6" s="20">
        <v>0.875</v>
      </c>
      <c r="D6" s="20">
        <v>0.99305555555555503</v>
      </c>
      <c r="E6" s="20">
        <v>0.118055555555555</v>
      </c>
      <c r="F6" s="21" t="s">
        <v>33</v>
      </c>
      <c r="G6" t="str">
        <f>VLOOKUP(F6,'Tipo Parada Fab 1'!$A$2:$B$27,2,FALSE())</f>
        <v>P</v>
      </c>
      <c r="H6" s="20">
        <f t="shared" si="0"/>
        <v>0.118055555555555</v>
      </c>
      <c r="I6" s="20" t="str">
        <f t="shared" si="1"/>
        <v/>
      </c>
    </row>
    <row r="7" spans="1:9" x14ac:dyDescent="0.3">
      <c r="A7" s="18" t="s">
        <v>31</v>
      </c>
      <c r="B7" s="19">
        <v>45020</v>
      </c>
      <c r="C7" s="20">
        <v>0.99305555555555503</v>
      </c>
      <c r="D7" s="20">
        <v>3.4722222222222199E-3</v>
      </c>
      <c r="E7" s="20">
        <v>1.04166666666669E-2</v>
      </c>
      <c r="F7" s="21" t="s">
        <v>34</v>
      </c>
      <c r="G7" t="str">
        <f>VLOOKUP(F7,'Tipo Parada Fab 1'!$A$2:$B$27,2,FALSE())</f>
        <v>NP</v>
      </c>
      <c r="H7" s="20" t="str">
        <f t="shared" si="0"/>
        <v/>
      </c>
      <c r="I7" s="20">
        <f t="shared" si="1"/>
        <v>1.04166666666669E-2</v>
      </c>
    </row>
    <row r="8" spans="1:9" x14ac:dyDescent="0.3">
      <c r="A8" s="18" t="s">
        <v>31</v>
      </c>
      <c r="B8" s="19">
        <v>45021</v>
      </c>
      <c r="C8" s="20">
        <v>0.74861111111111101</v>
      </c>
      <c r="D8" s="20">
        <v>0.8125</v>
      </c>
      <c r="E8" s="20">
        <v>6.3888888888888995E-2</v>
      </c>
      <c r="F8" s="21" t="s">
        <v>32</v>
      </c>
      <c r="G8" t="str">
        <f>VLOOKUP(F8,'Tipo Parada Fab 1'!$A$2:$B$27,2,FALSE())</f>
        <v>P</v>
      </c>
      <c r="H8" s="20">
        <f t="shared" si="0"/>
        <v>6.3888888888888995E-2</v>
      </c>
      <c r="I8" s="20" t="str">
        <f t="shared" si="1"/>
        <v/>
      </c>
    </row>
    <row r="9" spans="1:9" x14ac:dyDescent="0.3">
      <c r="A9" s="18" t="s">
        <v>31</v>
      </c>
      <c r="B9" s="19">
        <v>45021</v>
      </c>
      <c r="C9" s="20">
        <v>0.8125</v>
      </c>
      <c r="D9" s="20">
        <v>0.875694444444444</v>
      </c>
      <c r="E9" s="20">
        <v>6.31944444444444E-2</v>
      </c>
      <c r="F9" s="21" t="s">
        <v>32</v>
      </c>
      <c r="G9" t="str">
        <f>VLOOKUP(F9,'Tipo Parada Fab 1'!$A$2:$B$27,2,FALSE())</f>
        <v>P</v>
      </c>
      <c r="H9" s="20">
        <f t="shared" si="0"/>
        <v>6.31944444444444E-2</v>
      </c>
      <c r="I9" s="20" t="str">
        <f t="shared" si="1"/>
        <v/>
      </c>
    </row>
    <row r="10" spans="1:9" x14ac:dyDescent="0.3">
      <c r="A10" s="18" t="s">
        <v>31</v>
      </c>
      <c r="B10" s="19">
        <v>45022</v>
      </c>
      <c r="C10" s="20">
        <v>0.74861111111111101</v>
      </c>
      <c r="D10" s="20">
        <v>0.8125</v>
      </c>
      <c r="E10" s="20">
        <v>6.3888888888888995E-2</v>
      </c>
      <c r="F10" s="21" t="s">
        <v>32</v>
      </c>
      <c r="G10" t="str">
        <f>VLOOKUP(F10,'Tipo Parada Fab 1'!$A$2:$B$27,2,FALSE())</f>
        <v>P</v>
      </c>
      <c r="H10" s="20">
        <f t="shared" si="0"/>
        <v>6.3888888888888995E-2</v>
      </c>
      <c r="I10" s="20" t="str">
        <f t="shared" si="1"/>
        <v/>
      </c>
    </row>
    <row r="11" spans="1:9" x14ac:dyDescent="0.3">
      <c r="A11" s="18" t="s">
        <v>31</v>
      </c>
      <c r="B11" s="19">
        <v>45022</v>
      </c>
      <c r="C11" s="20">
        <v>0.8125</v>
      </c>
      <c r="D11" s="20">
        <v>0.875694444444444</v>
      </c>
      <c r="E11" s="20">
        <v>6.31944444444444E-2</v>
      </c>
      <c r="F11" s="21" t="s">
        <v>32</v>
      </c>
      <c r="G11" t="str">
        <f>VLOOKUP(F11,'Tipo Parada Fab 1'!$A$2:$B$27,2,FALSE())</f>
        <v>P</v>
      </c>
      <c r="H11" s="20">
        <f t="shared" si="0"/>
        <v>6.31944444444444E-2</v>
      </c>
      <c r="I11" s="20" t="str">
        <f t="shared" si="1"/>
        <v/>
      </c>
    </row>
    <row r="12" spans="1:9" x14ac:dyDescent="0.3">
      <c r="A12" s="18" t="s">
        <v>31</v>
      </c>
      <c r="B12" s="19">
        <v>45022</v>
      </c>
      <c r="C12" s="20">
        <v>0.89166666666666705</v>
      </c>
      <c r="D12" s="20">
        <v>0.89305555555555605</v>
      </c>
      <c r="E12" s="20">
        <v>1.388888888889E-3</v>
      </c>
      <c r="F12" s="21" t="s">
        <v>35</v>
      </c>
      <c r="G12" t="str">
        <f>VLOOKUP(F12,'Tipo Parada Fab 1'!$A$2:$B$27,2,FALSE())</f>
        <v>NP</v>
      </c>
      <c r="H12" s="20" t="str">
        <f t="shared" si="0"/>
        <v/>
      </c>
      <c r="I12" s="20">
        <f t="shared" si="1"/>
        <v>1.388888888889E-3</v>
      </c>
    </row>
    <row r="13" spans="1:9" x14ac:dyDescent="0.3">
      <c r="A13" s="18" t="s">
        <v>31</v>
      </c>
      <c r="B13" s="19">
        <v>45023</v>
      </c>
      <c r="C13" s="20">
        <v>0.64791666666666703</v>
      </c>
      <c r="D13" s="20">
        <v>0.67569444444444404</v>
      </c>
      <c r="E13" s="20">
        <v>2.77777777777777E-2</v>
      </c>
      <c r="F13" s="21" t="s">
        <v>36</v>
      </c>
      <c r="G13" t="str">
        <f>VLOOKUP(F13,'Tipo Parada Fab 1'!$A$2:$B$27,2,FALSE())</f>
        <v>NP</v>
      </c>
      <c r="H13" s="20" t="str">
        <f t="shared" si="0"/>
        <v/>
      </c>
      <c r="I13" s="20">
        <f t="shared" si="1"/>
        <v>2.77777777777777E-2</v>
      </c>
    </row>
    <row r="14" spans="1:9" x14ac:dyDescent="0.3">
      <c r="A14" s="18" t="s">
        <v>31</v>
      </c>
      <c r="B14" s="19">
        <v>45023</v>
      </c>
      <c r="C14" s="20">
        <v>0.77847222222222201</v>
      </c>
      <c r="D14" s="20">
        <v>0.8125</v>
      </c>
      <c r="E14" s="20">
        <v>3.4027777777777803E-2</v>
      </c>
      <c r="F14" s="21" t="s">
        <v>37</v>
      </c>
      <c r="G14" t="str">
        <f>VLOOKUP(F14,'Tipo Parada Fab 1'!$A$2:$B$27,2,FALSE())</f>
        <v>NP</v>
      </c>
      <c r="H14" s="20" t="str">
        <f t="shared" si="0"/>
        <v/>
      </c>
      <c r="I14" s="20">
        <f t="shared" si="1"/>
        <v>3.4027777777777803E-2</v>
      </c>
    </row>
    <row r="15" spans="1:9" x14ac:dyDescent="0.3">
      <c r="A15" s="18" t="s">
        <v>31</v>
      </c>
      <c r="B15" s="19">
        <v>45023</v>
      </c>
      <c r="C15" s="20">
        <v>0.8125</v>
      </c>
      <c r="D15" s="20">
        <v>0.81736111111111098</v>
      </c>
      <c r="E15" s="20">
        <v>4.8611111111110904E-3</v>
      </c>
      <c r="F15" s="21" t="s">
        <v>37</v>
      </c>
      <c r="G15" t="str">
        <f>VLOOKUP(F15,'Tipo Parada Fab 1'!$A$2:$B$27,2,FALSE())</f>
        <v>NP</v>
      </c>
      <c r="H15" s="20" t="str">
        <f t="shared" si="0"/>
        <v/>
      </c>
      <c r="I15" s="20">
        <f t="shared" si="1"/>
        <v>4.8611111111110904E-3</v>
      </c>
    </row>
    <row r="16" spans="1:9" x14ac:dyDescent="0.3">
      <c r="A16" s="18" t="s">
        <v>31</v>
      </c>
      <c r="B16" s="19">
        <v>45025</v>
      </c>
      <c r="C16" s="20">
        <v>0.90763888888888899</v>
      </c>
      <c r="D16" s="20">
        <v>0.97361111111111098</v>
      </c>
      <c r="E16" s="20">
        <v>6.5972222222222099E-2</v>
      </c>
      <c r="F16" s="21" t="s">
        <v>38</v>
      </c>
      <c r="G16" t="str">
        <f>VLOOKUP(F16,'Tipo Parada Fab 1'!$A$2:$B$27,2,FALSE())</f>
        <v>NP</v>
      </c>
      <c r="H16" s="20" t="str">
        <f t="shared" si="0"/>
        <v/>
      </c>
      <c r="I16" s="20">
        <f t="shared" si="1"/>
        <v>6.5972222222222099E-2</v>
      </c>
    </row>
    <row r="17" spans="1:9" x14ac:dyDescent="0.3">
      <c r="A17" s="18" t="s">
        <v>31</v>
      </c>
      <c r="B17" s="19">
        <v>45026</v>
      </c>
      <c r="C17" s="20">
        <v>0.61041666666666705</v>
      </c>
      <c r="D17" s="20">
        <v>0.74861111111111101</v>
      </c>
      <c r="E17" s="20">
        <v>0.13819444444444401</v>
      </c>
      <c r="F17" s="21" t="s">
        <v>39</v>
      </c>
      <c r="G17" t="str">
        <f>VLOOKUP(F17,'Tipo Parada Fab 1'!$A$2:$B$27,2,FALSE())</f>
        <v>NP</v>
      </c>
      <c r="H17" s="20" t="str">
        <f t="shared" si="0"/>
        <v/>
      </c>
      <c r="I17" s="20">
        <f t="shared" si="1"/>
        <v>0.13819444444444401</v>
      </c>
    </row>
    <row r="18" spans="1:9" x14ac:dyDescent="0.3">
      <c r="A18" s="18" t="s">
        <v>31</v>
      </c>
      <c r="B18" s="19">
        <v>45026</v>
      </c>
      <c r="C18" s="20">
        <v>0.74861111111111101</v>
      </c>
      <c r="D18" s="20">
        <v>0.8125</v>
      </c>
      <c r="E18" s="20">
        <v>6.3888888888888995E-2</v>
      </c>
      <c r="F18" s="21" t="s">
        <v>32</v>
      </c>
      <c r="G18" t="str">
        <f>VLOOKUP(F18,'Tipo Parada Fab 1'!$A$2:$B$27,2,FALSE())</f>
        <v>P</v>
      </c>
      <c r="H18" s="20">
        <f t="shared" si="0"/>
        <v>6.3888888888888995E-2</v>
      </c>
      <c r="I18" s="20" t="str">
        <f t="shared" si="1"/>
        <v/>
      </c>
    </row>
    <row r="19" spans="1:9" x14ac:dyDescent="0.3">
      <c r="A19" s="18" t="s">
        <v>31</v>
      </c>
      <c r="B19" s="19">
        <v>45026</v>
      </c>
      <c r="C19" s="20">
        <v>0.8125</v>
      </c>
      <c r="D19" s="20">
        <v>0.875694444444444</v>
      </c>
      <c r="E19" s="20">
        <v>6.31944444444444E-2</v>
      </c>
      <c r="F19" s="21" t="s">
        <v>32</v>
      </c>
      <c r="G19" t="str">
        <f>VLOOKUP(F19,'Tipo Parada Fab 1'!$A$2:$B$27,2,FALSE())</f>
        <v>P</v>
      </c>
      <c r="H19" s="20">
        <f t="shared" si="0"/>
        <v>6.31944444444444E-2</v>
      </c>
      <c r="I19" s="20" t="str">
        <f t="shared" si="1"/>
        <v/>
      </c>
    </row>
    <row r="20" spans="1:9" x14ac:dyDescent="0.3">
      <c r="A20" s="18" t="s">
        <v>31</v>
      </c>
      <c r="B20" s="19">
        <v>45026</v>
      </c>
      <c r="C20" s="20">
        <v>0.875694444444444</v>
      </c>
      <c r="D20" s="20">
        <v>0.9375</v>
      </c>
      <c r="E20" s="20">
        <v>6.18055555555556E-2</v>
      </c>
      <c r="F20" s="21" t="s">
        <v>35</v>
      </c>
      <c r="G20" t="str">
        <f>VLOOKUP(F20,'Tipo Parada Fab 1'!$A$2:$B$27,2,FALSE())</f>
        <v>NP</v>
      </c>
      <c r="H20" s="20" t="str">
        <f t="shared" si="0"/>
        <v/>
      </c>
      <c r="I20" s="20">
        <f t="shared" si="1"/>
        <v>6.18055555555556E-2</v>
      </c>
    </row>
    <row r="21" spans="1:9" x14ac:dyDescent="0.3">
      <c r="A21" s="18" t="s">
        <v>31</v>
      </c>
      <c r="B21" s="19">
        <v>45026</v>
      </c>
      <c r="C21" s="20">
        <v>0.96319444444444402</v>
      </c>
      <c r="D21" s="20">
        <v>0.96458333333333302</v>
      </c>
      <c r="E21" s="20">
        <v>1.3888888888887699E-3</v>
      </c>
      <c r="F21" s="21" t="s">
        <v>35</v>
      </c>
      <c r="G21" t="str">
        <f>VLOOKUP(F21,'Tipo Parada Fab 1'!$A$2:$B$27,2,FALSE())</f>
        <v>NP</v>
      </c>
      <c r="H21" s="20" t="str">
        <f t="shared" si="0"/>
        <v/>
      </c>
      <c r="I21" s="20">
        <f t="shared" si="1"/>
        <v>1.3888888888887699E-3</v>
      </c>
    </row>
    <row r="22" spans="1:9" x14ac:dyDescent="0.3">
      <c r="A22" s="18" t="s">
        <v>31</v>
      </c>
      <c r="B22" s="19">
        <v>45026</v>
      </c>
      <c r="C22" s="20">
        <v>6.9444444444444404E-4</v>
      </c>
      <c r="D22" s="20">
        <v>1.0416666666666701E-2</v>
      </c>
      <c r="E22" s="20">
        <v>9.7222222222222206E-3</v>
      </c>
      <c r="F22" s="21" t="s">
        <v>35</v>
      </c>
      <c r="G22" t="str">
        <f>VLOOKUP(F22,'Tipo Parada Fab 1'!$A$2:$B$27,2,FALSE())</f>
        <v>NP</v>
      </c>
      <c r="H22" s="20" t="str">
        <f t="shared" si="0"/>
        <v/>
      </c>
      <c r="I22" s="20">
        <f t="shared" si="1"/>
        <v>9.7222222222222206E-3</v>
      </c>
    </row>
    <row r="23" spans="1:9" x14ac:dyDescent="0.3">
      <c r="A23" s="18" t="s">
        <v>31</v>
      </c>
      <c r="B23" s="19">
        <v>45027</v>
      </c>
      <c r="C23" s="20">
        <v>0.33888888888888902</v>
      </c>
      <c r="D23" s="20">
        <v>0.43263888888888902</v>
      </c>
      <c r="E23" s="20">
        <v>9.375E-2</v>
      </c>
      <c r="F23" s="21" t="s">
        <v>40</v>
      </c>
      <c r="G23" t="str">
        <f>VLOOKUP(F23,'Tipo Parada Fab 1'!$A$2:$B$27,2,FALSE())</f>
        <v>NP</v>
      </c>
      <c r="H23" s="20" t="str">
        <f t="shared" si="0"/>
        <v/>
      </c>
      <c r="I23" s="20">
        <f t="shared" si="1"/>
        <v>9.375E-2</v>
      </c>
    </row>
    <row r="24" spans="1:9" x14ac:dyDescent="0.3">
      <c r="A24" s="18" t="s">
        <v>31</v>
      </c>
      <c r="B24" s="19">
        <v>45027</v>
      </c>
      <c r="C24" s="20">
        <v>0.74861111111111101</v>
      </c>
      <c r="D24" s="20">
        <v>0.8125</v>
      </c>
      <c r="E24" s="20">
        <v>6.3888888888888995E-2</v>
      </c>
      <c r="F24" s="21" t="s">
        <v>32</v>
      </c>
      <c r="G24" t="str">
        <f>VLOOKUP(F24,'Tipo Parada Fab 1'!$A$2:$B$27,2,FALSE())</f>
        <v>P</v>
      </c>
      <c r="H24" s="20">
        <f t="shared" si="0"/>
        <v>6.3888888888888995E-2</v>
      </c>
      <c r="I24" s="20" t="str">
        <f t="shared" si="1"/>
        <v/>
      </c>
    </row>
    <row r="25" spans="1:9" x14ac:dyDescent="0.3">
      <c r="A25" s="18" t="s">
        <v>31</v>
      </c>
      <c r="B25" s="19">
        <v>45027</v>
      </c>
      <c r="C25" s="20">
        <v>0.8125</v>
      </c>
      <c r="D25" s="20">
        <v>0.875694444444444</v>
      </c>
      <c r="E25" s="20">
        <v>6.31944444444444E-2</v>
      </c>
      <c r="F25" s="21" t="s">
        <v>32</v>
      </c>
      <c r="G25" t="str">
        <f>VLOOKUP(F25,'Tipo Parada Fab 1'!$A$2:$B$27,2,FALSE())</f>
        <v>P</v>
      </c>
      <c r="H25" s="20">
        <f t="shared" si="0"/>
        <v>6.31944444444444E-2</v>
      </c>
      <c r="I25" s="20" t="str">
        <f t="shared" si="1"/>
        <v/>
      </c>
    </row>
    <row r="26" spans="1:9" x14ac:dyDescent="0.3">
      <c r="A26" s="18" t="s">
        <v>31</v>
      </c>
      <c r="B26" s="19">
        <v>45028</v>
      </c>
      <c r="C26" s="20">
        <v>0.74861111111111101</v>
      </c>
      <c r="D26" s="20">
        <v>0.8125</v>
      </c>
      <c r="E26" s="20">
        <v>6.3888888888888995E-2</v>
      </c>
      <c r="F26" s="21" t="s">
        <v>32</v>
      </c>
      <c r="G26" t="str">
        <f>VLOOKUP(F26,'Tipo Parada Fab 1'!$A$2:$B$27,2,FALSE())</f>
        <v>P</v>
      </c>
      <c r="H26" s="20">
        <f t="shared" si="0"/>
        <v>6.3888888888888995E-2</v>
      </c>
      <c r="I26" s="20" t="str">
        <f t="shared" si="1"/>
        <v/>
      </c>
    </row>
    <row r="27" spans="1:9" x14ac:dyDescent="0.3">
      <c r="A27" s="18" t="s">
        <v>31</v>
      </c>
      <c r="B27" s="19">
        <v>45028</v>
      </c>
      <c r="C27" s="20">
        <v>0.8125</v>
      </c>
      <c r="D27" s="20">
        <v>0.875694444444444</v>
      </c>
      <c r="E27" s="20">
        <v>6.31944444444444E-2</v>
      </c>
      <c r="F27" s="21" t="s">
        <v>32</v>
      </c>
      <c r="G27" t="str">
        <f>VLOOKUP(F27,'Tipo Parada Fab 1'!$A$2:$B$27,2,FALSE())</f>
        <v>P</v>
      </c>
      <c r="H27" s="20">
        <f t="shared" si="0"/>
        <v>6.31944444444444E-2</v>
      </c>
      <c r="I27" s="20" t="str">
        <f t="shared" si="1"/>
        <v/>
      </c>
    </row>
    <row r="28" spans="1:9" x14ac:dyDescent="0.3">
      <c r="A28" s="18" t="s">
        <v>31</v>
      </c>
      <c r="B28" s="19">
        <v>45029</v>
      </c>
      <c r="C28" s="20">
        <v>0.51458333333333295</v>
      </c>
      <c r="D28" s="20">
        <v>0.5625</v>
      </c>
      <c r="E28" s="20">
        <v>4.7916666666666698E-2</v>
      </c>
      <c r="F28" s="21" t="s">
        <v>33</v>
      </c>
      <c r="G28" t="str">
        <f>VLOOKUP(F28,'Tipo Parada Fab 1'!$A$2:$B$27,2,FALSE())</f>
        <v>P</v>
      </c>
      <c r="H28" s="20">
        <f t="shared" si="0"/>
        <v>4.7916666666666698E-2</v>
      </c>
      <c r="I28" s="20" t="str">
        <f t="shared" si="1"/>
        <v/>
      </c>
    </row>
    <row r="29" spans="1:9" x14ac:dyDescent="0.3">
      <c r="A29" s="18" t="s">
        <v>31</v>
      </c>
      <c r="B29" s="19">
        <v>45029</v>
      </c>
      <c r="C29" s="20">
        <v>0.5625</v>
      </c>
      <c r="D29" s="20">
        <v>0.8125</v>
      </c>
      <c r="E29" s="20">
        <v>0.25</v>
      </c>
      <c r="F29" s="21" t="s">
        <v>33</v>
      </c>
      <c r="G29" t="str">
        <f>VLOOKUP(F29,'Tipo Parada Fab 1'!$A$2:$B$27,2,FALSE())</f>
        <v>P</v>
      </c>
      <c r="H29" s="20">
        <f t="shared" si="0"/>
        <v>0.25</v>
      </c>
      <c r="I29" s="20" t="str">
        <f t="shared" si="1"/>
        <v/>
      </c>
    </row>
    <row r="30" spans="1:9" x14ac:dyDescent="0.3">
      <c r="A30" s="18" t="s">
        <v>31</v>
      </c>
      <c r="B30" s="19">
        <v>45029</v>
      </c>
      <c r="C30" s="20">
        <v>0.8125</v>
      </c>
      <c r="D30" s="20">
        <v>0.875694444444444</v>
      </c>
      <c r="E30" s="20">
        <v>6.31944444444444E-2</v>
      </c>
      <c r="F30" s="21" t="s">
        <v>32</v>
      </c>
      <c r="G30" t="str">
        <f>VLOOKUP(F30,'Tipo Parada Fab 1'!$A$2:$B$27,2,FALSE())</f>
        <v>P</v>
      </c>
      <c r="H30" s="20">
        <f t="shared" si="0"/>
        <v>6.31944444444444E-2</v>
      </c>
      <c r="I30" s="20" t="str">
        <f t="shared" si="1"/>
        <v/>
      </c>
    </row>
    <row r="31" spans="1:9" x14ac:dyDescent="0.3">
      <c r="A31" s="18" t="s">
        <v>31</v>
      </c>
      <c r="B31" s="19">
        <v>45029</v>
      </c>
      <c r="C31" s="20">
        <v>0.875694444444444</v>
      </c>
      <c r="D31" s="20">
        <v>6.25E-2</v>
      </c>
      <c r="E31" s="20">
        <v>0.186805555555556</v>
      </c>
      <c r="F31" s="21" t="s">
        <v>33</v>
      </c>
      <c r="G31" t="str">
        <f>VLOOKUP(F31,'Tipo Parada Fab 1'!$A$2:$B$27,2,FALSE())</f>
        <v>P</v>
      </c>
      <c r="H31" s="20">
        <f t="shared" si="0"/>
        <v>0.186805555555556</v>
      </c>
      <c r="I31" s="20" t="str">
        <f t="shared" si="1"/>
        <v/>
      </c>
    </row>
    <row r="32" spans="1:9" x14ac:dyDescent="0.3">
      <c r="A32" s="18" t="s">
        <v>31</v>
      </c>
      <c r="B32" s="19">
        <v>45030</v>
      </c>
      <c r="C32" s="20">
        <v>6.25E-2</v>
      </c>
      <c r="D32" s="20">
        <v>0.3125</v>
      </c>
      <c r="E32" s="20">
        <v>0.25</v>
      </c>
      <c r="F32" s="21" t="s">
        <v>33</v>
      </c>
      <c r="G32" t="str">
        <f>VLOOKUP(F32,'Tipo Parada Fab 1'!$A$2:$B$27,2,FALSE())</f>
        <v>P</v>
      </c>
      <c r="H32" s="20">
        <f t="shared" si="0"/>
        <v>0.25</v>
      </c>
      <c r="I32" s="20" t="str">
        <f t="shared" si="1"/>
        <v/>
      </c>
    </row>
    <row r="33" spans="1:9" x14ac:dyDescent="0.3">
      <c r="A33" s="18" t="s">
        <v>31</v>
      </c>
      <c r="B33" s="19">
        <v>45030</v>
      </c>
      <c r="C33" s="20">
        <v>0.3125</v>
      </c>
      <c r="D33" s="20">
        <v>0.49305555555555602</v>
      </c>
      <c r="E33" s="20">
        <v>0.180555555555556</v>
      </c>
      <c r="F33" s="21" t="s">
        <v>33</v>
      </c>
      <c r="G33" t="str">
        <f>VLOOKUP(F33,'Tipo Parada Fab 1'!$A$2:$B$27,2,FALSE())</f>
        <v>P</v>
      </c>
      <c r="H33" s="20">
        <f t="shared" si="0"/>
        <v>0.180555555555556</v>
      </c>
      <c r="I33" s="20" t="str">
        <f t="shared" si="1"/>
        <v/>
      </c>
    </row>
    <row r="34" spans="1:9" x14ac:dyDescent="0.3">
      <c r="A34" s="18" t="s">
        <v>31</v>
      </c>
      <c r="B34" s="19">
        <v>45030</v>
      </c>
      <c r="C34" s="20">
        <v>0.74861111111111101</v>
      </c>
      <c r="D34" s="20">
        <v>0.8125</v>
      </c>
      <c r="E34" s="20">
        <v>6.3888888888888995E-2</v>
      </c>
      <c r="F34" s="21" t="s">
        <v>32</v>
      </c>
      <c r="G34" t="str">
        <f>VLOOKUP(F34,'Tipo Parada Fab 1'!$A$2:$B$27,2,FALSE())</f>
        <v>P</v>
      </c>
      <c r="H34" s="20">
        <f t="shared" ref="H34:H65" si="2">IF(G34="P",E34,"")</f>
        <v>6.3888888888888995E-2</v>
      </c>
      <c r="I34" s="20" t="str">
        <f t="shared" ref="I34:I68" si="3">IF(G34="NP",E34,"")</f>
        <v/>
      </c>
    </row>
    <row r="35" spans="1:9" x14ac:dyDescent="0.3">
      <c r="A35" s="18" t="s">
        <v>31</v>
      </c>
      <c r="B35" s="19">
        <v>45030</v>
      </c>
      <c r="C35" s="20">
        <v>0.8125</v>
      </c>
      <c r="D35" s="20">
        <v>0.87777777777777799</v>
      </c>
      <c r="E35" s="20">
        <v>6.5277777777777796E-2</v>
      </c>
      <c r="F35" s="21" t="s">
        <v>32</v>
      </c>
      <c r="G35" t="str">
        <f>VLOOKUP(F35,'Tipo Parada Fab 1'!$A$2:$B$27,2,FALSE())</f>
        <v>P</v>
      </c>
      <c r="H35" s="20">
        <f t="shared" si="2"/>
        <v>6.5277777777777796E-2</v>
      </c>
      <c r="I35" s="20" t="str">
        <f t="shared" si="3"/>
        <v/>
      </c>
    </row>
    <row r="36" spans="1:9" x14ac:dyDescent="0.3">
      <c r="A36" s="18" t="s">
        <v>31</v>
      </c>
      <c r="B36" s="19">
        <v>45032</v>
      </c>
      <c r="C36" s="20">
        <v>0.75833333333333297</v>
      </c>
      <c r="D36" s="20">
        <v>0.76249999999999996</v>
      </c>
      <c r="E36" s="20">
        <v>4.1666666666667603E-3</v>
      </c>
      <c r="F36" s="21" t="s">
        <v>41</v>
      </c>
      <c r="G36" t="str">
        <f>VLOOKUP(F36,'Tipo Parada Fab 1'!$A$2:$B$27,2,FALSE())</f>
        <v>NP</v>
      </c>
      <c r="H36" s="20" t="str">
        <f t="shared" si="2"/>
        <v/>
      </c>
      <c r="I36" s="20">
        <f t="shared" si="3"/>
        <v>4.1666666666667603E-3</v>
      </c>
    </row>
    <row r="37" spans="1:9" x14ac:dyDescent="0.3">
      <c r="A37" s="18" t="s">
        <v>31</v>
      </c>
      <c r="B37" s="19">
        <v>45033</v>
      </c>
      <c r="C37" s="20">
        <v>0.74861111111111101</v>
      </c>
      <c r="D37" s="20">
        <v>0.8125</v>
      </c>
      <c r="E37" s="20">
        <v>6.3888888888888995E-2</v>
      </c>
      <c r="F37" s="21" t="s">
        <v>32</v>
      </c>
      <c r="G37" t="str">
        <f>VLOOKUP(F37,'Tipo Parada Fab 1'!$A$2:$B$27,2,FALSE())</f>
        <v>P</v>
      </c>
      <c r="H37" s="20">
        <f t="shared" si="2"/>
        <v>6.3888888888888995E-2</v>
      </c>
      <c r="I37" s="20" t="str">
        <f t="shared" si="3"/>
        <v/>
      </c>
    </row>
    <row r="38" spans="1:9" x14ac:dyDescent="0.3">
      <c r="A38" s="18" t="s">
        <v>31</v>
      </c>
      <c r="B38" s="19">
        <v>45033</v>
      </c>
      <c r="C38" s="20">
        <v>0.8125</v>
      </c>
      <c r="D38" s="20">
        <v>0.875</v>
      </c>
      <c r="E38" s="20">
        <v>6.25E-2</v>
      </c>
      <c r="F38" s="21" t="s">
        <v>32</v>
      </c>
      <c r="G38" t="str">
        <f>VLOOKUP(F38,'Tipo Parada Fab 1'!$A$2:$B$27,2,FALSE())</f>
        <v>P</v>
      </c>
      <c r="H38" s="20">
        <f t="shared" si="2"/>
        <v>6.25E-2</v>
      </c>
      <c r="I38" s="20" t="str">
        <f t="shared" si="3"/>
        <v/>
      </c>
    </row>
    <row r="39" spans="1:9" x14ac:dyDescent="0.3">
      <c r="A39" s="18" t="s">
        <v>31</v>
      </c>
      <c r="B39" s="19">
        <v>45033</v>
      </c>
      <c r="C39" s="20">
        <v>0.875694444444444</v>
      </c>
      <c r="D39" s="20">
        <v>0.88541666666666696</v>
      </c>
      <c r="E39" s="20">
        <v>9.7222222222221894E-3</v>
      </c>
      <c r="F39" s="21" t="s">
        <v>42</v>
      </c>
      <c r="G39" t="str">
        <f>VLOOKUP(F39,'Tipo Parada Fab 1'!$A$2:$B$27,2,FALSE())</f>
        <v>NP</v>
      </c>
      <c r="H39" s="20" t="str">
        <f t="shared" si="2"/>
        <v/>
      </c>
      <c r="I39" s="20">
        <f t="shared" si="3"/>
        <v>9.7222222222221894E-3</v>
      </c>
    </row>
    <row r="40" spans="1:9" x14ac:dyDescent="0.3">
      <c r="A40" s="18" t="s">
        <v>31</v>
      </c>
      <c r="B40" s="19">
        <v>45034</v>
      </c>
      <c r="C40" s="20">
        <v>0.74861111111111101</v>
      </c>
      <c r="D40" s="20">
        <v>0.8125</v>
      </c>
      <c r="E40" s="20">
        <v>6.3888888888888995E-2</v>
      </c>
      <c r="F40" s="21" t="s">
        <v>32</v>
      </c>
      <c r="G40" t="str">
        <f>VLOOKUP(F40,'Tipo Parada Fab 1'!$A$2:$B$27,2,FALSE())</f>
        <v>P</v>
      </c>
      <c r="H40" s="20">
        <f t="shared" si="2"/>
        <v>6.3888888888888995E-2</v>
      </c>
      <c r="I40" s="20" t="str">
        <f t="shared" si="3"/>
        <v/>
      </c>
    </row>
    <row r="41" spans="1:9" x14ac:dyDescent="0.3">
      <c r="A41" s="18" t="s">
        <v>31</v>
      </c>
      <c r="B41" s="19">
        <v>45034</v>
      </c>
      <c r="C41" s="20">
        <v>0.8125</v>
      </c>
      <c r="D41" s="20">
        <v>0.875694444444444</v>
      </c>
      <c r="E41" s="20">
        <v>6.31944444444444E-2</v>
      </c>
      <c r="F41" s="21" t="s">
        <v>32</v>
      </c>
      <c r="G41" t="str">
        <f>VLOOKUP(F41,'Tipo Parada Fab 1'!$A$2:$B$27,2,FALSE())</f>
        <v>P</v>
      </c>
      <c r="H41" s="20">
        <f t="shared" si="2"/>
        <v>6.31944444444444E-2</v>
      </c>
      <c r="I41" s="20" t="str">
        <f t="shared" si="3"/>
        <v/>
      </c>
    </row>
    <row r="42" spans="1:9" x14ac:dyDescent="0.3">
      <c r="A42" s="18" t="s">
        <v>31</v>
      </c>
      <c r="B42" s="19">
        <v>45035</v>
      </c>
      <c r="C42" s="20">
        <v>0.16805555555555601</v>
      </c>
      <c r="D42" s="20">
        <v>0.171527777777778</v>
      </c>
      <c r="E42" s="20">
        <v>3.4722222222222099E-3</v>
      </c>
      <c r="F42" s="21" t="s">
        <v>43</v>
      </c>
      <c r="G42" t="str">
        <f>VLOOKUP(F42,'Tipo Parada Fab 1'!$A$2:$B$27,2,FALSE())</f>
        <v>NP</v>
      </c>
      <c r="H42" s="20" t="str">
        <f t="shared" si="2"/>
        <v/>
      </c>
      <c r="I42" s="20">
        <f t="shared" si="3"/>
        <v>3.4722222222222099E-3</v>
      </c>
    </row>
    <row r="43" spans="1:9" x14ac:dyDescent="0.3">
      <c r="A43" s="18" t="s">
        <v>31</v>
      </c>
      <c r="B43" s="19">
        <v>45035</v>
      </c>
      <c r="C43" s="20">
        <v>0.74861111111111101</v>
      </c>
      <c r="D43" s="20">
        <v>0.8125</v>
      </c>
      <c r="E43" s="20">
        <v>6.3888888888888995E-2</v>
      </c>
      <c r="F43" s="21" t="s">
        <v>32</v>
      </c>
      <c r="G43" t="str">
        <f>VLOOKUP(F43,'Tipo Parada Fab 1'!$A$2:$B$27,2,FALSE())</f>
        <v>P</v>
      </c>
      <c r="H43" s="20">
        <f t="shared" si="2"/>
        <v>6.3888888888888995E-2</v>
      </c>
      <c r="I43" s="20" t="str">
        <f t="shared" si="3"/>
        <v/>
      </c>
    </row>
    <row r="44" spans="1:9" x14ac:dyDescent="0.3">
      <c r="A44" s="18" t="s">
        <v>31</v>
      </c>
      <c r="B44" s="19">
        <v>45035</v>
      </c>
      <c r="C44" s="20">
        <v>0.8125</v>
      </c>
      <c r="D44" s="20">
        <v>0.875694444444444</v>
      </c>
      <c r="E44" s="20">
        <v>6.31944444444444E-2</v>
      </c>
      <c r="F44" s="21" t="s">
        <v>32</v>
      </c>
      <c r="G44" t="str">
        <f>VLOOKUP(F44,'Tipo Parada Fab 1'!$A$2:$B$27,2,FALSE())</f>
        <v>P</v>
      </c>
      <c r="H44" s="20">
        <f t="shared" si="2"/>
        <v>6.31944444444444E-2</v>
      </c>
      <c r="I44" s="20" t="str">
        <f t="shared" si="3"/>
        <v/>
      </c>
    </row>
    <row r="45" spans="1:9" x14ac:dyDescent="0.3">
      <c r="A45" s="18" t="s">
        <v>31</v>
      </c>
      <c r="B45" s="19">
        <v>45035</v>
      </c>
      <c r="C45" s="20">
        <v>0.875694444444444</v>
      </c>
      <c r="D45" s="20">
        <v>0.95069444444444395</v>
      </c>
      <c r="E45" s="20">
        <v>7.4999999999999997E-2</v>
      </c>
      <c r="F45" s="21" t="s">
        <v>44</v>
      </c>
      <c r="G45" t="str">
        <f>VLOOKUP(F45,'Tipo Parada Fab 1'!$A$2:$B$27,2,FALSE())</f>
        <v>NP</v>
      </c>
      <c r="H45" s="20" t="str">
        <f t="shared" si="2"/>
        <v/>
      </c>
      <c r="I45" s="20">
        <f t="shared" si="3"/>
        <v>7.4999999999999997E-2</v>
      </c>
    </row>
    <row r="46" spans="1:9" x14ac:dyDescent="0.3">
      <c r="A46" s="18" t="s">
        <v>31</v>
      </c>
      <c r="B46" s="19">
        <v>45036</v>
      </c>
      <c r="C46" s="20">
        <v>6.25E-2</v>
      </c>
      <c r="D46" s="20">
        <v>0.15625</v>
      </c>
      <c r="E46" s="20">
        <v>9.375E-2</v>
      </c>
      <c r="F46" s="21" t="s">
        <v>44</v>
      </c>
      <c r="G46" t="str">
        <f>VLOOKUP(F46,'Tipo Parada Fab 1'!$A$2:$B$27,2,FALSE())</f>
        <v>NP</v>
      </c>
      <c r="H46" s="20" t="str">
        <f t="shared" si="2"/>
        <v/>
      </c>
      <c r="I46" s="20">
        <f t="shared" si="3"/>
        <v>9.375E-2</v>
      </c>
    </row>
    <row r="47" spans="1:9" x14ac:dyDescent="0.3">
      <c r="A47" s="18" t="s">
        <v>31</v>
      </c>
      <c r="B47" s="19">
        <v>45036</v>
      </c>
      <c r="C47" s="20">
        <v>0.74861111111111101</v>
      </c>
      <c r="D47" s="20">
        <v>0.8125</v>
      </c>
      <c r="E47" s="20">
        <v>6.3888888888888995E-2</v>
      </c>
      <c r="F47" s="21" t="s">
        <v>32</v>
      </c>
      <c r="G47" t="str">
        <f>VLOOKUP(F47,'Tipo Parada Fab 1'!$A$2:$B$27,2,FALSE())</f>
        <v>P</v>
      </c>
      <c r="H47" s="20">
        <f t="shared" si="2"/>
        <v>6.3888888888888995E-2</v>
      </c>
      <c r="I47" s="20" t="str">
        <f t="shared" si="3"/>
        <v/>
      </c>
    </row>
    <row r="48" spans="1:9" x14ac:dyDescent="0.3">
      <c r="A48" s="18" t="s">
        <v>31</v>
      </c>
      <c r="B48" s="19">
        <v>45036</v>
      </c>
      <c r="C48" s="20">
        <v>0.8125</v>
      </c>
      <c r="D48" s="20">
        <v>0.875694444444444</v>
      </c>
      <c r="E48" s="20">
        <v>6.31944444444444E-2</v>
      </c>
      <c r="F48" s="21" t="s">
        <v>32</v>
      </c>
      <c r="G48" t="str">
        <f>VLOOKUP(F48,'Tipo Parada Fab 1'!$A$2:$B$27,2,FALSE())</f>
        <v>P</v>
      </c>
      <c r="H48" s="20">
        <f t="shared" si="2"/>
        <v>6.31944444444444E-2</v>
      </c>
      <c r="I48" s="20" t="str">
        <f t="shared" si="3"/>
        <v/>
      </c>
    </row>
    <row r="49" spans="1:9" x14ac:dyDescent="0.3">
      <c r="A49" s="18" t="s">
        <v>31</v>
      </c>
      <c r="B49" s="19">
        <v>45036</v>
      </c>
      <c r="C49" s="20">
        <v>0.875694444444444</v>
      </c>
      <c r="D49" s="20">
        <v>0.92986111111111103</v>
      </c>
      <c r="E49" s="20">
        <v>5.4166666666666703E-2</v>
      </c>
      <c r="F49" s="21" t="s">
        <v>44</v>
      </c>
      <c r="G49" t="str">
        <f>VLOOKUP(F49,'Tipo Parada Fab 1'!$A$2:$B$27,2,FALSE())</f>
        <v>NP</v>
      </c>
      <c r="H49" s="20" t="str">
        <f t="shared" si="2"/>
        <v/>
      </c>
      <c r="I49" s="20">
        <f t="shared" si="3"/>
        <v>5.4166666666666703E-2</v>
      </c>
    </row>
    <row r="50" spans="1:9" x14ac:dyDescent="0.3">
      <c r="A50" s="18" t="s">
        <v>31</v>
      </c>
      <c r="B50" s="19">
        <v>45037</v>
      </c>
      <c r="C50" s="20">
        <v>0.24027777777777801</v>
      </c>
      <c r="D50" s="20">
        <v>0.241666666666667</v>
      </c>
      <c r="E50" s="20">
        <v>1.3888888888888801E-3</v>
      </c>
      <c r="F50" s="21" t="s">
        <v>43</v>
      </c>
      <c r="G50" t="str">
        <f>VLOOKUP(F50,'Tipo Parada Fab 1'!$A$2:$B$27,2,FALSE())</f>
        <v>NP</v>
      </c>
      <c r="H50" s="20" t="str">
        <f t="shared" si="2"/>
        <v/>
      </c>
      <c r="I50" s="20">
        <f t="shared" si="3"/>
        <v>1.3888888888888801E-3</v>
      </c>
    </row>
    <row r="51" spans="1:9" x14ac:dyDescent="0.3">
      <c r="A51" s="18" t="s">
        <v>31</v>
      </c>
      <c r="B51" s="19">
        <v>45037</v>
      </c>
      <c r="C51" s="20">
        <v>0.62847222222222199</v>
      </c>
      <c r="D51" s="20">
        <v>0.63055555555555598</v>
      </c>
      <c r="E51" s="20">
        <v>2.0833333333333298E-3</v>
      </c>
      <c r="F51" s="21" t="s">
        <v>43</v>
      </c>
      <c r="G51" t="str">
        <f>VLOOKUP(F51,'Tipo Parada Fab 1'!$A$2:$B$27,2,FALSE())</f>
        <v>NP</v>
      </c>
      <c r="H51" s="20" t="str">
        <f t="shared" si="2"/>
        <v/>
      </c>
      <c r="I51" s="20">
        <f t="shared" si="3"/>
        <v>2.0833333333333298E-3</v>
      </c>
    </row>
    <row r="52" spans="1:9" x14ac:dyDescent="0.3">
      <c r="A52" s="18" t="s">
        <v>31</v>
      </c>
      <c r="B52" s="19">
        <v>45037</v>
      </c>
      <c r="C52" s="20">
        <v>0.70902777777777803</v>
      </c>
      <c r="D52" s="20">
        <v>0.77777777777777801</v>
      </c>
      <c r="E52" s="20">
        <v>6.8750000000000103E-2</v>
      </c>
      <c r="F52" s="21" t="s">
        <v>44</v>
      </c>
      <c r="G52" t="str">
        <f>VLOOKUP(F52,'Tipo Parada Fab 1'!$A$2:$B$27,2,FALSE())</f>
        <v>NP</v>
      </c>
      <c r="H52" s="20" t="str">
        <f t="shared" si="2"/>
        <v/>
      </c>
      <c r="I52" s="20">
        <f t="shared" si="3"/>
        <v>6.8750000000000103E-2</v>
      </c>
    </row>
    <row r="53" spans="1:9" x14ac:dyDescent="0.3">
      <c r="A53" s="18" t="s">
        <v>31</v>
      </c>
      <c r="B53" s="19">
        <v>45037</v>
      </c>
      <c r="C53" s="20">
        <v>0.90138888888888902</v>
      </c>
      <c r="D53" s="20">
        <v>0.90763888888888899</v>
      </c>
      <c r="E53" s="20">
        <v>6.2500000000000897E-3</v>
      </c>
      <c r="F53" s="21" t="s">
        <v>35</v>
      </c>
      <c r="G53" t="str">
        <f>VLOOKUP(F53,'Tipo Parada Fab 1'!$A$2:$B$27,2,FALSE())</f>
        <v>NP</v>
      </c>
      <c r="H53" s="20" t="str">
        <f t="shared" si="2"/>
        <v/>
      </c>
      <c r="I53" s="20">
        <f t="shared" si="3"/>
        <v>6.2500000000000897E-3</v>
      </c>
    </row>
    <row r="54" spans="1:9" x14ac:dyDescent="0.3">
      <c r="A54" s="18" t="s">
        <v>31</v>
      </c>
      <c r="B54" s="19">
        <v>45039</v>
      </c>
      <c r="C54" s="20">
        <v>0.32638888888888901</v>
      </c>
      <c r="D54" s="20">
        <v>0.46319444444444402</v>
      </c>
      <c r="E54" s="20">
        <v>0.13680555555555601</v>
      </c>
      <c r="F54" s="21" t="s">
        <v>44</v>
      </c>
      <c r="G54" t="str">
        <f>VLOOKUP(F54,'Tipo Parada Fab 1'!$A$2:$B$27,2,FALSE())</f>
        <v>NP</v>
      </c>
      <c r="H54" s="20" t="str">
        <f t="shared" si="2"/>
        <v/>
      </c>
      <c r="I54" s="20">
        <f t="shared" si="3"/>
        <v>0.13680555555555601</v>
      </c>
    </row>
    <row r="55" spans="1:9" x14ac:dyDescent="0.3">
      <c r="A55" s="18" t="s">
        <v>31</v>
      </c>
      <c r="B55" s="19">
        <v>45040</v>
      </c>
      <c r="C55" s="20">
        <v>0.74861111111111101</v>
      </c>
      <c r="D55" s="20">
        <v>0.8125</v>
      </c>
      <c r="E55" s="20">
        <v>6.3888888888888995E-2</v>
      </c>
      <c r="F55" s="21" t="s">
        <v>32</v>
      </c>
      <c r="G55" t="str">
        <f>VLOOKUP(F55,'Tipo Parada Fab 1'!$A$2:$B$27,2,FALSE())</f>
        <v>P</v>
      </c>
      <c r="H55" s="20">
        <f t="shared" si="2"/>
        <v>6.3888888888888995E-2</v>
      </c>
      <c r="I55" s="20" t="str">
        <f t="shared" si="3"/>
        <v/>
      </c>
    </row>
    <row r="56" spans="1:9" x14ac:dyDescent="0.3">
      <c r="A56" s="18" t="s">
        <v>31</v>
      </c>
      <c r="B56" s="19">
        <v>45040</v>
      </c>
      <c r="C56" s="20">
        <v>0.8125</v>
      </c>
      <c r="D56" s="20">
        <v>0.875694444444444</v>
      </c>
      <c r="E56" s="20">
        <v>6.31944444444444E-2</v>
      </c>
      <c r="F56" s="21" t="s">
        <v>32</v>
      </c>
      <c r="G56" t="str">
        <f>VLOOKUP(F56,'Tipo Parada Fab 1'!$A$2:$B$27,2,FALSE())</f>
        <v>P</v>
      </c>
      <c r="H56" s="20">
        <f t="shared" si="2"/>
        <v>6.31944444444444E-2</v>
      </c>
      <c r="I56" s="20" t="str">
        <f t="shared" si="3"/>
        <v/>
      </c>
    </row>
    <row r="57" spans="1:9" x14ac:dyDescent="0.3">
      <c r="A57" s="18" t="s">
        <v>31</v>
      </c>
      <c r="B57" s="19">
        <v>45040</v>
      </c>
      <c r="C57" s="20">
        <v>0.94513888888888897</v>
      </c>
      <c r="D57" s="20">
        <v>3.8194444444444399E-2</v>
      </c>
      <c r="E57" s="20">
        <v>9.30555555555556E-2</v>
      </c>
      <c r="F57" s="21" t="s">
        <v>34</v>
      </c>
      <c r="G57" t="str">
        <f>VLOOKUP(F57,'Tipo Parada Fab 1'!$A$2:$B$27,2,FALSE())</f>
        <v>NP</v>
      </c>
      <c r="H57" s="20" t="str">
        <f t="shared" si="2"/>
        <v/>
      </c>
      <c r="I57" s="20">
        <f t="shared" si="3"/>
        <v>9.30555555555556E-2</v>
      </c>
    </row>
    <row r="58" spans="1:9" x14ac:dyDescent="0.3">
      <c r="A58" s="18" t="s">
        <v>31</v>
      </c>
      <c r="B58" s="19">
        <v>45041</v>
      </c>
      <c r="C58" s="20">
        <v>0.74861111111111101</v>
      </c>
      <c r="D58" s="20">
        <v>0.8125</v>
      </c>
      <c r="E58" s="20">
        <v>6.3888888888888995E-2</v>
      </c>
      <c r="F58" s="21" t="s">
        <v>32</v>
      </c>
      <c r="G58" t="str">
        <f>VLOOKUP(F58,'Tipo Parada Fab 1'!$A$2:$B$27,2,FALSE())</f>
        <v>P</v>
      </c>
      <c r="H58" s="20">
        <f t="shared" si="2"/>
        <v>6.3888888888888995E-2</v>
      </c>
      <c r="I58" s="20" t="str">
        <f t="shared" si="3"/>
        <v/>
      </c>
    </row>
    <row r="59" spans="1:9" x14ac:dyDescent="0.3">
      <c r="A59" s="18" t="s">
        <v>31</v>
      </c>
      <c r="B59" s="19">
        <v>45041</v>
      </c>
      <c r="C59" s="20">
        <v>0.8125</v>
      </c>
      <c r="D59" s="20">
        <v>0.87847222222222199</v>
      </c>
      <c r="E59" s="20">
        <v>6.5972222222222196E-2</v>
      </c>
      <c r="F59" s="21" t="s">
        <v>32</v>
      </c>
      <c r="G59" t="str">
        <f>VLOOKUP(F59,'Tipo Parada Fab 1'!$A$2:$B$27,2,FALSE())</f>
        <v>P</v>
      </c>
      <c r="H59" s="20">
        <f t="shared" si="2"/>
        <v>6.5972222222222196E-2</v>
      </c>
      <c r="I59" s="20" t="str">
        <f t="shared" si="3"/>
        <v/>
      </c>
    </row>
    <row r="60" spans="1:9" x14ac:dyDescent="0.3">
      <c r="A60" s="18" t="s">
        <v>31</v>
      </c>
      <c r="B60" s="19">
        <v>45042</v>
      </c>
      <c r="C60" s="20">
        <v>0.74861111111111101</v>
      </c>
      <c r="D60" s="20">
        <v>0.8125</v>
      </c>
      <c r="E60" s="20">
        <v>6.3888888888888995E-2</v>
      </c>
      <c r="F60" s="21" t="s">
        <v>32</v>
      </c>
      <c r="G60" t="str">
        <f>VLOOKUP(F60,'Tipo Parada Fab 1'!$A$2:$B$27,2,FALSE())</f>
        <v>P</v>
      </c>
      <c r="H60" s="20">
        <f t="shared" si="2"/>
        <v>6.3888888888888995E-2</v>
      </c>
      <c r="I60" s="20" t="str">
        <f t="shared" si="3"/>
        <v/>
      </c>
    </row>
    <row r="61" spans="1:9" x14ac:dyDescent="0.3">
      <c r="A61" s="18" t="s">
        <v>31</v>
      </c>
      <c r="B61" s="19">
        <v>45042</v>
      </c>
      <c r="C61" s="20">
        <v>0.8125</v>
      </c>
      <c r="D61" s="20">
        <v>0.87708333333333299</v>
      </c>
      <c r="E61" s="20">
        <v>6.4583333333333298E-2</v>
      </c>
      <c r="F61" s="21" t="s">
        <v>32</v>
      </c>
      <c r="G61" t="str">
        <f>VLOOKUP(F61,'Tipo Parada Fab 1'!$A$2:$B$27,2,FALSE())</f>
        <v>P</v>
      </c>
      <c r="H61" s="20">
        <f t="shared" si="2"/>
        <v>6.4583333333333298E-2</v>
      </c>
      <c r="I61" s="20" t="str">
        <f t="shared" si="3"/>
        <v/>
      </c>
    </row>
    <row r="62" spans="1:9" x14ac:dyDescent="0.3">
      <c r="A62" s="18" t="s">
        <v>31</v>
      </c>
      <c r="B62" s="19">
        <v>45043</v>
      </c>
      <c r="C62" s="20">
        <v>0.74861111111111101</v>
      </c>
      <c r="D62" s="20">
        <v>0.8125</v>
      </c>
      <c r="E62" s="20">
        <v>6.3888888888888995E-2</v>
      </c>
      <c r="F62" s="21" t="s">
        <v>32</v>
      </c>
      <c r="G62" t="str">
        <f>VLOOKUP(F62,'Tipo Parada Fab 1'!$A$2:$B$27,2,FALSE())</f>
        <v>P</v>
      </c>
      <c r="H62" s="20">
        <f t="shared" si="2"/>
        <v>6.3888888888888995E-2</v>
      </c>
      <c r="I62" s="20" t="str">
        <f t="shared" si="3"/>
        <v/>
      </c>
    </row>
    <row r="63" spans="1:9" x14ac:dyDescent="0.3">
      <c r="A63" s="18" t="s">
        <v>31</v>
      </c>
      <c r="B63" s="19">
        <v>45043</v>
      </c>
      <c r="C63" s="20">
        <v>0.8125</v>
      </c>
      <c r="D63" s="20">
        <v>0.875694444444444</v>
      </c>
      <c r="E63" s="20">
        <v>6.31944444444444E-2</v>
      </c>
      <c r="F63" s="21" t="s">
        <v>32</v>
      </c>
      <c r="G63" t="str">
        <f>VLOOKUP(F63,'Tipo Parada Fab 1'!$A$2:$B$27,2,FALSE())</f>
        <v>P</v>
      </c>
      <c r="H63" s="20">
        <f t="shared" si="2"/>
        <v>6.31944444444444E-2</v>
      </c>
      <c r="I63" s="20" t="str">
        <f t="shared" si="3"/>
        <v/>
      </c>
    </row>
    <row r="64" spans="1:9" x14ac:dyDescent="0.3">
      <c r="A64" s="18" t="s">
        <v>31</v>
      </c>
      <c r="B64" s="19">
        <v>45043</v>
      </c>
      <c r="C64" s="20">
        <v>0.875694444444444</v>
      </c>
      <c r="D64" s="20">
        <v>0.90763888888888899</v>
      </c>
      <c r="E64" s="20">
        <v>3.1944444444444602E-2</v>
      </c>
      <c r="F64" s="21" t="s">
        <v>40</v>
      </c>
      <c r="G64" t="str">
        <f>VLOOKUP(F64,'Tipo Parada Fab 1'!$A$2:$B$27,2,FALSE())</f>
        <v>NP</v>
      </c>
      <c r="H64" s="20" t="str">
        <f t="shared" si="2"/>
        <v/>
      </c>
      <c r="I64" s="20">
        <f t="shared" si="3"/>
        <v>3.1944444444444602E-2</v>
      </c>
    </row>
    <row r="65" spans="1:9" x14ac:dyDescent="0.3">
      <c r="A65" s="18" t="s">
        <v>31</v>
      </c>
      <c r="B65" s="19">
        <v>45044</v>
      </c>
      <c r="C65" s="20">
        <v>0.74861111111111101</v>
      </c>
      <c r="D65" s="20">
        <v>0.8125</v>
      </c>
      <c r="E65" s="20">
        <v>6.3888888888888995E-2</v>
      </c>
      <c r="F65" s="21" t="s">
        <v>32</v>
      </c>
      <c r="G65" t="str">
        <f>VLOOKUP(F65,'Tipo Parada Fab 1'!$A$2:$B$27,2,FALSE())</f>
        <v>P</v>
      </c>
      <c r="H65" s="20">
        <f t="shared" si="2"/>
        <v>6.3888888888888995E-2</v>
      </c>
      <c r="I65" s="20" t="str">
        <f t="shared" si="3"/>
        <v/>
      </c>
    </row>
    <row r="66" spans="1:9" x14ac:dyDescent="0.3">
      <c r="A66" s="18" t="s">
        <v>31</v>
      </c>
      <c r="B66" s="19">
        <v>45044</v>
      </c>
      <c r="C66" s="20">
        <v>0.8125</v>
      </c>
      <c r="D66" s="20">
        <v>0.875694444444444</v>
      </c>
      <c r="E66" s="20">
        <v>6.31944444444444E-2</v>
      </c>
      <c r="F66" s="21" t="s">
        <v>32</v>
      </c>
      <c r="G66" t="str">
        <f>VLOOKUP(F66,'Tipo Parada Fab 1'!$A$2:$B$27,2,FALSE())</f>
        <v>P</v>
      </c>
      <c r="H66" s="20">
        <f t="shared" ref="H66:H97" si="4">IF(G66="P",E66,"")</f>
        <v>6.31944444444444E-2</v>
      </c>
      <c r="I66" s="20" t="str">
        <f t="shared" si="3"/>
        <v/>
      </c>
    </row>
    <row r="67" spans="1:9" x14ac:dyDescent="0.3">
      <c r="A67" s="18" t="s">
        <v>31</v>
      </c>
      <c r="B67" s="19">
        <v>45045</v>
      </c>
      <c r="C67" s="20">
        <v>0.88124999999999998</v>
      </c>
      <c r="D67" s="20">
        <v>0.88333333333333297</v>
      </c>
      <c r="E67" s="20">
        <v>2.0833333333333298E-3</v>
      </c>
      <c r="F67" s="21" t="s">
        <v>43</v>
      </c>
      <c r="G67" t="str">
        <f>VLOOKUP(F67,'Tipo Parada Fab 1'!$A$2:$B$27,2,FALSE())</f>
        <v>NP</v>
      </c>
      <c r="H67" s="20" t="str">
        <f t="shared" si="4"/>
        <v/>
      </c>
      <c r="I67" s="20">
        <f t="shared" si="3"/>
        <v>2.0833333333333298E-3</v>
      </c>
    </row>
    <row r="68" spans="1:9" x14ac:dyDescent="0.3">
      <c r="A68" s="18" t="s">
        <v>31</v>
      </c>
      <c r="B68" s="19">
        <v>45046</v>
      </c>
      <c r="C68" s="20">
        <v>0.75833333333333297</v>
      </c>
      <c r="D68" s="20">
        <v>0.8125</v>
      </c>
      <c r="E68" s="20">
        <v>5.4166666666666703E-2</v>
      </c>
      <c r="F68" s="21" t="s">
        <v>45</v>
      </c>
      <c r="G68" t="str">
        <f>VLOOKUP(F68,'Tipo Parada Fab 1'!$A$2:$B$27,2,FALSE())</f>
        <v>NP</v>
      </c>
      <c r="H68" s="20" t="str">
        <f t="shared" si="4"/>
        <v/>
      </c>
      <c r="I68" s="20">
        <f t="shared" si="3"/>
        <v>5.4166666666666703E-2</v>
      </c>
    </row>
    <row r="69" spans="1:9" x14ac:dyDescent="0.3">
      <c r="E69" s="22">
        <f>SUM(E2:E68)</f>
        <v>4.34791666666667</v>
      </c>
      <c r="H69" s="22">
        <f>SUM(H2:H68)</f>
        <v>3.2618055555555587</v>
      </c>
      <c r="I69" s="22">
        <f>SUM(I2:I68)</f>
        <v>1.0861111111111119</v>
      </c>
    </row>
    <row r="71" spans="1:9" x14ac:dyDescent="0.3">
      <c r="E71" s="23"/>
      <c r="H71" s="23"/>
      <c r="I71" s="2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2"/>
  <sheetViews>
    <sheetView topLeftCell="A52" zoomScaleNormal="100" workbookViewId="0">
      <selection activeCell="H72" sqref="H72"/>
    </sheetView>
  </sheetViews>
  <sheetFormatPr defaultColWidth="8.44140625" defaultRowHeight="15.05" x14ac:dyDescent="0.3"/>
  <cols>
    <col min="2" max="2" width="10.5546875" customWidth="1"/>
    <col min="6" max="6" width="42.5546875" customWidth="1"/>
  </cols>
  <sheetData>
    <row r="1" spans="1:9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G1" s="17" t="s">
        <v>28</v>
      </c>
      <c r="H1" s="17" t="s">
        <v>29</v>
      </c>
      <c r="I1" s="17" t="s">
        <v>30</v>
      </c>
    </row>
    <row r="2" spans="1:9" x14ac:dyDescent="0.3">
      <c r="A2" s="18" t="s">
        <v>46</v>
      </c>
      <c r="B2" s="19">
        <v>45019</v>
      </c>
      <c r="C2" s="20">
        <v>0.74861111111111101</v>
      </c>
      <c r="D2" s="20">
        <v>0.8125</v>
      </c>
      <c r="E2" s="20">
        <v>6.3888888888888995E-2</v>
      </c>
      <c r="F2" s="21" t="s">
        <v>32</v>
      </c>
      <c r="G2" t="str">
        <f>VLOOKUP(F2,'Tipo Parada Fab 1'!$A$2:$B$27,2,FALSE())</f>
        <v>P</v>
      </c>
      <c r="H2" s="20">
        <f t="shared" ref="H2:H33" si="0">IF(G2="P",E2,"")</f>
        <v>6.3888888888888995E-2</v>
      </c>
      <c r="I2" s="20" t="str">
        <f t="shared" ref="I2:I33" si="1">IF(G2="NP",E2,"")</f>
        <v/>
      </c>
    </row>
    <row r="3" spans="1:9" x14ac:dyDescent="0.3">
      <c r="A3" s="18" t="s">
        <v>46</v>
      </c>
      <c r="B3" s="19">
        <v>45019</v>
      </c>
      <c r="C3" s="20">
        <v>0.8125</v>
      </c>
      <c r="D3" s="20">
        <v>0.875694444444444</v>
      </c>
      <c r="E3" s="20">
        <v>6.31944444444444E-2</v>
      </c>
      <c r="F3" s="21" t="s">
        <v>32</v>
      </c>
      <c r="G3" t="str">
        <f>VLOOKUP(F3,'Tipo Parada Fab 1'!$A$2:$B$27,2,FALSE())</f>
        <v>P</v>
      </c>
      <c r="H3" s="20">
        <f t="shared" si="0"/>
        <v>6.31944444444444E-2</v>
      </c>
      <c r="I3" s="20" t="str">
        <f t="shared" si="1"/>
        <v/>
      </c>
    </row>
    <row r="4" spans="1:9" x14ac:dyDescent="0.3">
      <c r="A4" s="18" t="s">
        <v>46</v>
      </c>
      <c r="B4" s="19">
        <v>45020</v>
      </c>
      <c r="C4" s="20">
        <v>0.74861111111111101</v>
      </c>
      <c r="D4" s="20">
        <v>0.8125</v>
      </c>
      <c r="E4" s="20">
        <v>6.3888888888888995E-2</v>
      </c>
      <c r="F4" s="21" t="s">
        <v>32</v>
      </c>
      <c r="G4" t="str">
        <f>VLOOKUP(F4,'Tipo Parada Fab 1'!$A$2:$B$27,2,FALSE())</f>
        <v>P</v>
      </c>
      <c r="H4" s="20">
        <f t="shared" si="0"/>
        <v>6.3888888888888995E-2</v>
      </c>
      <c r="I4" s="20" t="str">
        <f t="shared" si="1"/>
        <v/>
      </c>
    </row>
    <row r="5" spans="1:9" x14ac:dyDescent="0.3">
      <c r="A5" s="18" t="s">
        <v>46</v>
      </c>
      <c r="B5" s="19">
        <v>45020</v>
      </c>
      <c r="C5" s="20">
        <v>0.8125</v>
      </c>
      <c r="D5" s="20">
        <v>0.875</v>
      </c>
      <c r="E5" s="20">
        <v>6.25E-2</v>
      </c>
      <c r="F5" s="21" t="s">
        <v>32</v>
      </c>
      <c r="G5" t="str">
        <f>VLOOKUP(F5,'Tipo Parada Fab 1'!$A$2:$B$27,2,FALSE())</f>
        <v>P</v>
      </c>
      <c r="H5" s="20">
        <f t="shared" si="0"/>
        <v>6.25E-2</v>
      </c>
      <c r="I5" s="20" t="str">
        <f t="shared" si="1"/>
        <v/>
      </c>
    </row>
    <row r="6" spans="1:9" x14ac:dyDescent="0.3">
      <c r="A6" s="18" t="s">
        <v>46</v>
      </c>
      <c r="B6" s="19">
        <v>45020</v>
      </c>
      <c r="C6" s="20">
        <v>0.875</v>
      </c>
      <c r="D6" s="20">
        <v>0.87986111111111098</v>
      </c>
      <c r="E6" s="20">
        <v>4.8611111111110904E-3</v>
      </c>
      <c r="F6" s="21" t="s">
        <v>47</v>
      </c>
      <c r="G6" t="str">
        <f>VLOOKUP(F6,'Tipo Parada Fab 1'!$A$2:$B$27,2,FALSE())</f>
        <v>NP</v>
      </c>
      <c r="H6" s="20" t="str">
        <f t="shared" si="0"/>
        <v/>
      </c>
      <c r="I6" s="20">
        <f t="shared" si="1"/>
        <v>4.8611111111110904E-3</v>
      </c>
    </row>
    <row r="7" spans="1:9" x14ac:dyDescent="0.3">
      <c r="A7" s="18" t="s">
        <v>46</v>
      </c>
      <c r="B7" s="19">
        <v>45021</v>
      </c>
      <c r="C7" s="20">
        <v>0.74861111111111101</v>
      </c>
      <c r="D7" s="20">
        <v>0.8125</v>
      </c>
      <c r="E7" s="20">
        <v>6.3888888888888995E-2</v>
      </c>
      <c r="F7" s="21" t="s">
        <v>32</v>
      </c>
      <c r="G7" t="str">
        <f>VLOOKUP(F7,'Tipo Parada Fab 1'!$A$2:$B$27,2,FALSE())</f>
        <v>P</v>
      </c>
      <c r="H7" s="20">
        <f t="shared" si="0"/>
        <v>6.3888888888888995E-2</v>
      </c>
      <c r="I7" s="20" t="str">
        <f t="shared" si="1"/>
        <v/>
      </c>
    </row>
    <row r="8" spans="1:9" x14ac:dyDescent="0.3">
      <c r="A8" s="18" t="s">
        <v>46</v>
      </c>
      <c r="B8" s="19">
        <v>45021</v>
      </c>
      <c r="C8" s="20">
        <v>0.8125</v>
      </c>
      <c r="D8" s="20">
        <v>0.875694444444444</v>
      </c>
      <c r="E8" s="20">
        <v>6.31944444444444E-2</v>
      </c>
      <c r="F8" s="21" t="s">
        <v>32</v>
      </c>
      <c r="G8" t="str">
        <f>VLOOKUP(F8,'Tipo Parada Fab 1'!$A$2:$B$27,2,FALSE())</f>
        <v>P</v>
      </c>
      <c r="H8" s="20">
        <f t="shared" si="0"/>
        <v>6.31944444444444E-2</v>
      </c>
      <c r="I8" s="20" t="str">
        <f t="shared" si="1"/>
        <v/>
      </c>
    </row>
    <row r="9" spans="1:9" x14ac:dyDescent="0.3">
      <c r="A9" s="18" t="s">
        <v>46</v>
      </c>
      <c r="B9" s="19">
        <v>45022</v>
      </c>
      <c r="C9" s="20">
        <v>0.74861111111111101</v>
      </c>
      <c r="D9" s="20">
        <v>0.8125</v>
      </c>
      <c r="E9" s="20">
        <v>6.3888888888888995E-2</v>
      </c>
      <c r="F9" s="21" t="s">
        <v>32</v>
      </c>
      <c r="G9" t="str">
        <f>VLOOKUP(F9,'Tipo Parada Fab 1'!$A$2:$B$27,2,FALSE())</f>
        <v>P</v>
      </c>
      <c r="H9" s="20">
        <f t="shared" si="0"/>
        <v>6.3888888888888995E-2</v>
      </c>
      <c r="I9" s="20" t="str">
        <f t="shared" si="1"/>
        <v/>
      </c>
    </row>
    <row r="10" spans="1:9" x14ac:dyDescent="0.3">
      <c r="A10" s="18" t="s">
        <v>46</v>
      </c>
      <c r="B10" s="19">
        <v>45022</v>
      </c>
      <c r="C10" s="20">
        <v>0.8125</v>
      </c>
      <c r="D10" s="20">
        <v>0.875694444444444</v>
      </c>
      <c r="E10" s="20">
        <v>6.31944444444444E-2</v>
      </c>
      <c r="F10" s="21" t="s">
        <v>32</v>
      </c>
      <c r="G10" t="str">
        <f>VLOOKUP(F10,'Tipo Parada Fab 1'!$A$2:$B$27,2,FALSE())</f>
        <v>P</v>
      </c>
      <c r="H10" s="20">
        <f t="shared" si="0"/>
        <v>6.31944444444444E-2</v>
      </c>
      <c r="I10" s="20" t="str">
        <f t="shared" si="1"/>
        <v/>
      </c>
    </row>
    <row r="11" spans="1:9" x14ac:dyDescent="0.3">
      <c r="A11" s="18" t="s">
        <v>46</v>
      </c>
      <c r="B11" s="19">
        <v>45023</v>
      </c>
      <c r="C11" s="20">
        <v>7.5694444444444398E-2</v>
      </c>
      <c r="D11" s="20">
        <v>8.5416666666666696E-2</v>
      </c>
      <c r="E11" s="20">
        <v>9.7222222222222206E-3</v>
      </c>
      <c r="F11" s="21" t="s">
        <v>41</v>
      </c>
      <c r="G11" t="str">
        <f>VLOOKUP(F11,'Tipo Parada Fab 1'!$A$2:$B$27,2,FALSE())</f>
        <v>NP</v>
      </c>
      <c r="H11" s="20" t="str">
        <f t="shared" si="0"/>
        <v/>
      </c>
      <c r="I11" s="20">
        <f t="shared" si="1"/>
        <v>9.7222222222222206E-3</v>
      </c>
    </row>
    <row r="12" spans="1:9" x14ac:dyDescent="0.3">
      <c r="A12" s="18" t="s">
        <v>46</v>
      </c>
      <c r="B12" s="19">
        <v>45023</v>
      </c>
      <c r="C12" s="20">
        <v>0.227777777777778</v>
      </c>
      <c r="D12" s="20">
        <v>0.3125</v>
      </c>
      <c r="E12" s="20">
        <v>8.4722222222222199E-2</v>
      </c>
      <c r="F12" s="21" t="s">
        <v>48</v>
      </c>
      <c r="G12" t="str">
        <f>VLOOKUP(F12,'Tipo Parada Fab 1'!$A$2:$B$27,2,FALSE())</f>
        <v>NP</v>
      </c>
      <c r="H12" s="20" t="str">
        <f t="shared" si="0"/>
        <v/>
      </c>
      <c r="I12" s="20">
        <f t="shared" si="1"/>
        <v>8.4722222222222199E-2</v>
      </c>
    </row>
    <row r="13" spans="1:9" x14ac:dyDescent="0.3">
      <c r="A13" s="18" t="s">
        <v>46</v>
      </c>
      <c r="B13" s="19">
        <v>45023</v>
      </c>
      <c r="C13" s="20">
        <v>0.3125</v>
      </c>
      <c r="D13" s="20">
        <v>0.5625</v>
      </c>
      <c r="E13" s="20">
        <v>0.25</v>
      </c>
      <c r="F13" s="21" t="s">
        <v>48</v>
      </c>
      <c r="G13" t="str">
        <f>VLOOKUP(F13,'Tipo Parada Fab 1'!$A$2:$B$27,2,FALSE())</f>
        <v>NP</v>
      </c>
      <c r="H13" s="20" t="str">
        <f t="shared" si="0"/>
        <v/>
      </c>
      <c r="I13" s="20">
        <f t="shared" si="1"/>
        <v>0.25</v>
      </c>
    </row>
    <row r="14" spans="1:9" x14ac:dyDescent="0.3">
      <c r="A14" s="18" t="s">
        <v>46</v>
      </c>
      <c r="B14" s="19">
        <v>45023</v>
      </c>
      <c r="C14" s="20">
        <v>0.5625</v>
      </c>
      <c r="D14" s="20">
        <v>0.8125</v>
      </c>
      <c r="E14" s="20">
        <v>0.25</v>
      </c>
      <c r="F14" s="21" t="s">
        <v>48</v>
      </c>
      <c r="G14" t="str">
        <f>VLOOKUP(F14,'Tipo Parada Fab 1'!$A$2:$B$27,2,FALSE())</f>
        <v>NP</v>
      </c>
      <c r="H14" s="20" t="str">
        <f t="shared" si="0"/>
        <v/>
      </c>
      <c r="I14" s="20">
        <f t="shared" si="1"/>
        <v>0.25</v>
      </c>
    </row>
    <row r="15" spans="1:9" x14ac:dyDescent="0.3">
      <c r="A15" s="18" t="s">
        <v>46</v>
      </c>
      <c r="B15" s="19">
        <v>45023</v>
      </c>
      <c r="C15" s="20">
        <v>0.8125</v>
      </c>
      <c r="D15" s="20">
        <v>6.25E-2</v>
      </c>
      <c r="E15" s="20">
        <v>0.25</v>
      </c>
      <c r="F15" s="21" t="s">
        <v>48</v>
      </c>
      <c r="G15" t="str">
        <f>VLOOKUP(F15,'Tipo Parada Fab 1'!$A$2:$B$27,2,FALSE())</f>
        <v>NP</v>
      </c>
      <c r="H15" s="20" t="str">
        <f t="shared" si="0"/>
        <v/>
      </c>
      <c r="I15" s="20">
        <f t="shared" si="1"/>
        <v>0.25</v>
      </c>
    </row>
    <row r="16" spans="1:9" x14ac:dyDescent="0.3">
      <c r="A16" s="18" t="s">
        <v>46</v>
      </c>
      <c r="B16" s="19">
        <v>45024</v>
      </c>
      <c r="C16" s="20">
        <v>6.25E-2</v>
      </c>
      <c r="D16" s="20">
        <v>0.104861111111111</v>
      </c>
      <c r="E16" s="20">
        <v>4.2361111111111099E-2</v>
      </c>
      <c r="F16" s="21" t="s">
        <v>48</v>
      </c>
      <c r="G16" t="str">
        <f>VLOOKUP(F16,'Tipo Parada Fab 1'!$A$2:$B$27,2,FALSE())</f>
        <v>NP</v>
      </c>
      <c r="H16" s="20" t="str">
        <f t="shared" si="0"/>
        <v/>
      </c>
      <c r="I16" s="20">
        <f t="shared" si="1"/>
        <v>4.2361111111111099E-2</v>
      </c>
    </row>
    <row r="17" spans="1:9" x14ac:dyDescent="0.3">
      <c r="A17" s="18" t="s">
        <v>46</v>
      </c>
      <c r="B17" s="19">
        <v>45024</v>
      </c>
      <c r="C17" s="20">
        <v>0.27916666666666701</v>
      </c>
      <c r="D17" s="20">
        <v>0.27986111111111101</v>
      </c>
      <c r="E17" s="20">
        <v>6.9444444444444198E-4</v>
      </c>
      <c r="F17" s="21" t="s">
        <v>35</v>
      </c>
      <c r="G17" t="str">
        <f>VLOOKUP(F17,'Tipo Parada Fab 1'!$A$2:$B$27,2,FALSE())</f>
        <v>NP</v>
      </c>
      <c r="H17" s="20" t="str">
        <f t="shared" si="0"/>
        <v/>
      </c>
      <c r="I17" s="20">
        <f t="shared" si="1"/>
        <v>6.9444444444444198E-4</v>
      </c>
    </row>
    <row r="18" spans="1:9" x14ac:dyDescent="0.3">
      <c r="A18" s="18" t="s">
        <v>46</v>
      </c>
      <c r="B18" s="19">
        <v>45024</v>
      </c>
      <c r="C18" s="20">
        <v>0.49375000000000002</v>
      </c>
      <c r="D18" s="20">
        <v>0.5625</v>
      </c>
      <c r="E18" s="20">
        <v>6.8750000000000006E-2</v>
      </c>
      <c r="F18" s="21" t="s">
        <v>49</v>
      </c>
      <c r="G18" t="str">
        <f>VLOOKUP(F18,'Tipo Parada Fab 1'!$A$2:$B$27,2,FALSE())</f>
        <v>NP</v>
      </c>
      <c r="H18" s="20" t="str">
        <f t="shared" si="0"/>
        <v/>
      </c>
      <c r="I18" s="20">
        <f t="shared" si="1"/>
        <v>6.8750000000000006E-2</v>
      </c>
    </row>
    <row r="19" spans="1:9" x14ac:dyDescent="0.3">
      <c r="A19" s="18" t="s">
        <v>46</v>
      </c>
      <c r="B19" s="19">
        <v>45024</v>
      </c>
      <c r="C19" s="20">
        <v>0.5625</v>
      </c>
      <c r="D19" s="20">
        <v>0.60069444444444398</v>
      </c>
      <c r="E19" s="20">
        <v>3.8194444444444399E-2</v>
      </c>
      <c r="F19" s="21" t="s">
        <v>49</v>
      </c>
      <c r="G19" t="str">
        <f>VLOOKUP(F19,'Tipo Parada Fab 1'!$A$2:$B$27,2,FALSE())</f>
        <v>NP</v>
      </c>
      <c r="H19" s="20" t="str">
        <f t="shared" si="0"/>
        <v/>
      </c>
      <c r="I19" s="20">
        <f t="shared" si="1"/>
        <v>3.8194444444444399E-2</v>
      </c>
    </row>
    <row r="20" spans="1:9" x14ac:dyDescent="0.3">
      <c r="A20" s="18" t="s">
        <v>46</v>
      </c>
      <c r="B20" s="19">
        <v>45026</v>
      </c>
      <c r="C20" s="20">
        <v>0.65138888888888902</v>
      </c>
      <c r="D20" s="20">
        <v>0.655555555555556</v>
      </c>
      <c r="E20" s="20">
        <v>4.1666666666666501E-3</v>
      </c>
      <c r="F20" s="21" t="s">
        <v>43</v>
      </c>
      <c r="G20" t="str">
        <f>VLOOKUP(F20,'Tipo Parada Fab 1'!$A$2:$B$27,2,FALSE())</f>
        <v>NP</v>
      </c>
      <c r="H20" s="20" t="str">
        <f t="shared" si="0"/>
        <v/>
      </c>
      <c r="I20" s="20">
        <f t="shared" si="1"/>
        <v>4.1666666666666501E-3</v>
      </c>
    </row>
    <row r="21" spans="1:9" x14ac:dyDescent="0.3">
      <c r="A21" s="18" t="s">
        <v>46</v>
      </c>
      <c r="B21" s="19">
        <v>45026</v>
      </c>
      <c r="C21" s="20">
        <v>0.74861111111111101</v>
      </c>
      <c r="D21" s="20">
        <v>0.8125</v>
      </c>
      <c r="E21" s="20">
        <v>6.3888888888888995E-2</v>
      </c>
      <c r="F21" s="21" t="s">
        <v>32</v>
      </c>
      <c r="G21" t="str">
        <f>VLOOKUP(F21,'Tipo Parada Fab 1'!$A$2:$B$27,2,FALSE())</f>
        <v>P</v>
      </c>
      <c r="H21" s="20">
        <f t="shared" si="0"/>
        <v>6.3888888888888995E-2</v>
      </c>
      <c r="I21" s="20" t="str">
        <f t="shared" si="1"/>
        <v/>
      </c>
    </row>
    <row r="22" spans="1:9" x14ac:dyDescent="0.3">
      <c r="A22" s="18" t="s">
        <v>46</v>
      </c>
      <c r="B22" s="19">
        <v>45026</v>
      </c>
      <c r="C22" s="20">
        <v>0.74097222222222203</v>
      </c>
      <c r="D22" s="20">
        <v>0.74236111111111103</v>
      </c>
      <c r="E22" s="20">
        <v>1.3888888888888801E-3</v>
      </c>
      <c r="F22" s="21" t="s">
        <v>43</v>
      </c>
      <c r="G22" t="str">
        <f>VLOOKUP(F22,'Tipo Parada Fab 1'!$A$2:$B$27,2,FALSE())</f>
        <v>NP</v>
      </c>
      <c r="H22" s="20" t="str">
        <f t="shared" si="0"/>
        <v/>
      </c>
      <c r="I22" s="20">
        <f t="shared" si="1"/>
        <v>1.3888888888888801E-3</v>
      </c>
    </row>
    <row r="23" spans="1:9" x14ac:dyDescent="0.3">
      <c r="A23" s="18" t="s">
        <v>46</v>
      </c>
      <c r="B23" s="19">
        <v>45026</v>
      </c>
      <c r="C23" s="20">
        <v>0.8125</v>
      </c>
      <c r="D23" s="20">
        <v>0.875694444444444</v>
      </c>
      <c r="E23" s="20">
        <v>6.31944444444444E-2</v>
      </c>
      <c r="F23" s="21" t="s">
        <v>32</v>
      </c>
      <c r="G23" t="str">
        <f>VLOOKUP(F23,'Tipo Parada Fab 1'!$A$2:$B$27,2,FALSE())</f>
        <v>P</v>
      </c>
      <c r="H23" s="20">
        <f t="shared" si="0"/>
        <v>6.31944444444444E-2</v>
      </c>
      <c r="I23" s="20" t="str">
        <f t="shared" si="1"/>
        <v/>
      </c>
    </row>
    <row r="24" spans="1:9" x14ac:dyDescent="0.3">
      <c r="A24" s="18" t="s">
        <v>46</v>
      </c>
      <c r="B24" s="19">
        <v>45026</v>
      </c>
      <c r="C24" s="20">
        <v>0.94097222222222199</v>
      </c>
      <c r="D24" s="20">
        <v>0.94305555555555598</v>
      </c>
      <c r="E24" s="20">
        <v>2.0833333333333298E-3</v>
      </c>
      <c r="F24" s="21" t="s">
        <v>43</v>
      </c>
      <c r="G24" t="str">
        <f>VLOOKUP(F24,'Tipo Parada Fab 1'!$A$2:$B$27,2,FALSE())</f>
        <v>NP</v>
      </c>
      <c r="H24" s="20" t="str">
        <f t="shared" si="0"/>
        <v/>
      </c>
      <c r="I24" s="20">
        <f t="shared" si="1"/>
        <v>2.0833333333333298E-3</v>
      </c>
    </row>
    <row r="25" spans="1:9" x14ac:dyDescent="0.3">
      <c r="A25" s="18" t="s">
        <v>46</v>
      </c>
      <c r="B25" s="19">
        <v>45027</v>
      </c>
      <c r="C25" s="20">
        <v>7.7083333333333295E-2</v>
      </c>
      <c r="D25" s="20">
        <v>7.9166666666666705E-2</v>
      </c>
      <c r="E25" s="20">
        <v>2.0833333333333298E-3</v>
      </c>
      <c r="F25" s="21" t="s">
        <v>43</v>
      </c>
      <c r="G25" t="str">
        <f>VLOOKUP(F25,'Tipo Parada Fab 1'!$A$2:$B$27,2,FALSE())</f>
        <v>NP</v>
      </c>
      <c r="H25" s="20" t="str">
        <f t="shared" si="0"/>
        <v/>
      </c>
      <c r="I25" s="20">
        <f t="shared" si="1"/>
        <v>2.0833333333333298E-3</v>
      </c>
    </row>
    <row r="26" spans="1:9" x14ac:dyDescent="0.3">
      <c r="A26" s="18" t="s">
        <v>46</v>
      </c>
      <c r="B26" s="19">
        <v>45027</v>
      </c>
      <c r="C26" s="20">
        <v>0.16666666666666699</v>
      </c>
      <c r="D26" s="20">
        <v>0.16875000000000001</v>
      </c>
      <c r="E26" s="20">
        <v>2.0833333333333298E-3</v>
      </c>
      <c r="F26" s="21" t="s">
        <v>43</v>
      </c>
      <c r="G26" t="str">
        <f>VLOOKUP(F26,'Tipo Parada Fab 1'!$A$2:$B$27,2,FALSE())</f>
        <v>NP</v>
      </c>
      <c r="H26" s="20" t="str">
        <f t="shared" si="0"/>
        <v/>
      </c>
      <c r="I26" s="20">
        <f t="shared" si="1"/>
        <v>2.0833333333333298E-3</v>
      </c>
    </row>
    <row r="27" spans="1:9" x14ac:dyDescent="0.3">
      <c r="A27" s="18" t="s">
        <v>46</v>
      </c>
      <c r="B27" s="19">
        <v>45027</v>
      </c>
      <c r="C27" s="20">
        <v>0.227083333333333</v>
      </c>
      <c r="D27" s="20">
        <v>0.22847222222222199</v>
      </c>
      <c r="E27" s="20">
        <v>1.3888888888888801E-3</v>
      </c>
      <c r="F27" s="21" t="s">
        <v>43</v>
      </c>
      <c r="G27" t="str">
        <f>VLOOKUP(F27,'Tipo Parada Fab 1'!$A$2:$B$27,2,FALSE())</f>
        <v>NP</v>
      </c>
      <c r="H27" s="20" t="str">
        <f t="shared" si="0"/>
        <v/>
      </c>
      <c r="I27" s="20">
        <f t="shared" si="1"/>
        <v>1.3888888888888801E-3</v>
      </c>
    </row>
    <row r="28" spans="1:9" x14ac:dyDescent="0.3">
      <c r="A28" s="18" t="s">
        <v>46</v>
      </c>
      <c r="B28" s="19">
        <v>45027</v>
      </c>
      <c r="C28" s="20">
        <v>0.74861111111111101</v>
      </c>
      <c r="D28" s="20">
        <v>0.8125</v>
      </c>
      <c r="E28" s="20">
        <v>6.3888888888888995E-2</v>
      </c>
      <c r="F28" s="21" t="s">
        <v>32</v>
      </c>
      <c r="G28" t="str">
        <f>VLOOKUP(F28,'Tipo Parada Fab 1'!$A$2:$B$27,2,FALSE())</f>
        <v>P</v>
      </c>
      <c r="H28" s="20">
        <f t="shared" si="0"/>
        <v>6.3888888888888995E-2</v>
      </c>
      <c r="I28" s="20" t="str">
        <f t="shared" si="1"/>
        <v/>
      </c>
    </row>
    <row r="29" spans="1:9" x14ac:dyDescent="0.3">
      <c r="A29" s="18" t="s">
        <v>46</v>
      </c>
      <c r="B29" s="19">
        <v>45027</v>
      </c>
      <c r="C29" s="20">
        <v>0.8125</v>
      </c>
      <c r="D29" s="20">
        <v>0.875694444444444</v>
      </c>
      <c r="E29" s="20">
        <v>6.31944444444444E-2</v>
      </c>
      <c r="F29" s="21" t="s">
        <v>32</v>
      </c>
      <c r="G29" t="str">
        <f>VLOOKUP(F29,'Tipo Parada Fab 1'!$A$2:$B$27,2,FALSE())</f>
        <v>P</v>
      </c>
      <c r="H29" s="20">
        <f t="shared" si="0"/>
        <v>6.31944444444444E-2</v>
      </c>
      <c r="I29" s="20" t="str">
        <f t="shared" si="1"/>
        <v/>
      </c>
    </row>
    <row r="30" spans="1:9" x14ac:dyDescent="0.3">
      <c r="A30" s="18" t="s">
        <v>46</v>
      </c>
      <c r="B30" s="19">
        <v>45028</v>
      </c>
      <c r="C30" s="20">
        <v>0.8125</v>
      </c>
      <c r="D30" s="20">
        <v>0.875694444444444</v>
      </c>
      <c r="E30" s="20">
        <v>6.31944444444444E-2</v>
      </c>
      <c r="F30" s="21" t="s">
        <v>32</v>
      </c>
      <c r="G30" t="str">
        <f>VLOOKUP(F30,'Tipo Parada Fab 1'!$A$2:$B$27,2,FALSE())</f>
        <v>P</v>
      </c>
      <c r="H30" s="20">
        <f t="shared" si="0"/>
        <v>6.31944444444444E-2</v>
      </c>
      <c r="I30" s="20" t="str">
        <f t="shared" si="1"/>
        <v/>
      </c>
    </row>
    <row r="31" spans="1:9" x14ac:dyDescent="0.3">
      <c r="A31" s="18" t="s">
        <v>46</v>
      </c>
      <c r="B31" s="19">
        <v>45028</v>
      </c>
      <c r="C31" s="20">
        <v>0.875694444444444</v>
      </c>
      <c r="D31" s="20">
        <v>0.89027777777777795</v>
      </c>
      <c r="E31" s="20">
        <v>1.4583333333333399E-2</v>
      </c>
      <c r="F31" s="21" t="s">
        <v>35</v>
      </c>
      <c r="G31" t="str">
        <f>VLOOKUP(F31,'Tipo Parada Fab 1'!$A$2:$B$27,2,FALSE())</f>
        <v>NP</v>
      </c>
      <c r="H31" s="20" t="str">
        <f t="shared" si="0"/>
        <v/>
      </c>
      <c r="I31" s="20">
        <f t="shared" si="1"/>
        <v>1.4583333333333399E-2</v>
      </c>
    </row>
    <row r="32" spans="1:9" x14ac:dyDescent="0.3">
      <c r="A32" s="18" t="s">
        <v>46</v>
      </c>
      <c r="B32" s="19">
        <v>45029</v>
      </c>
      <c r="C32" s="20">
        <v>0.74861111111111101</v>
      </c>
      <c r="D32" s="20">
        <v>0.8125</v>
      </c>
      <c r="E32" s="20">
        <v>6.3888888888888995E-2</v>
      </c>
      <c r="F32" s="21" t="s">
        <v>32</v>
      </c>
      <c r="G32" t="str">
        <f>VLOOKUP(F32,'Tipo Parada Fab 1'!$A$2:$B$27,2,FALSE())</f>
        <v>P</v>
      </c>
      <c r="H32" s="20">
        <f t="shared" si="0"/>
        <v>6.3888888888888995E-2</v>
      </c>
      <c r="I32" s="20" t="str">
        <f t="shared" si="1"/>
        <v/>
      </c>
    </row>
    <row r="33" spans="1:9" x14ac:dyDescent="0.3">
      <c r="A33" s="18" t="s">
        <v>46</v>
      </c>
      <c r="B33" s="19">
        <v>45029</v>
      </c>
      <c r="C33" s="20">
        <v>0.8125</v>
      </c>
      <c r="D33" s="20">
        <v>0.875694444444444</v>
      </c>
      <c r="E33" s="20">
        <v>6.31944444444444E-2</v>
      </c>
      <c r="F33" s="21" t="s">
        <v>32</v>
      </c>
      <c r="G33" t="str">
        <f>VLOOKUP(F33,'Tipo Parada Fab 1'!$A$2:$B$27,2,FALSE())</f>
        <v>P</v>
      </c>
      <c r="H33" s="20">
        <f t="shared" si="0"/>
        <v>6.31944444444444E-2</v>
      </c>
      <c r="I33" s="20" t="str">
        <f t="shared" si="1"/>
        <v/>
      </c>
    </row>
    <row r="34" spans="1:9" x14ac:dyDescent="0.3">
      <c r="A34" s="18" t="s">
        <v>46</v>
      </c>
      <c r="B34" s="19">
        <v>45030</v>
      </c>
      <c r="C34" s="20">
        <v>0.14444444444444399</v>
      </c>
      <c r="D34" s="20">
        <v>0.14652777777777801</v>
      </c>
      <c r="E34" s="20">
        <v>2.0833333333333298E-3</v>
      </c>
      <c r="F34" s="21" t="s">
        <v>43</v>
      </c>
      <c r="G34" t="str">
        <f>VLOOKUP(F34,'Tipo Parada Fab 1'!$A$2:$B$27,2,FALSE())</f>
        <v>NP</v>
      </c>
      <c r="H34" s="20" t="str">
        <f t="shared" ref="H34:H65" si="2">IF(G34="P",E34,"")</f>
        <v/>
      </c>
      <c r="I34" s="20">
        <f t="shared" ref="I34:I68" si="3">IF(G34="NP",E34,"")</f>
        <v>2.0833333333333298E-3</v>
      </c>
    </row>
    <row r="35" spans="1:9" x14ac:dyDescent="0.3">
      <c r="A35" s="18" t="s">
        <v>46</v>
      </c>
      <c r="B35" s="19">
        <v>45030</v>
      </c>
      <c r="C35" s="20">
        <v>0.240972222222222</v>
      </c>
      <c r="D35" s="20">
        <v>0.242361111111111</v>
      </c>
      <c r="E35" s="20">
        <v>1.3888888888888801E-3</v>
      </c>
      <c r="F35" s="21" t="s">
        <v>43</v>
      </c>
      <c r="G35" t="str">
        <f>VLOOKUP(F35,'Tipo Parada Fab 1'!$A$2:$B$27,2,FALSE())</f>
        <v>NP</v>
      </c>
      <c r="H35" s="20" t="str">
        <f t="shared" si="2"/>
        <v/>
      </c>
      <c r="I35" s="20">
        <f t="shared" si="3"/>
        <v>1.3888888888888801E-3</v>
      </c>
    </row>
    <row r="36" spans="1:9" x14ac:dyDescent="0.3">
      <c r="A36" s="18" t="s">
        <v>46</v>
      </c>
      <c r="B36" s="19">
        <v>45030</v>
      </c>
      <c r="C36" s="20">
        <v>0.74861111111111101</v>
      </c>
      <c r="D36" s="20">
        <v>0.8125</v>
      </c>
      <c r="E36" s="20">
        <v>6.3888888888888995E-2</v>
      </c>
      <c r="F36" s="21" t="s">
        <v>32</v>
      </c>
      <c r="G36" t="str">
        <f>VLOOKUP(F36,'Tipo Parada Fab 1'!$A$2:$B$27,2,FALSE())</f>
        <v>P</v>
      </c>
      <c r="H36" s="20">
        <f t="shared" si="2"/>
        <v>6.3888888888888995E-2</v>
      </c>
      <c r="I36" s="20" t="str">
        <f t="shared" si="3"/>
        <v/>
      </c>
    </row>
    <row r="37" spans="1:9" x14ac:dyDescent="0.3">
      <c r="A37" s="18" t="s">
        <v>46</v>
      </c>
      <c r="B37" s="19">
        <v>45030</v>
      </c>
      <c r="C37" s="20">
        <v>0.8125</v>
      </c>
      <c r="D37" s="20">
        <v>0.87777777777777799</v>
      </c>
      <c r="E37" s="20">
        <v>6.5277777777777796E-2</v>
      </c>
      <c r="F37" s="21" t="s">
        <v>32</v>
      </c>
      <c r="G37" t="str">
        <f>VLOOKUP(F37,'Tipo Parada Fab 1'!$A$2:$B$27,2,FALSE())</f>
        <v>P</v>
      </c>
      <c r="H37" s="20">
        <f t="shared" si="2"/>
        <v>6.5277777777777796E-2</v>
      </c>
      <c r="I37" s="20" t="str">
        <f t="shared" si="3"/>
        <v/>
      </c>
    </row>
    <row r="38" spans="1:9" x14ac:dyDescent="0.3">
      <c r="A38" s="18" t="s">
        <v>46</v>
      </c>
      <c r="B38" s="19">
        <v>45031</v>
      </c>
      <c r="C38" s="20">
        <v>0.53958333333333297</v>
      </c>
      <c r="D38" s="20">
        <v>0.55902777777777801</v>
      </c>
      <c r="E38" s="20">
        <v>1.94444444444445E-2</v>
      </c>
      <c r="F38" s="21" t="s">
        <v>41</v>
      </c>
      <c r="G38" t="str">
        <f>VLOOKUP(F38,'Tipo Parada Fab 1'!$A$2:$B$27,2,FALSE())</f>
        <v>NP</v>
      </c>
      <c r="H38" s="20" t="str">
        <f t="shared" si="2"/>
        <v/>
      </c>
      <c r="I38" s="20">
        <f t="shared" si="3"/>
        <v>1.94444444444445E-2</v>
      </c>
    </row>
    <row r="39" spans="1:9" x14ac:dyDescent="0.3">
      <c r="A39" s="18" t="s">
        <v>46</v>
      </c>
      <c r="B39" s="19">
        <v>45032</v>
      </c>
      <c r="C39" s="20">
        <v>0.28958333333333303</v>
      </c>
      <c r="D39" s="20">
        <v>0.29930555555555599</v>
      </c>
      <c r="E39" s="20">
        <v>9.7222222222221894E-3</v>
      </c>
      <c r="F39" s="21" t="s">
        <v>48</v>
      </c>
      <c r="G39" t="str">
        <f>VLOOKUP(F39,'Tipo Parada Fab 1'!$A$2:$B$27,2,FALSE())</f>
        <v>NP</v>
      </c>
      <c r="H39" s="20" t="str">
        <f t="shared" si="2"/>
        <v/>
      </c>
      <c r="I39" s="20">
        <f t="shared" si="3"/>
        <v>9.7222222222221894E-3</v>
      </c>
    </row>
    <row r="40" spans="1:9" x14ac:dyDescent="0.3">
      <c r="A40" s="18" t="s">
        <v>46</v>
      </c>
      <c r="B40" s="19">
        <v>45032</v>
      </c>
      <c r="C40" s="20">
        <v>0.55069444444444404</v>
      </c>
      <c r="D40" s="20">
        <v>0.5625</v>
      </c>
      <c r="E40" s="20">
        <v>1.18055555555555E-2</v>
      </c>
      <c r="F40" s="21" t="s">
        <v>38</v>
      </c>
      <c r="G40" t="str">
        <f>VLOOKUP(F40,'Tipo Parada Fab 1'!$A$2:$B$27,2,FALSE())</f>
        <v>NP</v>
      </c>
      <c r="H40" s="20" t="str">
        <f t="shared" si="2"/>
        <v/>
      </c>
      <c r="I40" s="20">
        <f t="shared" si="3"/>
        <v>1.18055555555555E-2</v>
      </c>
    </row>
    <row r="41" spans="1:9" x14ac:dyDescent="0.3">
      <c r="A41" s="18" t="s">
        <v>46</v>
      </c>
      <c r="B41" s="19">
        <v>45032</v>
      </c>
      <c r="C41" s="20">
        <v>0.5625</v>
      </c>
      <c r="D41" s="20">
        <v>0.58958333333333302</v>
      </c>
      <c r="E41" s="20">
        <v>2.70833333333333E-2</v>
      </c>
      <c r="F41" s="21" t="s">
        <v>38</v>
      </c>
      <c r="G41" t="str">
        <f>VLOOKUP(F41,'Tipo Parada Fab 1'!$A$2:$B$27,2,FALSE())</f>
        <v>NP</v>
      </c>
      <c r="H41" s="20" t="str">
        <f t="shared" si="2"/>
        <v/>
      </c>
      <c r="I41" s="20">
        <f t="shared" si="3"/>
        <v>2.70833333333333E-2</v>
      </c>
    </row>
    <row r="42" spans="1:9" x14ac:dyDescent="0.3">
      <c r="A42" s="18" t="s">
        <v>46</v>
      </c>
      <c r="B42" s="19">
        <v>45033</v>
      </c>
      <c r="C42" s="20">
        <v>0.74861111111111101</v>
      </c>
      <c r="D42" s="20">
        <v>0.8125</v>
      </c>
      <c r="E42" s="20">
        <v>6.3888888888888995E-2</v>
      </c>
      <c r="F42" s="21" t="s">
        <v>32</v>
      </c>
      <c r="G42" t="str">
        <f>VLOOKUP(F42,'Tipo Parada Fab 1'!$A$2:$B$27,2,FALSE())</f>
        <v>P</v>
      </c>
      <c r="H42" s="20">
        <f t="shared" si="2"/>
        <v>6.3888888888888995E-2</v>
      </c>
      <c r="I42" s="20" t="str">
        <f t="shared" si="3"/>
        <v/>
      </c>
    </row>
    <row r="43" spans="1:9" x14ac:dyDescent="0.3">
      <c r="A43" s="18" t="s">
        <v>46</v>
      </c>
      <c r="B43" s="19">
        <v>45033</v>
      </c>
      <c r="C43" s="20">
        <v>0.8125</v>
      </c>
      <c r="D43" s="20">
        <v>0.875694444444444</v>
      </c>
      <c r="E43" s="20">
        <v>6.31944444444444E-2</v>
      </c>
      <c r="F43" s="21" t="s">
        <v>32</v>
      </c>
      <c r="G43" t="str">
        <f>VLOOKUP(F43,'Tipo Parada Fab 1'!$A$2:$B$27,2,FALSE())</f>
        <v>P</v>
      </c>
      <c r="H43" s="20">
        <f t="shared" si="2"/>
        <v>6.31944444444444E-2</v>
      </c>
      <c r="I43" s="20" t="str">
        <f t="shared" si="3"/>
        <v/>
      </c>
    </row>
    <row r="44" spans="1:9" x14ac:dyDescent="0.3">
      <c r="A44" s="18" t="s">
        <v>46</v>
      </c>
      <c r="B44" s="19">
        <v>45034</v>
      </c>
      <c r="C44" s="20">
        <v>0.74861111111111101</v>
      </c>
      <c r="D44" s="20">
        <v>0.8125</v>
      </c>
      <c r="E44" s="20">
        <v>6.3888888888888995E-2</v>
      </c>
      <c r="F44" s="21" t="s">
        <v>32</v>
      </c>
      <c r="G44" t="str">
        <f>VLOOKUP(F44,'Tipo Parada Fab 1'!$A$2:$B$27,2,FALSE())</f>
        <v>P</v>
      </c>
      <c r="H44" s="20">
        <f t="shared" si="2"/>
        <v>6.3888888888888995E-2</v>
      </c>
      <c r="I44" s="20" t="str">
        <f t="shared" si="3"/>
        <v/>
      </c>
    </row>
    <row r="45" spans="1:9" x14ac:dyDescent="0.3">
      <c r="A45" s="18" t="s">
        <v>46</v>
      </c>
      <c r="B45" s="19">
        <v>45034</v>
      </c>
      <c r="C45" s="20">
        <v>0.5625</v>
      </c>
      <c r="D45" s="20">
        <v>0.875694444444444</v>
      </c>
      <c r="E45" s="20">
        <v>0.313194444444444</v>
      </c>
      <c r="F45" s="21" t="s">
        <v>32</v>
      </c>
      <c r="G45" t="str">
        <f>VLOOKUP(F45,'Tipo Parada Fab 1'!$A$2:$B$27,2,FALSE())</f>
        <v>P</v>
      </c>
      <c r="H45" s="20">
        <f t="shared" si="2"/>
        <v>0.313194444444444</v>
      </c>
      <c r="I45" s="20" t="str">
        <f t="shared" si="3"/>
        <v/>
      </c>
    </row>
    <row r="46" spans="1:9" x14ac:dyDescent="0.3">
      <c r="A46" s="18" t="s">
        <v>46</v>
      </c>
      <c r="B46" s="19">
        <v>45034</v>
      </c>
      <c r="C46" s="20">
        <v>0.875694444444444</v>
      </c>
      <c r="D46" s="20">
        <v>0.89097222222222205</v>
      </c>
      <c r="E46" s="20">
        <v>1.5277777777777699E-2</v>
      </c>
      <c r="F46" s="21" t="s">
        <v>35</v>
      </c>
      <c r="G46" t="str">
        <f>VLOOKUP(F46,'Tipo Parada Fab 1'!$A$2:$B$27,2,FALSE())</f>
        <v>NP</v>
      </c>
      <c r="H46" s="20" t="str">
        <f t="shared" si="2"/>
        <v/>
      </c>
      <c r="I46" s="20">
        <f t="shared" si="3"/>
        <v>1.5277777777777699E-2</v>
      </c>
    </row>
    <row r="47" spans="1:9" x14ac:dyDescent="0.3">
      <c r="A47" s="18" t="s">
        <v>46</v>
      </c>
      <c r="B47" s="19">
        <v>45035</v>
      </c>
      <c r="C47" s="20">
        <v>0.74861111111111101</v>
      </c>
      <c r="D47" s="20">
        <v>0.8125</v>
      </c>
      <c r="E47" s="20">
        <v>6.3888888888888995E-2</v>
      </c>
      <c r="F47" s="21" t="s">
        <v>32</v>
      </c>
      <c r="G47" t="str">
        <f>VLOOKUP(F47,'Tipo Parada Fab 1'!$A$2:$B$27,2,FALSE())</f>
        <v>P</v>
      </c>
      <c r="H47" s="20">
        <f t="shared" si="2"/>
        <v>6.3888888888888995E-2</v>
      </c>
      <c r="I47" s="20" t="str">
        <f t="shared" si="3"/>
        <v/>
      </c>
    </row>
    <row r="48" spans="1:9" x14ac:dyDescent="0.3">
      <c r="A48" s="18" t="s">
        <v>46</v>
      </c>
      <c r="B48" s="19">
        <v>45035</v>
      </c>
      <c r="C48" s="20">
        <v>0.8125</v>
      </c>
      <c r="D48" s="20">
        <v>0.87708333333333299</v>
      </c>
      <c r="E48" s="20">
        <v>6.4583333333333298E-2</v>
      </c>
      <c r="F48" s="21" t="s">
        <v>32</v>
      </c>
      <c r="G48" t="str">
        <f>VLOOKUP(F48,'Tipo Parada Fab 1'!$A$2:$B$27,2,FALSE())</f>
        <v>P</v>
      </c>
      <c r="H48" s="20">
        <f t="shared" si="2"/>
        <v>6.4583333333333298E-2</v>
      </c>
      <c r="I48" s="20" t="str">
        <f t="shared" si="3"/>
        <v/>
      </c>
    </row>
    <row r="49" spans="1:9" x14ac:dyDescent="0.3">
      <c r="A49" s="18" t="s">
        <v>46</v>
      </c>
      <c r="B49" s="19">
        <v>45036</v>
      </c>
      <c r="C49" s="20">
        <v>0.74861111111111101</v>
      </c>
      <c r="D49" s="20">
        <v>0.8125</v>
      </c>
      <c r="E49" s="20">
        <v>6.3888888888888995E-2</v>
      </c>
      <c r="F49" s="21" t="s">
        <v>32</v>
      </c>
      <c r="G49" t="str">
        <f>VLOOKUP(F49,'Tipo Parada Fab 1'!$A$2:$B$27,2,FALSE())</f>
        <v>P</v>
      </c>
      <c r="H49" s="20">
        <f t="shared" si="2"/>
        <v>6.3888888888888995E-2</v>
      </c>
      <c r="I49" s="20" t="str">
        <f t="shared" si="3"/>
        <v/>
      </c>
    </row>
    <row r="50" spans="1:9" x14ac:dyDescent="0.3">
      <c r="A50" s="18" t="s">
        <v>46</v>
      </c>
      <c r="B50" s="19">
        <v>45036</v>
      </c>
      <c r="C50" s="20">
        <v>0.8125</v>
      </c>
      <c r="D50" s="20">
        <v>0.87847222222222199</v>
      </c>
      <c r="E50" s="20">
        <v>6.5972222222222196E-2</v>
      </c>
      <c r="F50" s="21" t="s">
        <v>32</v>
      </c>
      <c r="G50" t="str">
        <f>VLOOKUP(F50,'Tipo Parada Fab 1'!$A$2:$B$27,2,FALSE())</f>
        <v>P</v>
      </c>
      <c r="H50" s="20">
        <f t="shared" si="2"/>
        <v>6.5972222222222196E-2</v>
      </c>
      <c r="I50" s="20" t="str">
        <f t="shared" si="3"/>
        <v/>
      </c>
    </row>
    <row r="51" spans="1:9" x14ac:dyDescent="0.3">
      <c r="A51" s="18" t="s">
        <v>46</v>
      </c>
      <c r="B51" s="19">
        <v>45039</v>
      </c>
      <c r="C51" s="20">
        <v>0.52222222222222203</v>
      </c>
      <c r="D51" s="20">
        <v>0.52291666666666703</v>
      </c>
      <c r="E51" s="20">
        <v>6.9444444444444198E-4</v>
      </c>
      <c r="F51" s="21" t="s">
        <v>43</v>
      </c>
      <c r="G51" t="str">
        <f>VLOOKUP(F51,'Tipo Parada Fab 1'!$A$2:$B$27,2,FALSE())</f>
        <v>NP</v>
      </c>
      <c r="H51" s="20" t="str">
        <f t="shared" si="2"/>
        <v/>
      </c>
      <c r="I51" s="20">
        <f t="shared" si="3"/>
        <v>6.9444444444444198E-4</v>
      </c>
    </row>
    <row r="52" spans="1:9" x14ac:dyDescent="0.3">
      <c r="A52" s="18" t="s">
        <v>46</v>
      </c>
      <c r="B52" s="19">
        <v>45039</v>
      </c>
      <c r="C52" s="20">
        <v>0.61180555555555605</v>
      </c>
      <c r="D52" s="20">
        <v>0.61319444444444404</v>
      </c>
      <c r="E52" s="20">
        <v>1.3888888888888801E-3</v>
      </c>
      <c r="F52" s="21" t="s">
        <v>43</v>
      </c>
      <c r="G52" t="str">
        <f>VLOOKUP(F52,'Tipo Parada Fab 1'!$A$2:$B$27,2,FALSE())</f>
        <v>NP</v>
      </c>
      <c r="H52" s="20" t="str">
        <f t="shared" si="2"/>
        <v/>
      </c>
      <c r="I52" s="20">
        <f t="shared" si="3"/>
        <v>1.3888888888888801E-3</v>
      </c>
    </row>
    <row r="53" spans="1:9" x14ac:dyDescent="0.3">
      <c r="A53" s="18" t="s">
        <v>46</v>
      </c>
      <c r="B53" s="19">
        <v>45040</v>
      </c>
      <c r="C53" s="20">
        <v>0.148611111111111</v>
      </c>
      <c r="D53" s="20">
        <v>0.15</v>
      </c>
      <c r="E53" s="20">
        <v>1.3888888888888801E-3</v>
      </c>
      <c r="F53" s="21" t="s">
        <v>43</v>
      </c>
      <c r="G53" t="str">
        <f>VLOOKUP(F53,'Tipo Parada Fab 1'!$A$2:$B$27,2,FALSE())</f>
        <v>NP</v>
      </c>
      <c r="H53" s="20" t="str">
        <f t="shared" si="2"/>
        <v/>
      </c>
      <c r="I53" s="20">
        <f t="shared" si="3"/>
        <v>1.3888888888888801E-3</v>
      </c>
    </row>
    <row r="54" spans="1:9" x14ac:dyDescent="0.3">
      <c r="A54" s="18" t="s">
        <v>46</v>
      </c>
      <c r="B54" s="19">
        <v>45040</v>
      </c>
      <c r="C54" s="20">
        <v>0.74861111111111101</v>
      </c>
      <c r="D54" s="20">
        <v>0.8125</v>
      </c>
      <c r="E54" s="20">
        <v>6.3888888888888995E-2</v>
      </c>
      <c r="F54" s="21" t="s">
        <v>32</v>
      </c>
      <c r="G54" t="str">
        <f>VLOOKUP(F54,'Tipo Parada Fab 1'!$A$2:$B$27,2,FALSE())</f>
        <v>P</v>
      </c>
      <c r="H54" s="20">
        <f t="shared" si="2"/>
        <v>6.3888888888888995E-2</v>
      </c>
      <c r="I54" s="20" t="str">
        <f t="shared" si="3"/>
        <v/>
      </c>
    </row>
    <row r="55" spans="1:9" x14ac:dyDescent="0.3">
      <c r="A55" s="18" t="s">
        <v>46</v>
      </c>
      <c r="B55" s="19">
        <v>45040</v>
      </c>
      <c r="C55" s="20">
        <v>0.8125</v>
      </c>
      <c r="D55" s="20">
        <v>0.875694444444444</v>
      </c>
      <c r="E55" s="20">
        <v>6.31944444444444E-2</v>
      </c>
      <c r="F55" s="21" t="s">
        <v>32</v>
      </c>
      <c r="G55" t="str">
        <f>VLOOKUP(F55,'Tipo Parada Fab 1'!$A$2:$B$27,2,FALSE())</f>
        <v>P</v>
      </c>
      <c r="H55" s="20">
        <f t="shared" si="2"/>
        <v>6.31944444444444E-2</v>
      </c>
      <c r="I55" s="20" t="str">
        <f t="shared" si="3"/>
        <v/>
      </c>
    </row>
    <row r="56" spans="1:9" x14ac:dyDescent="0.3">
      <c r="A56" s="18" t="s">
        <v>46</v>
      </c>
      <c r="B56" s="19">
        <v>45040</v>
      </c>
      <c r="C56" s="20">
        <v>0.999305555555556</v>
      </c>
      <c r="D56" s="20">
        <v>6.9444444444444404E-4</v>
      </c>
      <c r="E56" s="20">
        <v>1.388888888889E-3</v>
      </c>
      <c r="F56" s="21" t="s">
        <v>35</v>
      </c>
      <c r="G56" t="str">
        <f>VLOOKUP(F56,'Tipo Parada Fab 1'!$A$2:$B$27,2,FALSE())</f>
        <v>NP</v>
      </c>
      <c r="H56" s="20" t="str">
        <f t="shared" si="2"/>
        <v/>
      </c>
      <c r="I56" s="20">
        <f t="shared" si="3"/>
        <v>1.388888888889E-3</v>
      </c>
    </row>
    <row r="57" spans="1:9" x14ac:dyDescent="0.3">
      <c r="A57" s="18" t="s">
        <v>46</v>
      </c>
      <c r="B57" s="19">
        <v>45041</v>
      </c>
      <c r="C57" s="20">
        <v>0.74861111111111101</v>
      </c>
      <c r="D57" s="20">
        <v>0.8125</v>
      </c>
      <c r="E57" s="20">
        <v>6.3888888888888995E-2</v>
      </c>
      <c r="F57" s="21" t="s">
        <v>32</v>
      </c>
      <c r="G57" t="str">
        <f>VLOOKUP(F57,'Tipo Parada Fab 1'!$A$2:$B$27,2,FALSE())</f>
        <v>P</v>
      </c>
      <c r="H57" s="20">
        <f t="shared" si="2"/>
        <v>6.3888888888888995E-2</v>
      </c>
      <c r="I57" s="20" t="str">
        <f t="shared" si="3"/>
        <v/>
      </c>
    </row>
    <row r="58" spans="1:9" x14ac:dyDescent="0.3">
      <c r="A58" s="18" t="s">
        <v>46</v>
      </c>
      <c r="B58" s="19">
        <v>45041</v>
      </c>
      <c r="C58" s="20">
        <v>0.8125</v>
      </c>
      <c r="D58" s="20">
        <v>0.87847222222222199</v>
      </c>
      <c r="E58" s="20">
        <v>6.5972222222222196E-2</v>
      </c>
      <c r="F58" s="21" t="s">
        <v>32</v>
      </c>
      <c r="G58" t="str">
        <f>VLOOKUP(F58,'Tipo Parada Fab 1'!$A$2:$B$27,2,FALSE())</f>
        <v>P</v>
      </c>
      <c r="H58" s="20">
        <f t="shared" si="2"/>
        <v>6.5972222222222196E-2</v>
      </c>
      <c r="I58" s="20" t="str">
        <f t="shared" si="3"/>
        <v/>
      </c>
    </row>
    <row r="59" spans="1:9" x14ac:dyDescent="0.3">
      <c r="A59" s="18" t="s">
        <v>46</v>
      </c>
      <c r="B59" s="19">
        <v>45041</v>
      </c>
      <c r="C59" s="20">
        <v>5.6250000000000001E-2</v>
      </c>
      <c r="D59" s="20">
        <v>5.83333333333333E-2</v>
      </c>
      <c r="E59" s="20">
        <v>2.0833333333333298E-3</v>
      </c>
      <c r="F59" s="21" t="s">
        <v>43</v>
      </c>
      <c r="G59" t="str">
        <f>VLOOKUP(F59,'Tipo Parada Fab 1'!$A$2:$B$27,2,FALSE())</f>
        <v>NP</v>
      </c>
      <c r="H59" s="20" t="str">
        <f t="shared" si="2"/>
        <v/>
      </c>
      <c r="I59" s="20">
        <f t="shared" si="3"/>
        <v>2.0833333333333298E-3</v>
      </c>
    </row>
    <row r="60" spans="1:9" x14ac:dyDescent="0.3">
      <c r="A60" s="18" t="s">
        <v>46</v>
      </c>
      <c r="B60" s="19">
        <v>45042</v>
      </c>
      <c r="C60" s="20">
        <v>0.73194444444444395</v>
      </c>
      <c r="D60" s="20">
        <v>0.73750000000000004</v>
      </c>
      <c r="E60" s="20">
        <v>5.5555555555555402E-3</v>
      </c>
      <c r="F60" s="21" t="s">
        <v>43</v>
      </c>
      <c r="G60" t="str">
        <f>VLOOKUP(F60,'Tipo Parada Fab 1'!$A$2:$B$27,2,FALSE())</f>
        <v>NP</v>
      </c>
      <c r="H60" s="20" t="str">
        <f t="shared" si="2"/>
        <v/>
      </c>
      <c r="I60" s="20">
        <f t="shared" si="3"/>
        <v>5.5555555555555402E-3</v>
      </c>
    </row>
    <row r="61" spans="1:9" x14ac:dyDescent="0.3">
      <c r="A61" s="18" t="s">
        <v>46</v>
      </c>
      <c r="B61" s="19">
        <v>45042</v>
      </c>
      <c r="C61" s="20">
        <v>0.74861111111111101</v>
      </c>
      <c r="D61" s="20">
        <v>0.8125</v>
      </c>
      <c r="E61" s="20">
        <v>6.3888888888888995E-2</v>
      </c>
      <c r="F61" s="21" t="s">
        <v>32</v>
      </c>
      <c r="G61" t="str">
        <f>VLOOKUP(F61,'Tipo Parada Fab 1'!$A$2:$B$27,2,FALSE())</f>
        <v>P</v>
      </c>
      <c r="H61" s="20">
        <f t="shared" si="2"/>
        <v>6.3888888888888995E-2</v>
      </c>
      <c r="I61" s="20" t="str">
        <f t="shared" si="3"/>
        <v/>
      </c>
    </row>
    <row r="62" spans="1:9" x14ac:dyDescent="0.3">
      <c r="A62" s="18" t="s">
        <v>46</v>
      </c>
      <c r="B62" s="19">
        <v>45042</v>
      </c>
      <c r="C62" s="20">
        <v>0.8125</v>
      </c>
      <c r="D62" s="20">
        <v>0.87708333333333299</v>
      </c>
      <c r="E62" s="20">
        <v>6.4583333333333298E-2</v>
      </c>
      <c r="F62" s="21" t="s">
        <v>32</v>
      </c>
      <c r="G62" t="str">
        <f>VLOOKUP(F62,'Tipo Parada Fab 1'!$A$2:$B$27,2,FALSE())</f>
        <v>P</v>
      </c>
      <c r="H62" s="20">
        <f t="shared" si="2"/>
        <v>6.4583333333333298E-2</v>
      </c>
      <c r="I62" s="20" t="str">
        <f t="shared" si="3"/>
        <v/>
      </c>
    </row>
    <row r="63" spans="1:9" x14ac:dyDescent="0.3">
      <c r="A63" s="18" t="s">
        <v>46</v>
      </c>
      <c r="B63" s="19">
        <v>45043</v>
      </c>
      <c r="C63" s="20">
        <v>0.27430555555555503</v>
      </c>
      <c r="D63" s="20">
        <v>0.27569444444444402</v>
      </c>
      <c r="E63" s="20">
        <v>1.3888888888889399E-3</v>
      </c>
      <c r="F63" s="21" t="s">
        <v>43</v>
      </c>
      <c r="G63" t="str">
        <f>VLOOKUP(F63,'Tipo Parada Fab 1'!$A$2:$B$27,2,FALSE())</f>
        <v>NP</v>
      </c>
      <c r="H63" s="20" t="str">
        <f t="shared" si="2"/>
        <v/>
      </c>
      <c r="I63" s="20">
        <f t="shared" si="3"/>
        <v>1.3888888888889399E-3</v>
      </c>
    </row>
    <row r="64" spans="1:9" x14ac:dyDescent="0.3">
      <c r="A64" s="18" t="s">
        <v>46</v>
      </c>
      <c r="B64" s="19">
        <v>45043</v>
      </c>
      <c r="C64" s="20">
        <v>0.74861111111111101</v>
      </c>
      <c r="D64" s="20">
        <v>0.8125</v>
      </c>
      <c r="E64" s="20">
        <v>6.3888888888888995E-2</v>
      </c>
      <c r="F64" s="21" t="s">
        <v>32</v>
      </c>
      <c r="G64" t="str">
        <f>VLOOKUP(F64,'Tipo Parada Fab 1'!$A$2:$B$27,2,FALSE())</f>
        <v>P</v>
      </c>
      <c r="H64" s="20">
        <f t="shared" si="2"/>
        <v>6.3888888888888995E-2</v>
      </c>
      <c r="I64" s="20" t="str">
        <f t="shared" si="3"/>
        <v/>
      </c>
    </row>
    <row r="65" spans="1:9" x14ac:dyDescent="0.3">
      <c r="A65" s="18" t="s">
        <v>46</v>
      </c>
      <c r="B65" s="19">
        <v>45043</v>
      </c>
      <c r="C65" s="20">
        <v>0.8125</v>
      </c>
      <c r="D65" s="20">
        <v>0.87916666666666698</v>
      </c>
      <c r="E65" s="20">
        <v>6.6666666666666805E-2</v>
      </c>
      <c r="F65" s="21" t="s">
        <v>32</v>
      </c>
      <c r="G65" t="str">
        <f>VLOOKUP(F65,'Tipo Parada Fab 1'!$A$2:$B$27,2,FALSE())</f>
        <v>P</v>
      </c>
      <c r="H65" s="20">
        <f t="shared" si="2"/>
        <v>6.6666666666666805E-2</v>
      </c>
      <c r="I65" s="20" t="str">
        <f t="shared" si="3"/>
        <v/>
      </c>
    </row>
    <row r="66" spans="1:9" x14ac:dyDescent="0.3">
      <c r="A66" s="18" t="s">
        <v>46</v>
      </c>
      <c r="B66" s="19">
        <v>45044</v>
      </c>
      <c r="C66" s="20">
        <v>0.74861111111111101</v>
      </c>
      <c r="D66" s="20">
        <v>0.8125</v>
      </c>
      <c r="E66" s="20">
        <v>6.3888888888888995E-2</v>
      </c>
      <c r="F66" s="21" t="s">
        <v>32</v>
      </c>
      <c r="G66" t="str">
        <f>VLOOKUP(F66,'Tipo Parada Fab 1'!$A$2:$B$27,2,FALSE())</f>
        <v>P</v>
      </c>
      <c r="H66" s="20">
        <f t="shared" ref="H66:H97" si="4">IF(G66="P",E66,"")</f>
        <v>6.3888888888888995E-2</v>
      </c>
      <c r="I66" s="20" t="str">
        <f t="shared" si="3"/>
        <v/>
      </c>
    </row>
    <row r="67" spans="1:9" x14ac:dyDescent="0.3">
      <c r="A67" s="18" t="s">
        <v>46</v>
      </c>
      <c r="B67" s="19">
        <v>45044</v>
      </c>
      <c r="C67" s="20">
        <v>0.8125</v>
      </c>
      <c r="D67" s="20">
        <v>0.875694444444444</v>
      </c>
      <c r="E67" s="20">
        <v>6.31944444444444E-2</v>
      </c>
      <c r="F67" s="21" t="s">
        <v>32</v>
      </c>
      <c r="G67" t="str">
        <f>VLOOKUP(F67,'Tipo Parada Fab 1'!$A$2:$B$27,2,FALSE())</f>
        <v>P</v>
      </c>
      <c r="H67" s="20">
        <f t="shared" si="4"/>
        <v>6.31944444444444E-2</v>
      </c>
      <c r="I67" s="20" t="str">
        <f t="shared" si="3"/>
        <v/>
      </c>
    </row>
    <row r="68" spans="1:9" x14ac:dyDescent="0.3">
      <c r="A68" s="18" t="s">
        <v>46</v>
      </c>
      <c r="B68" s="19">
        <v>45044</v>
      </c>
      <c r="C68" s="20">
        <v>0.875694444444444</v>
      </c>
      <c r="D68" s="20">
        <v>0.94027777777777799</v>
      </c>
      <c r="E68" s="20">
        <v>6.4583333333333298E-2</v>
      </c>
      <c r="F68" s="21" t="s">
        <v>33</v>
      </c>
      <c r="G68" t="str">
        <f>VLOOKUP(F68,'Tipo Parada Fab 1'!$A$2:$B$27,2,FALSE())</f>
        <v>P</v>
      </c>
      <c r="H68" s="20">
        <f t="shared" si="4"/>
        <v>6.4583333333333298E-2</v>
      </c>
      <c r="I68" s="20" t="str">
        <f t="shared" si="3"/>
        <v/>
      </c>
    </row>
    <row r="69" spans="1:9" x14ac:dyDescent="0.3">
      <c r="E69" s="22">
        <f>SUM(E2:E68)</f>
        <v>3.6791666666666694</v>
      </c>
      <c r="H69" s="22">
        <f>SUM(H2:H68)</f>
        <v>2.5513888888888903</v>
      </c>
      <c r="I69" s="22">
        <f>SUM(I2:I68)</f>
        <v>1.1277777777777782</v>
      </c>
    </row>
    <row r="71" spans="1:9" x14ac:dyDescent="0.3">
      <c r="E71" s="23"/>
      <c r="H71" s="23"/>
      <c r="I71" s="23"/>
    </row>
    <row r="72" spans="1:9" x14ac:dyDescent="0.3">
      <c r="H72" s="20" t="str">
        <f>IF(G72="P",E72,"")</f>
        <v/>
      </c>
      <c r="I72" s="20" t="str">
        <f>IF(G72="NP",E72,"")</f>
        <v/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topLeftCell="A40" zoomScaleNormal="100" workbookViewId="0">
      <selection activeCell="H53" sqref="H53"/>
    </sheetView>
  </sheetViews>
  <sheetFormatPr defaultColWidth="8.44140625" defaultRowHeight="15.05" x14ac:dyDescent="0.3"/>
  <cols>
    <col min="2" max="2" width="10.5546875" customWidth="1"/>
    <col min="5" max="5" width="10.5546875" customWidth="1"/>
    <col min="6" max="6" width="42.109375" customWidth="1"/>
    <col min="7" max="7" width="8" customWidth="1"/>
  </cols>
  <sheetData>
    <row r="1" spans="1:9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G1" s="17" t="s">
        <v>28</v>
      </c>
      <c r="H1" s="17" t="s">
        <v>29</v>
      </c>
      <c r="I1" s="17" t="s">
        <v>30</v>
      </c>
    </row>
    <row r="2" spans="1:9" x14ac:dyDescent="0.3">
      <c r="A2" s="18" t="s">
        <v>50</v>
      </c>
      <c r="B2" s="19">
        <v>45017</v>
      </c>
      <c r="C2" s="20">
        <v>6.25E-2</v>
      </c>
      <c r="D2" s="20">
        <v>0.210416666666667</v>
      </c>
      <c r="E2" s="20">
        <v>0.147916666666667</v>
      </c>
      <c r="F2" s="21" t="s">
        <v>49</v>
      </c>
      <c r="G2" t="str">
        <f>VLOOKUP(F2,'Tipo Parada Fab 1'!$A$2:$B$27,2,FALSE())</f>
        <v>NP</v>
      </c>
      <c r="H2" s="20" t="str">
        <f t="shared" ref="H2:H33" si="0">IF(G2="P",E2,"")</f>
        <v/>
      </c>
      <c r="I2" s="20">
        <f t="shared" ref="I2:I33" si="1">IF(G2="NP",E2,"")</f>
        <v>0.147916666666667</v>
      </c>
    </row>
    <row r="3" spans="1:9" x14ac:dyDescent="0.3">
      <c r="A3" s="18" t="s">
        <v>50</v>
      </c>
      <c r="B3" s="19">
        <v>45017</v>
      </c>
      <c r="C3" s="20">
        <v>0.57777777777777795</v>
      </c>
      <c r="D3" s="20">
        <v>0.58750000000000002</v>
      </c>
      <c r="E3" s="20">
        <v>9.7222222222221894E-3</v>
      </c>
      <c r="F3" s="21" t="s">
        <v>35</v>
      </c>
      <c r="G3" t="str">
        <f>VLOOKUP(F3,'Tipo Parada Fab 1'!$A$2:$B$27,2,FALSE())</f>
        <v>NP</v>
      </c>
      <c r="H3" s="20" t="str">
        <f t="shared" si="0"/>
        <v/>
      </c>
      <c r="I3" s="20">
        <f t="shared" si="1"/>
        <v>9.7222222222221894E-3</v>
      </c>
    </row>
    <row r="4" spans="1:9" x14ac:dyDescent="0.3">
      <c r="A4" s="18" t="s">
        <v>50</v>
      </c>
      <c r="B4" s="19">
        <v>45018</v>
      </c>
      <c r="C4" s="20">
        <v>0.12361111111111101</v>
      </c>
      <c r="D4" s="20">
        <v>0.21666666666666701</v>
      </c>
      <c r="E4" s="20">
        <v>9.30555555555556E-2</v>
      </c>
      <c r="F4" s="21" t="s">
        <v>38</v>
      </c>
      <c r="G4" t="str">
        <f>VLOOKUP(F4,'Tipo Parada Fab 1'!$A$2:$B$27,2,FALSE())</f>
        <v>NP</v>
      </c>
      <c r="H4" s="20" t="str">
        <f t="shared" si="0"/>
        <v/>
      </c>
      <c r="I4" s="20">
        <f t="shared" si="1"/>
        <v>9.30555555555556E-2</v>
      </c>
    </row>
    <row r="5" spans="1:9" x14ac:dyDescent="0.3">
      <c r="A5" s="18" t="s">
        <v>50</v>
      </c>
      <c r="B5" s="19">
        <v>45019</v>
      </c>
      <c r="C5" s="20">
        <v>0.63194444444444398</v>
      </c>
      <c r="D5" s="20">
        <v>0.8125</v>
      </c>
      <c r="E5" s="20">
        <v>0.180555555555556</v>
      </c>
      <c r="F5" s="21" t="s">
        <v>49</v>
      </c>
      <c r="G5" t="str">
        <f>VLOOKUP(F5,'Tipo Parada Fab 1'!$A$2:$B$27,2,FALSE())</f>
        <v>NP</v>
      </c>
      <c r="H5" s="20" t="str">
        <f t="shared" si="0"/>
        <v/>
      </c>
      <c r="I5" s="20">
        <f t="shared" si="1"/>
        <v>0.180555555555556</v>
      </c>
    </row>
    <row r="6" spans="1:9" x14ac:dyDescent="0.3">
      <c r="A6" s="18" t="s">
        <v>50</v>
      </c>
      <c r="B6" s="19">
        <v>45019</v>
      </c>
      <c r="C6" s="20">
        <v>0.8125</v>
      </c>
      <c r="D6" s="20">
        <v>0.875694444444444</v>
      </c>
      <c r="E6" s="20">
        <v>6.31944444444444E-2</v>
      </c>
      <c r="F6" s="21" t="s">
        <v>32</v>
      </c>
      <c r="G6" t="str">
        <f>VLOOKUP(F6,'Tipo Parada Fab 1'!$A$2:$B$27,2,FALSE())</f>
        <v>P</v>
      </c>
      <c r="H6" s="20">
        <f t="shared" si="0"/>
        <v>6.31944444444444E-2</v>
      </c>
      <c r="I6" s="20" t="str">
        <f t="shared" si="1"/>
        <v/>
      </c>
    </row>
    <row r="7" spans="1:9" x14ac:dyDescent="0.3">
      <c r="A7" s="18" t="s">
        <v>50</v>
      </c>
      <c r="B7" s="19">
        <v>45020</v>
      </c>
      <c r="C7" s="20">
        <v>0.62152777777777801</v>
      </c>
      <c r="D7" s="20">
        <v>0.624305555555556</v>
      </c>
      <c r="E7" s="20">
        <v>2.7777777777777701E-3</v>
      </c>
      <c r="F7" s="21" t="s">
        <v>51</v>
      </c>
      <c r="G7" t="str">
        <f>VLOOKUP(F7,'Tipo Parada Fab 1'!$A$2:$B$27,2,FALSE())</f>
        <v>NP</v>
      </c>
      <c r="H7" s="20" t="str">
        <f t="shared" si="0"/>
        <v/>
      </c>
      <c r="I7" s="20">
        <f t="shared" si="1"/>
        <v>2.7777777777777701E-3</v>
      </c>
    </row>
    <row r="8" spans="1:9" x14ac:dyDescent="0.3">
      <c r="A8" s="18" t="s">
        <v>50</v>
      </c>
      <c r="B8" s="19">
        <v>45020</v>
      </c>
      <c r="C8" s="20">
        <v>0.74861111111111101</v>
      </c>
      <c r="D8" s="20">
        <v>0.8125</v>
      </c>
      <c r="E8" s="20">
        <v>6.3888888888888995E-2</v>
      </c>
      <c r="F8" s="21" t="s">
        <v>32</v>
      </c>
      <c r="G8" t="str">
        <f>VLOOKUP(F8,'Tipo Parada Fab 1'!$A$2:$B$27,2,FALSE())</f>
        <v>P</v>
      </c>
      <c r="H8" s="20">
        <f t="shared" si="0"/>
        <v>6.3888888888888995E-2</v>
      </c>
      <c r="I8" s="20" t="str">
        <f t="shared" si="1"/>
        <v/>
      </c>
    </row>
    <row r="9" spans="1:9" x14ac:dyDescent="0.3">
      <c r="A9" s="18" t="s">
        <v>50</v>
      </c>
      <c r="B9" s="19">
        <v>45020</v>
      </c>
      <c r="C9" s="20">
        <v>0.8125</v>
      </c>
      <c r="D9" s="20">
        <v>0.875694444444444</v>
      </c>
      <c r="E9" s="20">
        <v>6.31944444444444E-2</v>
      </c>
      <c r="F9" s="21" t="s">
        <v>32</v>
      </c>
      <c r="G9" t="str">
        <f>VLOOKUP(F9,'Tipo Parada Fab 1'!$A$2:$B$27,2,FALSE())</f>
        <v>P</v>
      </c>
      <c r="H9" s="20">
        <f t="shared" si="0"/>
        <v>6.31944444444444E-2</v>
      </c>
      <c r="I9" s="20" t="str">
        <f t="shared" si="1"/>
        <v/>
      </c>
    </row>
    <row r="10" spans="1:9" x14ac:dyDescent="0.3">
      <c r="A10" s="18" t="s">
        <v>50</v>
      </c>
      <c r="B10" s="19">
        <v>45021</v>
      </c>
      <c r="C10" s="20">
        <v>0.74861111111111101</v>
      </c>
      <c r="D10" s="20">
        <v>0.8125</v>
      </c>
      <c r="E10" s="20">
        <v>6.3888888888888995E-2</v>
      </c>
      <c r="F10" s="21" t="s">
        <v>32</v>
      </c>
      <c r="G10" t="str">
        <f>VLOOKUP(F10,'Tipo Parada Fab 1'!$A$2:$B$27,2,FALSE())</f>
        <v>P</v>
      </c>
      <c r="H10" s="20">
        <f t="shared" si="0"/>
        <v>6.3888888888888995E-2</v>
      </c>
      <c r="I10" s="20" t="str">
        <f t="shared" si="1"/>
        <v/>
      </c>
    </row>
    <row r="11" spans="1:9" x14ac:dyDescent="0.3">
      <c r="A11" s="18" t="s">
        <v>50</v>
      </c>
      <c r="B11" s="19">
        <v>45021</v>
      </c>
      <c r="C11" s="20">
        <v>0.8125</v>
      </c>
      <c r="D11" s="20">
        <v>0.875694444444444</v>
      </c>
      <c r="E11" s="20">
        <v>6.31944444444444E-2</v>
      </c>
      <c r="F11" s="21" t="s">
        <v>32</v>
      </c>
      <c r="G11" t="str">
        <f>VLOOKUP(F11,'Tipo Parada Fab 1'!$A$2:$B$27,2,FALSE())</f>
        <v>P</v>
      </c>
      <c r="H11" s="20">
        <f t="shared" si="0"/>
        <v>6.31944444444444E-2</v>
      </c>
      <c r="I11" s="20" t="str">
        <f t="shared" si="1"/>
        <v/>
      </c>
    </row>
    <row r="12" spans="1:9" x14ac:dyDescent="0.3">
      <c r="A12" s="18" t="s">
        <v>50</v>
      </c>
      <c r="B12" s="19">
        <v>45022</v>
      </c>
      <c r="C12" s="20">
        <v>0.74861111111111101</v>
      </c>
      <c r="D12" s="20">
        <v>0.8125</v>
      </c>
      <c r="E12" s="20">
        <v>6.3888888888888995E-2</v>
      </c>
      <c r="F12" s="21" t="s">
        <v>32</v>
      </c>
      <c r="G12" t="str">
        <f>VLOOKUP(F12,'Tipo Parada Fab 1'!$A$2:$B$27,2,FALSE())</f>
        <v>P</v>
      </c>
      <c r="H12" s="20">
        <f t="shared" si="0"/>
        <v>6.3888888888888995E-2</v>
      </c>
      <c r="I12" s="20" t="str">
        <f t="shared" si="1"/>
        <v/>
      </c>
    </row>
    <row r="13" spans="1:9" x14ac:dyDescent="0.3">
      <c r="A13" s="18" t="s">
        <v>50</v>
      </c>
      <c r="B13" s="19">
        <v>45022</v>
      </c>
      <c r="C13" s="20">
        <v>0.8125</v>
      </c>
      <c r="D13" s="20">
        <v>0.875694444444444</v>
      </c>
      <c r="E13" s="20">
        <v>6.31944444444444E-2</v>
      </c>
      <c r="F13" s="21" t="s">
        <v>32</v>
      </c>
      <c r="G13" t="str">
        <f>VLOOKUP(F13,'Tipo Parada Fab 1'!$A$2:$B$27,2,FALSE())</f>
        <v>P</v>
      </c>
      <c r="H13" s="20">
        <f t="shared" si="0"/>
        <v>6.31944444444444E-2</v>
      </c>
      <c r="I13" s="20" t="str">
        <f t="shared" si="1"/>
        <v/>
      </c>
    </row>
    <row r="14" spans="1:9" x14ac:dyDescent="0.3">
      <c r="A14" s="18" t="s">
        <v>50</v>
      </c>
      <c r="B14" s="19">
        <v>45025</v>
      </c>
      <c r="C14" s="20">
        <v>0.42569444444444399</v>
      </c>
      <c r="D14" s="20">
        <v>0.42708333333333298</v>
      </c>
      <c r="E14" s="20">
        <v>1.3888888888888801E-3</v>
      </c>
      <c r="F14" s="21" t="s">
        <v>43</v>
      </c>
      <c r="G14" t="str">
        <f>VLOOKUP(F14,'Tipo Parada Fab 1'!$A$2:$B$27,2,FALSE())</f>
        <v>NP</v>
      </c>
      <c r="H14" s="20" t="str">
        <f t="shared" si="0"/>
        <v/>
      </c>
      <c r="I14" s="20">
        <f t="shared" si="1"/>
        <v>1.3888888888888801E-3</v>
      </c>
    </row>
    <row r="15" spans="1:9" x14ac:dyDescent="0.3">
      <c r="A15" s="18" t="s">
        <v>50</v>
      </c>
      <c r="B15" s="19">
        <v>45026</v>
      </c>
      <c r="C15" s="20">
        <v>0.74861111111111101</v>
      </c>
      <c r="D15" s="20">
        <v>0.79513888888888895</v>
      </c>
      <c r="E15" s="20">
        <v>4.65277777777778E-2</v>
      </c>
      <c r="F15" s="21" t="s">
        <v>32</v>
      </c>
      <c r="G15" t="str">
        <f>VLOOKUP(F15,'Tipo Parada Fab 1'!$A$2:$B$27,2,FALSE())</f>
        <v>P</v>
      </c>
      <c r="H15" s="20">
        <f t="shared" si="0"/>
        <v>4.65277777777778E-2</v>
      </c>
      <c r="I15" s="20" t="str">
        <f t="shared" si="1"/>
        <v/>
      </c>
    </row>
    <row r="16" spans="1:9" x14ac:dyDescent="0.3">
      <c r="A16" s="18" t="s">
        <v>50</v>
      </c>
      <c r="B16" s="19">
        <v>45026</v>
      </c>
      <c r="C16" s="20">
        <v>0.87291666666666701</v>
      </c>
      <c r="D16" s="20">
        <v>0.87638888888888899</v>
      </c>
      <c r="E16" s="20">
        <v>3.47222222222232E-3</v>
      </c>
      <c r="F16" s="21" t="s">
        <v>32</v>
      </c>
      <c r="G16" t="str">
        <f>VLOOKUP(F16,'Tipo Parada Fab 1'!$A$2:$B$27,2,FALSE())</f>
        <v>P</v>
      </c>
      <c r="H16" s="20">
        <f t="shared" si="0"/>
        <v>3.47222222222232E-3</v>
      </c>
      <c r="I16" s="20" t="str">
        <f t="shared" si="1"/>
        <v/>
      </c>
    </row>
    <row r="17" spans="1:9" x14ac:dyDescent="0.3">
      <c r="A17" s="18" t="s">
        <v>50</v>
      </c>
      <c r="B17" s="19">
        <v>45027</v>
      </c>
      <c r="C17" s="20">
        <v>0.74861111111111101</v>
      </c>
      <c r="D17" s="20">
        <v>0.8125</v>
      </c>
      <c r="E17" s="20">
        <v>6.3888888888888995E-2</v>
      </c>
      <c r="F17" s="21" t="s">
        <v>32</v>
      </c>
      <c r="G17" t="str">
        <f>VLOOKUP(F17,'Tipo Parada Fab 1'!$A$2:$B$27,2,FALSE())</f>
        <v>P</v>
      </c>
      <c r="H17" s="20">
        <f t="shared" si="0"/>
        <v>6.3888888888888995E-2</v>
      </c>
      <c r="I17" s="20" t="str">
        <f t="shared" si="1"/>
        <v/>
      </c>
    </row>
    <row r="18" spans="1:9" x14ac:dyDescent="0.3">
      <c r="A18" s="18" t="s">
        <v>50</v>
      </c>
      <c r="B18" s="19">
        <v>45027</v>
      </c>
      <c r="C18" s="20">
        <v>0.8125</v>
      </c>
      <c r="D18" s="20">
        <v>0.875694444444444</v>
      </c>
      <c r="E18" s="20">
        <v>6.31944444444444E-2</v>
      </c>
      <c r="F18" s="21" t="s">
        <v>32</v>
      </c>
      <c r="G18" t="str">
        <f>VLOOKUP(F18,'Tipo Parada Fab 1'!$A$2:$B$27,2,FALSE())</f>
        <v>P</v>
      </c>
      <c r="H18" s="20">
        <f t="shared" si="0"/>
        <v>6.31944444444444E-2</v>
      </c>
      <c r="I18" s="20" t="str">
        <f t="shared" si="1"/>
        <v/>
      </c>
    </row>
    <row r="19" spans="1:9" x14ac:dyDescent="0.3">
      <c r="A19" s="18" t="s">
        <v>50</v>
      </c>
      <c r="B19" s="19">
        <v>45027</v>
      </c>
      <c r="C19" s="20">
        <v>0.875694444444444</v>
      </c>
      <c r="D19" s="20">
        <v>0.88472222222222197</v>
      </c>
      <c r="E19" s="20">
        <v>9.0277777777778602E-3</v>
      </c>
      <c r="F19" s="21" t="s">
        <v>35</v>
      </c>
      <c r="G19" t="str">
        <f>VLOOKUP(F19,'Tipo Parada Fab 1'!$A$2:$B$27,2,FALSE())</f>
        <v>NP</v>
      </c>
      <c r="H19" s="20" t="str">
        <f t="shared" si="0"/>
        <v/>
      </c>
      <c r="I19" s="20">
        <f t="shared" si="1"/>
        <v>9.0277777777778602E-3</v>
      </c>
    </row>
    <row r="20" spans="1:9" x14ac:dyDescent="0.3">
      <c r="A20" s="18" t="s">
        <v>50</v>
      </c>
      <c r="B20" s="19">
        <v>45028</v>
      </c>
      <c r="C20" s="20">
        <v>0.74861111111111101</v>
      </c>
      <c r="D20" s="20">
        <v>0.8125</v>
      </c>
      <c r="E20" s="20">
        <v>6.3888888888888995E-2</v>
      </c>
      <c r="F20" s="21" t="s">
        <v>52</v>
      </c>
      <c r="G20" t="str">
        <f>VLOOKUP(F20,'Tipo Parada Fab 1'!$A$2:$B$27,2,FALSE())</f>
        <v>NP</v>
      </c>
      <c r="H20" s="20" t="str">
        <f t="shared" si="0"/>
        <v/>
      </c>
      <c r="I20" s="20">
        <f t="shared" si="1"/>
        <v>6.3888888888888995E-2</v>
      </c>
    </row>
    <row r="21" spans="1:9" x14ac:dyDescent="0.3">
      <c r="A21" s="18" t="s">
        <v>50</v>
      </c>
      <c r="B21" s="19">
        <v>45028</v>
      </c>
      <c r="C21" s="20">
        <v>0.8125</v>
      </c>
      <c r="D21" s="20">
        <v>0.875694444444444</v>
      </c>
      <c r="E21" s="20">
        <v>6.31944444444444E-2</v>
      </c>
      <c r="F21" s="21" t="s">
        <v>32</v>
      </c>
      <c r="G21" t="str">
        <f>VLOOKUP(F21,'Tipo Parada Fab 1'!$A$2:$B$27,2,FALSE())</f>
        <v>P</v>
      </c>
      <c r="H21" s="20">
        <f t="shared" si="0"/>
        <v>6.31944444444444E-2</v>
      </c>
      <c r="I21" s="20" t="str">
        <f t="shared" si="1"/>
        <v/>
      </c>
    </row>
    <row r="22" spans="1:9" x14ac:dyDescent="0.3">
      <c r="A22" s="18" t="s">
        <v>50</v>
      </c>
      <c r="B22" s="19">
        <v>45029</v>
      </c>
      <c r="C22" s="20">
        <v>0.74861111111111101</v>
      </c>
      <c r="D22" s="20">
        <v>0.8125</v>
      </c>
      <c r="E22" s="20">
        <v>6.3888888888888995E-2</v>
      </c>
      <c r="F22" s="21" t="s">
        <v>32</v>
      </c>
      <c r="G22" t="str">
        <f>VLOOKUP(F22,'Tipo Parada Fab 1'!$A$2:$B$27,2,FALSE())</f>
        <v>P</v>
      </c>
      <c r="H22" s="20">
        <f t="shared" si="0"/>
        <v>6.3888888888888995E-2</v>
      </c>
      <c r="I22" s="20" t="str">
        <f t="shared" si="1"/>
        <v/>
      </c>
    </row>
    <row r="23" spans="1:9" x14ac:dyDescent="0.3">
      <c r="A23" s="18" t="s">
        <v>50</v>
      </c>
      <c r="B23" s="19">
        <v>45029</v>
      </c>
      <c r="C23" s="20">
        <v>0.8125</v>
      </c>
      <c r="D23" s="20">
        <v>0.875694444444444</v>
      </c>
      <c r="E23" s="20">
        <v>6.31944444444444E-2</v>
      </c>
      <c r="F23" s="21" t="s">
        <v>32</v>
      </c>
      <c r="G23" t="str">
        <f>VLOOKUP(F23,'Tipo Parada Fab 1'!$A$2:$B$27,2,FALSE())</f>
        <v>P</v>
      </c>
      <c r="H23" s="20">
        <f t="shared" si="0"/>
        <v>6.31944444444444E-2</v>
      </c>
      <c r="I23" s="20" t="str">
        <f t="shared" si="1"/>
        <v/>
      </c>
    </row>
    <row r="24" spans="1:9" x14ac:dyDescent="0.3">
      <c r="A24" s="18" t="s">
        <v>50</v>
      </c>
      <c r="B24" s="19">
        <v>45030</v>
      </c>
      <c r="C24" s="20">
        <v>0.74861111111111101</v>
      </c>
      <c r="D24" s="20">
        <v>0.79444444444444395</v>
      </c>
      <c r="E24" s="20">
        <v>4.5833333333333399E-2</v>
      </c>
      <c r="F24" s="21" t="s">
        <v>32</v>
      </c>
      <c r="G24" t="str">
        <f>VLOOKUP(F24,'Tipo Parada Fab 1'!$A$2:$B$27,2,FALSE())</f>
        <v>P</v>
      </c>
      <c r="H24" s="20">
        <f t="shared" si="0"/>
        <v>4.5833333333333399E-2</v>
      </c>
      <c r="I24" s="20" t="str">
        <f t="shared" si="1"/>
        <v/>
      </c>
    </row>
    <row r="25" spans="1:9" x14ac:dyDescent="0.3">
      <c r="A25" s="18" t="s">
        <v>50</v>
      </c>
      <c r="B25" s="19">
        <v>45030</v>
      </c>
      <c r="C25" s="20">
        <v>0.86597222222222203</v>
      </c>
      <c r="D25" s="20">
        <v>0.87847222222222199</v>
      </c>
      <c r="E25" s="20">
        <v>1.2500000000000001E-2</v>
      </c>
      <c r="F25" s="21" t="s">
        <v>35</v>
      </c>
      <c r="G25" t="str">
        <f>VLOOKUP(F25,'Tipo Parada Fab 1'!$A$2:$B$27,2,FALSE())</f>
        <v>NP</v>
      </c>
      <c r="H25" s="20" t="str">
        <f t="shared" si="0"/>
        <v/>
      </c>
      <c r="I25" s="20">
        <f t="shared" si="1"/>
        <v>1.2500000000000001E-2</v>
      </c>
    </row>
    <row r="26" spans="1:9" x14ac:dyDescent="0.3">
      <c r="A26" s="18" t="s">
        <v>50</v>
      </c>
      <c r="B26" s="19">
        <v>45033</v>
      </c>
      <c r="C26" s="20">
        <v>0.68472222222222201</v>
      </c>
      <c r="D26" s="20">
        <v>0.688194444444444</v>
      </c>
      <c r="E26" s="20">
        <v>3.4722222222222099E-3</v>
      </c>
      <c r="F26" s="21" t="s">
        <v>43</v>
      </c>
      <c r="G26" t="str">
        <f>VLOOKUP(F26,'Tipo Parada Fab 1'!$A$2:$B$27,2,FALSE())</f>
        <v>NP</v>
      </c>
      <c r="H26" s="20" t="str">
        <f t="shared" si="0"/>
        <v/>
      </c>
      <c r="I26" s="20">
        <f t="shared" si="1"/>
        <v>3.4722222222222099E-3</v>
      </c>
    </row>
    <row r="27" spans="1:9" x14ac:dyDescent="0.3">
      <c r="A27" s="18" t="s">
        <v>50</v>
      </c>
      <c r="B27" s="19">
        <v>45033</v>
      </c>
      <c r="C27" s="20">
        <v>0.74861111111111101</v>
      </c>
      <c r="D27" s="20">
        <v>0.8125</v>
      </c>
      <c r="E27" s="20">
        <v>6.3888888888888995E-2</v>
      </c>
      <c r="F27" s="21" t="s">
        <v>32</v>
      </c>
      <c r="G27" t="str">
        <f>VLOOKUP(F27,'Tipo Parada Fab 1'!$A$2:$B$27,2,FALSE())</f>
        <v>P</v>
      </c>
      <c r="H27" s="20">
        <f t="shared" si="0"/>
        <v>6.3888888888888995E-2</v>
      </c>
      <c r="I27" s="20" t="str">
        <f t="shared" si="1"/>
        <v/>
      </c>
    </row>
    <row r="28" spans="1:9" x14ac:dyDescent="0.3">
      <c r="A28" s="18" t="s">
        <v>50</v>
      </c>
      <c r="B28" s="19">
        <v>45033</v>
      </c>
      <c r="C28" s="20">
        <v>0.8125</v>
      </c>
      <c r="D28" s="20">
        <v>0.875694444444444</v>
      </c>
      <c r="E28" s="20">
        <v>6.31944444444444E-2</v>
      </c>
      <c r="F28" s="21" t="s">
        <v>32</v>
      </c>
      <c r="G28" t="str">
        <f>VLOOKUP(F28,'Tipo Parada Fab 1'!$A$2:$B$27,2,FALSE())</f>
        <v>P</v>
      </c>
      <c r="H28" s="20">
        <f t="shared" si="0"/>
        <v>6.31944444444444E-2</v>
      </c>
      <c r="I28" s="20" t="str">
        <f t="shared" si="1"/>
        <v/>
      </c>
    </row>
    <row r="29" spans="1:9" x14ac:dyDescent="0.3">
      <c r="A29" s="18" t="s">
        <v>50</v>
      </c>
      <c r="B29" s="19">
        <v>45034</v>
      </c>
      <c r="C29" s="20">
        <v>0.74305555555555503</v>
      </c>
      <c r="D29" s="20">
        <v>0.8125</v>
      </c>
      <c r="E29" s="20">
        <v>6.9444444444444503E-2</v>
      </c>
      <c r="F29" s="21" t="s">
        <v>32</v>
      </c>
      <c r="G29" t="str">
        <f>VLOOKUP(F29,'Tipo Parada Fab 1'!$A$2:$B$27,2,FALSE())</f>
        <v>P</v>
      </c>
      <c r="H29" s="20">
        <f t="shared" si="0"/>
        <v>6.9444444444444503E-2</v>
      </c>
      <c r="I29" s="20" t="str">
        <f t="shared" si="1"/>
        <v/>
      </c>
    </row>
    <row r="30" spans="1:9" x14ac:dyDescent="0.3">
      <c r="A30" s="18" t="s">
        <v>50</v>
      </c>
      <c r="B30" s="19">
        <v>45034</v>
      </c>
      <c r="C30" s="20">
        <v>0.8125</v>
      </c>
      <c r="D30" s="20">
        <v>0.88055555555555598</v>
      </c>
      <c r="E30" s="20">
        <v>6.8055555555555494E-2</v>
      </c>
      <c r="F30" s="21" t="s">
        <v>32</v>
      </c>
      <c r="G30" t="str">
        <f>VLOOKUP(F30,'Tipo Parada Fab 1'!$A$2:$B$27,2,FALSE())</f>
        <v>P</v>
      </c>
      <c r="H30" s="20">
        <f t="shared" si="0"/>
        <v>6.8055555555555494E-2</v>
      </c>
      <c r="I30" s="20" t="str">
        <f t="shared" si="1"/>
        <v/>
      </c>
    </row>
    <row r="31" spans="1:9" x14ac:dyDescent="0.3">
      <c r="A31" s="18" t="s">
        <v>50</v>
      </c>
      <c r="B31" s="19">
        <v>45034</v>
      </c>
      <c r="C31" s="20">
        <v>0.89722222222222203</v>
      </c>
      <c r="D31" s="20">
        <v>0.96458333333333302</v>
      </c>
      <c r="E31" s="20">
        <v>6.7361111111110997E-2</v>
      </c>
      <c r="F31" s="21" t="s">
        <v>49</v>
      </c>
      <c r="G31" t="str">
        <f>VLOOKUP(F31,'Tipo Parada Fab 1'!$A$2:$B$27,2,FALSE())</f>
        <v>NP</v>
      </c>
      <c r="H31" s="20" t="str">
        <f t="shared" si="0"/>
        <v/>
      </c>
      <c r="I31" s="20">
        <f t="shared" si="1"/>
        <v>6.7361111111110997E-2</v>
      </c>
    </row>
    <row r="32" spans="1:9" x14ac:dyDescent="0.3">
      <c r="A32" s="18" t="s">
        <v>50</v>
      </c>
      <c r="B32" s="19">
        <v>45035</v>
      </c>
      <c r="C32" s="20">
        <v>0.74861111111111101</v>
      </c>
      <c r="D32" s="20">
        <v>0.8125</v>
      </c>
      <c r="E32" s="20">
        <v>6.3888888888888995E-2</v>
      </c>
      <c r="F32" s="21" t="s">
        <v>32</v>
      </c>
      <c r="G32" t="str">
        <f>VLOOKUP(F32,'Tipo Parada Fab 1'!$A$2:$B$27,2,FALSE())</f>
        <v>P</v>
      </c>
      <c r="H32" s="20">
        <f t="shared" si="0"/>
        <v>6.3888888888888995E-2</v>
      </c>
      <c r="I32" s="20" t="str">
        <f t="shared" si="1"/>
        <v/>
      </c>
    </row>
    <row r="33" spans="1:9" x14ac:dyDescent="0.3">
      <c r="A33" s="18" t="s">
        <v>50</v>
      </c>
      <c r="B33" s="19">
        <v>45035</v>
      </c>
      <c r="C33" s="20">
        <v>0.8125</v>
      </c>
      <c r="D33" s="20">
        <v>0.88402777777777797</v>
      </c>
      <c r="E33" s="20">
        <v>7.1527777777777704E-2</v>
      </c>
      <c r="F33" s="21" t="s">
        <v>32</v>
      </c>
      <c r="G33" t="str">
        <f>VLOOKUP(F33,'Tipo Parada Fab 1'!$A$2:$B$27,2,FALSE())</f>
        <v>P</v>
      </c>
      <c r="H33" s="20">
        <f t="shared" si="0"/>
        <v>7.1527777777777704E-2</v>
      </c>
      <c r="I33" s="20" t="str">
        <f t="shared" si="1"/>
        <v/>
      </c>
    </row>
    <row r="34" spans="1:9" x14ac:dyDescent="0.3">
      <c r="A34" s="18" t="s">
        <v>50</v>
      </c>
      <c r="B34" s="19">
        <v>45036</v>
      </c>
      <c r="C34" s="20">
        <v>0.74861111111111101</v>
      </c>
      <c r="D34" s="20">
        <v>0.8125</v>
      </c>
      <c r="E34" s="20">
        <v>6.3888888888888995E-2</v>
      </c>
      <c r="F34" s="21" t="s">
        <v>32</v>
      </c>
      <c r="G34" t="str">
        <f>VLOOKUP(F34,'Tipo Parada Fab 1'!$A$2:$B$27,2,FALSE())</f>
        <v>P</v>
      </c>
      <c r="H34" s="20">
        <f t="shared" ref="H34:H65" si="2">IF(G34="P",E34,"")</f>
        <v>6.3888888888888995E-2</v>
      </c>
      <c r="I34" s="20" t="str">
        <f t="shared" ref="I34:I52" si="3">IF(G34="NP",E34,"")</f>
        <v/>
      </c>
    </row>
    <row r="35" spans="1:9" x14ac:dyDescent="0.3">
      <c r="A35" s="18" t="s">
        <v>50</v>
      </c>
      <c r="B35" s="19">
        <v>45036</v>
      </c>
      <c r="C35" s="20">
        <v>0.8125</v>
      </c>
      <c r="D35" s="20">
        <v>0.87916666666666698</v>
      </c>
      <c r="E35" s="20">
        <v>6.6666666666666805E-2</v>
      </c>
      <c r="F35" s="21" t="s">
        <v>32</v>
      </c>
      <c r="G35" t="str">
        <f>VLOOKUP(F35,'Tipo Parada Fab 1'!$A$2:$B$27,2,FALSE())</f>
        <v>P</v>
      </c>
      <c r="H35" s="20">
        <f t="shared" si="2"/>
        <v>6.6666666666666805E-2</v>
      </c>
      <c r="I35" s="20" t="str">
        <f t="shared" si="3"/>
        <v/>
      </c>
    </row>
    <row r="36" spans="1:9" x14ac:dyDescent="0.3">
      <c r="A36" s="18" t="s">
        <v>50</v>
      </c>
      <c r="B36" s="19">
        <v>45038</v>
      </c>
      <c r="C36" s="20">
        <v>0.34166666666666701</v>
      </c>
      <c r="D36" s="20">
        <v>0.43333333333333302</v>
      </c>
      <c r="E36" s="20">
        <v>9.1666666666666702E-2</v>
      </c>
      <c r="F36" s="21" t="s">
        <v>48</v>
      </c>
      <c r="G36" t="str">
        <f>VLOOKUP(F36,'Tipo Parada Fab 1'!$A$2:$B$27,2,FALSE())</f>
        <v>NP</v>
      </c>
      <c r="H36" s="20" t="str">
        <f t="shared" si="2"/>
        <v/>
      </c>
      <c r="I36" s="20">
        <f t="shared" si="3"/>
        <v>9.1666666666666702E-2</v>
      </c>
    </row>
    <row r="37" spans="1:9" x14ac:dyDescent="0.3">
      <c r="A37" s="18" t="s">
        <v>50</v>
      </c>
      <c r="B37" s="19">
        <v>45039</v>
      </c>
      <c r="C37" s="20">
        <v>0.163194444444444</v>
      </c>
      <c r="D37" s="20">
        <v>0.18541666666666701</v>
      </c>
      <c r="E37" s="20">
        <v>2.2222222222222199E-2</v>
      </c>
      <c r="F37" s="21" t="s">
        <v>38</v>
      </c>
      <c r="G37" t="str">
        <f>VLOOKUP(F37,'Tipo Parada Fab 1'!$A$2:$B$27,2,FALSE())</f>
        <v>NP</v>
      </c>
      <c r="H37" s="20" t="str">
        <f t="shared" si="2"/>
        <v/>
      </c>
      <c r="I37" s="20">
        <f t="shared" si="3"/>
        <v>2.2222222222222199E-2</v>
      </c>
    </row>
    <row r="38" spans="1:9" x14ac:dyDescent="0.3">
      <c r="A38" s="18" t="s">
        <v>50</v>
      </c>
      <c r="B38" s="19">
        <v>45040</v>
      </c>
      <c r="C38" s="20">
        <v>0.74861111111111101</v>
      </c>
      <c r="D38" s="20">
        <v>0.8125</v>
      </c>
      <c r="E38" s="20">
        <v>6.3888888888888995E-2</v>
      </c>
      <c r="F38" s="21" t="s">
        <v>32</v>
      </c>
      <c r="G38" t="str">
        <f>VLOOKUP(F38,'Tipo Parada Fab 1'!$A$2:$B$27,2,FALSE())</f>
        <v>P</v>
      </c>
      <c r="H38" s="20">
        <f t="shared" si="2"/>
        <v>6.3888888888888995E-2</v>
      </c>
      <c r="I38" s="20" t="str">
        <f t="shared" si="3"/>
        <v/>
      </c>
    </row>
    <row r="39" spans="1:9" x14ac:dyDescent="0.3">
      <c r="A39" s="18" t="s">
        <v>50</v>
      </c>
      <c r="B39" s="19">
        <v>45040</v>
      </c>
      <c r="C39" s="20">
        <v>0.8125</v>
      </c>
      <c r="D39" s="20">
        <v>0.875</v>
      </c>
      <c r="E39" s="20">
        <v>6.25E-2</v>
      </c>
      <c r="F39" s="21" t="s">
        <v>32</v>
      </c>
      <c r="G39" t="str">
        <f>VLOOKUP(F39,'Tipo Parada Fab 1'!$A$2:$B$27,2,FALSE())</f>
        <v>P</v>
      </c>
      <c r="H39" s="20">
        <f t="shared" si="2"/>
        <v>6.25E-2</v>
      </c>
      <c r="I39" s="20" t="str">
        <f t="shared" si="3"/>
        <v/>
      </c>
    </row>
    <row r="40" spans="1:9" x14ac:dyDescent="0.3">
      <c r="A40" s="18" t="s">
        <v>50</v>
      </c>
      <c r="B40" s="19">
        <v>45040</v>
      </c>
      <c r="C40" s="20">
        <v>0.875</v>
      </c>
      <c r="D40" s="20">
        <v>0.95347222222222205</v>
      </c>
      <c r="E40" s="20">
        <v>7.8472222222222193E-2</v>
      </c>
      <c r="F40" s="21" t="s">
        <v>33</v>
      </c>
      <c r="G40" t="str">
        <f>VLOOKUP(F40,'Tipo Parada Fab 1'!$A$2:$B$27,2,FALSE())</f>
        <v>P</v>
      </c>
      <c r="H40" s="20">
        <f t="shared" si="2"/>
        <v>7.8472222222222193E-2</v>
      </c>
      <c r="I40" s="20" t="str">
        <f t="shared" si="3"/>
        <v/>
      </c>
    </row>
    <row r="41" spans="1:9" x14ac:dyDescent="0.3">
      <c r="A41" s="18" t="s">
        <v>50</v>
      </c>
      <c r="B41" s="19">
        <v>45041</v>
      </c>
      <c r="C41" s="20">
        <v>0.27777777777777801</v>
      </c>
      <c r="D41" s="20">
        <v>0.29236111111111102</v>
      </c>
      <c r="E41" s="20">
        <v>1.4583333333333301E-2</v>
      </c>
      <c r="F41" s="21" t="s">
        <v>51</v>
      </c>
      <c r="G41" t="str">
        <f>VLOOKUP(F41,'Tipo Parada Fab 1'!$A$2:$B$27,2,FALSE())</f>
        <v>NP</v>
      </c>
      <c r="H41" s="20" t="str">
        <f t="shared" si="2"/>
        <v/>
      </c>
      <c r="I41" s="20">
        <f t="shared" si="3"/>
        <v>1.4583333333333301E-2</v>
      </c>
    </row>
    <row r="42" spans="1:9" x14ac:dyDescent="0.3">
      <c r="A42" s="18" t="s">
        <v>50</v>
      </c>
      <c r="B42" s="19">
        <v>45041</v>
      </c>
      <c r="C42" s="20">
        <v>0.33680555555555602</v>
      </c>
      <c r="D42" s="20">
        <v>0.34513888888888899</v>
      </c>
      <c r="E42" s="20">
        <v>8.3333333333333003E-3</v>
      </c>
      <c r="F42" s="21" t="s">
        <v>35</v>
      </c>
      <c r="G42" t="str">
        <f>VLOOKUP(F42,'Tipo Parada Fab 1'!$A$2:$B$27,2,FALSE())</f>
        <v>NP</v>
      </c>
      <c r="H42" s="20" t="str">
        <f t="shared" si="2"/>
        <v/>
      </c>
      <c r="I42" s="20">
        <f t="shared" si="3"/>
        <v>8.3333333333333003E-3</v>
      </c>
    </row>
    <row r="43" spans="1:9" x14ac:dyDescent="0.3">
      <c r="A43" s="18" t="s">
        <v>50</v>
      </c>
      <c r="B43" s="19">
        <v>45041</v>
      </c>
      <c r="C43" s="20">
        <v>0.74861111111111101</v>
      </c>
      <c r="D43" s="20">
        <v>0.8125</v>
      </c>
      <c r="E43" s="20">
        <v>6.3888888888888995E-2</v>
      </c>
      <c r="F43" s="21" t="s">
        <v>32</v>
      </c>
      <c r="G43" t="str">
        <f>VLOOKUP(F43,'Tipo Parada Fab 1'!$A$2:$B$27,2,FALSE())</f>
        <v>P</v>
      </c>
      <c r="H43" s="20">
        <f t="shared" si="2"/>
        <v>6.3888888888888995E-2</v>
      </c>
      <c r="I43" s="20" t="str">
        <f t="shared" si="3"/>
        <v/>
      </c>
    </row>
    <row r="44" spans="1:9" x14ac:dyDescent="0.3">
      <c r="A44" s="18" t="s">
        <v>50</v>
      </c>
      <c r="B44" s="19">
        <v>45041</v>
      </c>
      <c r="C44" s="20">
        <v>0.8125</v>
      </c>
      <c r="D44" s="20">
        <v>0.87847222222222199</v>
      </c>
      <c r="E44" s="20">
        <v>6.5972222222222196E-2</v>
      </c>
      <c r="F44" s="21" t="s">
        <v>32</v>
      </c>
      <c r="G44" t="str">
        <f>VLOOKUP(F44,'Tipo Parada Fab 1'!$A$2:$B$27,2,FALSE())</f>
        <v>P</v>
      </c>
      <c r="H44" s="20">
        <f t="shared" si="2"/>
        <v>6.5972222222222196E-2</v>
      </c>
      <c r="I44" s="20" t="str">
        <f t="shared" si="3"/>
        <v/>
      </c>
    </row>
    <row r="45" spans="1:9" x14ac:dyDescent="0.3">
      <c r="A45" s="18" t="s">
        <v>50</v>
      </c>
      <c r="B45" s="19">
        <v>45042</v>
      </c>
      <c r="C45" s="20">
        <v>0.48194444444444401</v>
      </c>
      <c r="D45" s="20">
        <v>0.49097222222222198</v>
      </c>
      <c r="E45" s="20">
        <v>9.0277777777777492E-3</v>
      </c>
      <c r="F45" s="21" t="s">
        <v>51</v>
      </c>
      <c r="G45" t="str">
        <f>VLOOKUP(F45,'Tipo Parada Fab 1'!$A$2:$B$27,2,FALSE())</f>
        <v>NP</v>
      </c>
      <c r="H45" s="20" t="str">
        <f t="shared" si="2"/>
        <v/>
      </c>
      <c r="I45" s="20">
        <f t="shared" si="3"/>
        <v>9.0277777777777492E-3</v>
      </c>
    </row>
    <row r="46" spans="1:9" x14ac:dyDescent="0.3">
      <c r="A46" s="18" t="s">
        <v>50</v>
      </c>
      <c r="B46" s="19">
        <v>45042</v>
      </c>
      <c r="C46" s="20">
        <v>0.74861111111111101</v>
      </c>
      <c r="D46" s="20">
        <v>0.8125</v>
      </c>
      <c r="E46" s="20">
        <v>6.3888888888888995E-2</v>
      </c>
      <c r="F46" s="21" t="s">
        <v>32</v>
      </c>
      <c r="G46" t="str">
        <f>VLOOKUP(F46,'Tipo Parada Fab 1'!$A$2:$B$27,2,FALSE())</f>
        <v>P</v>
      </c>
      <c r="H46" s="20">
        <f t="shared" si="2"/>
        <v>6.3888888888888995E-2</v>
      </c>
      <c r="I46" s="20" t="str">
        <f t="shared" si="3"/>
        <v/>
      </c>
    </row>
    <row r="47" spans="1:9" x14ac:dyDescent="0.3">
      <c r="A47" s="18" t="s">
        <v>50</v>
      </c>
      <c r="B47" s="19">
        <v>45042</v>
      </c>
      <c r="C47" s="20">
        <v>0.8125</v>
      </c>
      <c r="D47" s="20">
        <v>0.87708333333333299</v>
      </c>
      <c r="E47" s="20">
        <v>6.4583333333333298E-2</v>
      </c>
      <c r="F47" s="21" t="s">
        <v>32</v>
      </c>
      <c r="G47" t="str">
        <f>VLOOKUP(F47,'Tipo Parada Fab 1'!$A$2:$B$27,2,FALSE())</f>
        <v>P</v>
      </c>
      <c r="H47" s="20">
        <f t="shared" si="2"/>
        <v>6.4583333333333298E-2</v>
      </c>
      <c r="I47" s="20" t="str">
        <f t="shared" si="3"/>
        <v/>
      </c>
    </row>
    <row r="48" spans="1:9" x14ac:dyDescent="0.3">
      <c r="A48" s="18" t="s">
        <v>50</v>
      </c>
      <c r="B48" s="19">
        <v>45043</v>
      </c>
      <c r="C48" s="20">
        <v>0.74861111111111101</v>
      </c>
      <c r="D48" s="20">
        <v>0.8125</v>
      </c>
      <c r="E48" s="20">
        <v>6.3888888888888995E-2</v>
      </c>
      <c r="F48" s="21" t="s">
        <v>32</v>
      </c>
      <c r="G48" t="str">
        <f>VLOOKUP(F48,'Tipo Parada Fab 1'!$A$2:$B$27,2,FALSE())</f>
        <v>P</v>
      </c>
      <c r="H48" s="20">
        <f t="shared" si="2"/>
        <v>6.3888888888888995E-2</v>
      </c>
      <c r="I48" s="20" t="str">
        <f t="shared" si="3"/>
        <v/>
      </c>
    </row>
    <row r="49" spans="1:9" x14ac:dyDescent="0.3">
      <c r="A49" s="18" t="s">
        <v>50</v>
      </c>
      <c r="B49" s="19">
        <v>45043</v>
      </c>
      <c r="C49" s="20">
        <v>0.8125</v>
      </c>
      <c r="D49" s="20">
        <v>0.875694444444444</v>
      </c>
      <c r="E49" s="20">
        <v>6.31944444444444E-2</v>
      </c>
      <c r="F49" s="21" t="s">
        <v>32</v>
      </c>
      <c r="G49" t="str">
        <f>VLOOKUP(F49,'Tipo Parada Fab 1'!$A$2:$B$27,2,FALSE())</f>
        <v>P</v>
      </c>
      <c r="H49" s="20">
        <f t="shared" si="2"/>
        <v>6.31944444444444E-2</v>
      </c>
      <c r="I49" s="20" t="str">
        <f t="shared" si="3"/>
        <v/>
      </c>
    </row>
    <row r="50" spans="1:9" x14ac:dyDescent="0.3">
      <c r="A50" s="18" t="s">
        <v>50</v>
      </c>
      <c r="B50" s="19">
        <v>45043</v>
      </c>
      <c r="C50" s="20">
        <v>0.875694444444444</v>
      </c>
      <c r="D50" s="20">
        <v>0.88124999999999998</v>
      </c>
      <c r="E50" s="20">
        <v>5.5555555555555402E-3</v>
      </c>
      <c r="F50" s="21" t="s">
        <v>35</v>
      </c>
      <c r="G50" t="str">
        <f>VLOOKUP(F50,'Tipo Parada Fab 1'!$A$2:$B$27,2,FALSE())</f>
        <v>NP</v>
      </c>
      <c r="H50" s="20" t="str">
        <f t="shared" si="2"/>
        <v/>
      </c>
      <c r="I50" s="20">
        <f t="shared" si="3"/>
        <v>5.5555555555555402E-3</v>
      </c>
    </row>
    <row r="51" spans="1:9" x14ac:dyDescent="0.3">
      <c r="A51" s="18" t="s">
        <v>50</v>
      </c>
      <c r="B51" s="19">
        <v>45044</v>
      </c>
      <c r="C51" s="20">
        <v>0.74861111111111101</v>
      </c>
      <c r="D51" s="20">
        <v>0.8125</v>
      </c>
      <c r="E51" s="20">
        <v>6.3888888888888995E-2</v>
      </c>
      <c r="F51" s="21" t="s">
        <v>32</v>
      </c>
      <c r="G51" t="str">
        <f>VLOOKUP(F51,'Tipo Parada Fab 1'!$A$2:$B$27,2,FALSE())</f>
        <v>P</v>
      </c>
      <c r="H51" s="20">
        <f t="shared" si="2"/>
        <v>6.3888888888888995E-2</v>
      </c>
      <c r="I51" s="20" t="str">
        <f t="shared" si="3"/>
        <v/>
      </c>
    </row>
    <row r="52" spans="1:9" x14ac:dyDescent="0.3">
      <c r="A52" s="18" t="s">
        <v>50</v>
      </c>
      <c r="B52" s="19">
        <v>45044</v>
      </c>
      <c r="C52" s="20">
        <v>0.8125</v>
      </c>
      <c r="D52" s="20">
        <v>0.875694444444444</v>
      </c>
      <c r="E52" s="20">
        <v>6.31944444444444E-2</v>
      </c>
      <c r="F52" s="21" t="s">
        <v>32</v>
      </c>
      <c r="G52" t="str">
        <f>VLOOKUP(F52,'Tipo Parada Fab 1'!$A$2:$B$27,2,FALSE())</f>
        <v>P</v>
      </c>
      <c r="H52" s="20">
        <f t="shared" si="2"/>
        <v>6.31944444444444E-2</v>
      </c>
      <c r="I52" s="20" t="str">
        <f t="shared" si="3"/>
        <v/>
      </c>
    </row>
    <row r="53" spans="1:9" x14ac:dyDescent="0.3">
      <c r="E53" s="22">
        <f>SUM(E2:E52)</f>
        <v>2.8486111111111141</v>
      </c>
      <c r="H53" s="22">
        <f>SUM(H2:H52)</f>
        <v>2.1055555555555565</v>
      </c>
      <c r="I53" s="22">
        <f>SUM(I2:I52)</f>
        <v>0.74305555555555625</v>
      </c>
    </row>
    <row r="55" spans="1:9" x14ac:dyDescent="0.3">
      <c r="E55" s="23"/>
      <c r="H55" s="23"/>
      <c r="I55" s="23"/>
    </row>
    <row r="56" spans="1:9" x14ac:dyDescent="0.3">
      <c r="E56" s="2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topLeftCell="A55" zoomScaleNormal="100" workbookViewId="0">
      <selection activeCell="F64" sqref="F64"/>
    </sheetView>
  </sheetViews>
  <sheetFormatPr defaultColWidth="8.44140625" defaultRowHeight="15.05" x14ac:dyDescent="0.3"/>
  <cols>
    <col min="2" max="2" width="10.5546875" customWidth="1"/>
    <col min="5" max="5" width="10.5546875" customWidth="1"/>
    <col min="6" max="6" width="42.109375" customWidth="1"/>
    <col min="7" max="7" width="8" customWidth="1"/>
  </cols>
  <sheetData>
    <row r="1" spans="1:9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G1" s="17" t="s">
        <v>28</v>
      </c>
      <c r="H1" s="17" t="s">
        <v>29</v>
      </c>
      <c r="I1" s="17" t="s">
        <v>30</v>
      </c>
    </row>
    <row r="2" spans="1:9" x14ac:dyDescent="0.3">
      <c r="A2" s="18" t="s">
        <v>53</v>
      </c>
      <c r="B2" s="19">
        <v>45018</v>
      </c>
      <c r="C2" s="20">
        <v>0.52222222222222203</v>
      </c>
      <c r="D2" s="20">
        <v>0.52777777777777801</v>
      </c>
      <c r="E2" s="20">
        <v>5.5555555555555402E-3</v>
      </c>
      <c r="F2" s="21" t="s">
        <v>51</v>
      </c>
      <c r="G2" t="str">
        <f>VLOOKUP(F2,'Tipo Parada Fab 1'!$A$2:$B$27,2,FALSE())</f>
        <v>NP</v>
      </c>
      <c r="H2" s="20" t="str">
        <f t="shared" ref="H2:H33" si="0">IF(G2="P",E2,"")</f>
        <v/>
      </c>
      <c r="I2" s="20">
        <f t="shared" ref="I2:I33" si="1">IF(G2="NP",E2,"")</f>
        <v>5.5555555555555402E-3</v>
      </c>
    </row>
    <row r="3" spans="1:9" x14ac:dyDescent="0.3">
      <c r="A3" s="18" t="s">
        <v>53</v>
      </c>
      <c r="B3" s="19">
        <v>45019</v>
      </c>
      <c r="C3" s="20">
        <v>0.64375000000000004</v>
      </c>
      <c r="D3" s="20">
        <v>0.64722222222222203</v>
      </c>
      <c r="E3" s="20">
        <v>3.47222222222232E-3</v>
      </c>
      <c r="F3" s="21" t="s">
        <v>35</v>
      </c>
      <c r="G3" t="str">
        <f>VLOOKUP(F3,'Tipo Parada Fab 1'!$A$2:$B$27,2,FALSE())</f>
        <v>NP</v>
      </c>
      <c r="H3" s="20" t="str">
        <f t="shared" si="0"/>
        <v/>
      </c>
      <c r="I3" s="20">
        <f t="shared" si="1"/>
        <v>3.47222222222232E-3</v>
      </c>
    </row>
    <row r="4" spans="1:9" x14ac:dyDescent="0.3">
      <c r="A4" s="18" t="s">
        <v>53</v>
      </c>
      <c r="B4" s="19">
        <v>45019</v>
      </c>
      <c r="C4" s="20">
        <v>0.65208333333333302</v>
      </c>
      <c r="D4" s="20">
        <v>0.66249999999999998</v>
      </c>
      <c r="E4" s="20">
        <v>1.04166666666666E-2</v>
      </c>
      <c r="F4" s="21" t="s">
        <v>35</v>
      </c>
      <c r="G4" t="str">
        <f>VLOOKUP(F4,'Tipo Parada Fab 1'!$A$2:$B$27,2,FALSE())</f>
        <v>NP</v>
      </c>
      <c r="H4" s="20" t="str">
        <f t="shared" si="0"/>
        <v/>
      </c>
      <c r="I4" s="20">
        <f t="shared" si="1"/>
        <v>1.04166666666666E-2</v>
      </c>
    </row>
    <row r="5" spans="1:9" x14ac:dyDescent="0.3">
      <c r="A5" s="18" t="s">
        <v>53</v>
      </c>
      <c r="B5" s="19">
        <v>45019</v>
      </c>
      <c r="C5" s="20">
        <v>0.8125</v>
      </c>
      <c r="D5" s="20">
        <v>0.875694444444444</v>
      </c>
      <c r="E5" s="20">
        <v>6.31944444444444E-2</v>
      </c>
      <c r="F5" s="21" t="s">
        <v>32</v>
      </c>
      <c r="G5" t="str">
        <f>VLOOKUP(F5,'Tipo Parada Fab 1'!$A$2:$B$27,2,FALSE())</f>
        <v>P</v>
      </c>
      <c r="H5" s="20">
        <f t="shared" si="0"/>
        <v>6.31944444444444E-2</v>
      </c>
      <c r="I5" s="20" t="str">
        <f t="shared" si="1"/>
        <v/>
      </c>
    </row>
    <row r="6" spans="1:9" x14ac:dyDescent="0.3">
      <c r="A6" s="18" t="s">
        <v>53</v>
      </c>
      <c r="B6" s="19">
        <v>45019</v>
      </c>
      <c r="C6" s="20">
        <v>0.93611111111111101</v>
      </c>
      <c r="D6" s="20">
        <v>0.9375</v>
      </c>
      <c r="E6" s="20">
        <v>1.388888888889E-3</v>
      </c>
      <c r="F6" s="21" t="s">
        <v>54</v>
      </c>
      <c r="G6" t="str">
        <f>VLOOKUP(F6,'Tipo Parada Fab 1'!$A$2:$B$27,2,FALSE())</f>
        <v>NP</v>
      </c>
      <c r="H6" s="20" t="str">
        <f t="shared" si="0"/>
        <v/>
      </c>
      <c r="I6" s="20">
        <f t="shared" si="1"/>
        <v>1.388888888889E-3</v>
      </c>
    </row>
    <row r="7" spans="1:9" x14ac:dyDescent="0.3">
      <c r="A7" s="18" t="s">
        <v>53</v>
      </c>
      <c r="B7" s="19">
        <v>45019</v>
      </c>
      <c r="C7" s="20">
        <v>0.95902777777777803</v>
      </c>
      <c r="D7" s="20">
        <v>0.96319444444444402</v>
      </c>
      <c r="E7" s="20">
        <v>4.1666666666667603E-3</v>
      </c>
      <c r="F7" s="21" t="s">
        <v>35</v>
      </c>
      <c r="G7" t="str">
        <f>VLOOKUP(F7,'Tipo Parada Fab 1'!$A$2:$B$27,2,FALSE())</f>
        <v>NP</v>
      </c>
      <c r="H7" s="20" t="str">
        <f t="shared" si="0"/>
        <v/>
      </c>
      <c r="I7" s="20">
        <f t="shared" si="1"/>
        <v>4.1666666666667603E-3</v>
      </c>
    </row>
    <row r="8" spans="1:9" x14ac:dyDescent="0.3">
      <c r="A8" s="18" t="s">
        <v>53</v>
      </c>
      <c r="B8" s="19">
        <v>45020</v>
      </c>
      <c r="C8" s="20">
        <v>0.74861111111111101</v>
      </c>
      <c r="D8" s="20">
        <v>0.8125</v>
      </c>
      <c r="E8" s="20">
        <v>6.3888888888888995E-2</v>
      </c>
      <c r="F8" s="21" t="s">
        <v>32</v>
      </c>
      <c r="G8" t="str">
        <f>VLOOKUP(F8,'Tipo Parada Fab 1'!$A$2:$B$27,2,FALSE())</f>
        <v>P</v>
      </c>
      <c r="H8" s="20">
        <f t="shared" si="0"/>
        <v>6.3888888888888995E-2</v>
      </c>
      <c r="I8" s="20" t="str">
        <f t="shared" si="1"/>
        <v/>
      </c>
    </row>
    <row r="9" spans="1:9" x14ac:dyDescent="0.3">
      <c r="A9" s="18" t="s">
        <v>53</v>
      </c>
      <c r="B9" s="19">
        <v>45020</v>
      </c>
      <c r="C9" s="20">
        <v>0.8125</v>
      </c>
      <c r="D9" s="20">
        <v>0.85069444444444398</v>
      </c>
      <c r="E9" s="20">
        <v>3.8194444444444503E-2</v>
      </c>
      <c r="F9" s="21" t="s">
        <v>32</v>
      </c>
      <c r="G9" t="str">
        <f>VLOOKUP(F9,'Tipo Parada Fab 1'!$A$2:$B$27,2,FALSE())</f>
        <v>P</v>
      </c>
      <c r="H9" s="20">
        <f t="shared" si="0"/>
        <v>3.8194444444444503E-2</v>
      </c>
      <c r="I9" s="20" t="str">
        <f t="shared" si="1"/>
        <v/>
      </c>
    </row>
    <row r="10" spans="1:9" x14ac:dyDescent="0.3">
      <c r="A10" s="18" t="s">
        <v>53</v>
      </c>
      <c r="B10" s="19">
        <v>45021</v>
      </c>
      <c r="C10" s="20">
        <v>0.74861111111111101</v>
      </c>
      <c r="D10" s="20">
        <v>0.8125</v>
      </c>
      <c r="E10" s="20">
        <v>6.3888888888888995E-2</v>
      </c>
      <c r="F10" s="21" t="s">
        <v>32</v>
      </c>
      <c r="G10" t="str">
        <f>VLOOKUP(F10,'Tipo Parada Fab 1'!$A$2:$B$27,2,FALSE())</f>
        <v>P</v>
      </c>
      <c r="H10" s="20">
        <f t="shared" si="0"/>
        <v>6.3888888888888995E-2</v>
      </c>
      <c r="I10" s="20" t="str">
        <f t="shared" si="1"/>
        <v/>
      </c>
    </row>
    <row r="11" spans="1:9" x14ac:dyDescent="0.3">
      <c r="A11" s="18" t="s">
        <v>53</v>
      </c>
      <c r="B11" s="19">
        <v>45021</v>
      </c>
      <c r="C11" s="20">
        <v>0.8125</v>
      </c>
      <c r="D11" s="20">
        <v>0.875</v>
      </c>
      <c r="E11" s="20">
        <v>6.25E-2</v>
      </c>
      <c r="F11" s="21" t="s">
        <v>32</v>
      </c>
      <c r="G11" t="str">
        <f>VLOOKUP(F11,'Tipo Parada Fab 1'!$A$2:$B$27,2,FALSE())</f>
        <v>P</v>
      </c>
      <c r="H11" s="20">
        <f t="shared" si="0"/>
        <v>6.25E-2</v>
      </c>
      <c r="I11" s="20" t="str">
        <f t="shared" si="1"/>
        <v/>
      </c>
    </row>
    <row r="12" spans="1:9" x14ac:dyDescent="0.3">
      <c r="A12" s="18" t="s">
        <v>53</v>
      </c>
      <c r="B12" s="19">
        <v>45021</v>
      </c>
      <c r="C12" s="20">
        <v>0.875</v>
      </c>
      <c r="D12" s="20">
        <v>0.95625000000000004</v>
      </c>
      <c r="E12" s="20">
        <v>8.1249999999999906E-2</v>
      </c>
      <c r="F12" s="21" t="s">
        <v>40</v>
      </c>
      <c r="G12" t="str">
        <f>VLOOKUP(F12,'Tipo Parada Fab 1'!$A$2:$B$27,2,FALSE())</f>
        <v>NP</v>
      </c>
      <c r="H12" s="20" t="str">
        <f t="shared" si="0"/>
        <v/>
      </c>
      <c r="I12" s="20">
        <f t="shared" si="1"/>
        <v>8.1249999999999906E-2</v>
      </c>
    </row>
    <row r="13" spans="1:9" x14ac:dyDescent="0.3">
      <c r="A13" s="18" t="s">
        <v>53</v>
      </c>
      <c r="B13" s="19">
        <v>45022</v>
      </c>
      <c r="C13" s="20">
        <v>0.80069444444444404</v>
      </c>
      <c r="D13" s="20">
        <v>0.80555555555555503</v>
      </c>
      <c r="E13" s="20">
        <v>4.8611111111110904E-3</v>
      </c>
      <c r="F13" s="21" t="s">
        <v>41</v>
      </c>
      <c r="G13" t="str">
        <f>VLOOKUP(F13,'Tipo Parada Fab 1'!$A$2:$B$27,2,FALSE())</f>
        <v>NP</v>
      </c>
      <c r="H13" s="20" t="str">
        <f t="shared" si="0"/>
        <v/>
      </c>
      <c r="I13" s="20">
        <f t="shared" si="1"/>
        <v>4.8611111111110904E-3</v>
      </c>
    </row>
    <row r="14" spans="1:9" x14ac:dyDescent="0.3">
      <c r="A14" s="18" t="s">
        <v>53</v>
      </c>
      <c r="B14" s="19">
        <v>45024</v>
      </c>
      <c r="C14" s="20">
        <v>8.4722222222222199E-2</v>
      </c>
      <c r="D14" s="20">
        <v>8.8194444444444395E-2</v>
      </c>
      <c r="E14" s="20">
        <v>3.4722222222222398E-3</v>
      </c>
      <c r="F14" s="21" t="s">
        <v>35</v>
      </c>
      <c r="G14" t="str">
        <f>VLOOKUP(F14,'Tipo Parada Fab 1'!$A$2:$B$27,2,FALSE())</f>
        <v>NP</v>
      </c>
      <c r="H14" s="20" t="str">
        <f t="shared" si="0"/>
        <v/>
      </c>
      <c r="I14" s="20">
        <f t="shared" si="1"/>
        <v>3.4722222222222398E-3</v>
      </c>
    </row>
    <row r="15" spans="1:9" x14ac:dyDescent="0.3">
      <c r="A15" s="18" t="s">
        <v>53</v>
      </c>
      <c r="B15" s="19">
        <v>45026</v>
      </c>
      <c r="C15" s="20">
        <v>9.7222222222222206E-3</v>
      </c>
      <c r="D15" s="20">
        <v>1.1111111111111099E-2</v>
      </c>
      <c r="E15" s="20">
        <v>1.38888888888889E-3</v>
      </c>
      <c r="F15" s="21" t="s">
        <v>43</v>
      </c>
      <c r="G15" t="str">
        <f>VLOOKUP(F15,'Tipo Parada Fab 1'!$A$2:$B$27,2,FALSE())</f>
        <v>NP</v>
      </c>
      <c r="H15" s="20" t="str">
        <f t="shared" si="0"/>
        <v/>
      </c>
      <c r="I15" s="20">
        <f t="shared" si="1"/>
        <v>1.38888888888889E-3</v>
      </c>
    </row>
    <row r="16" spans="1:9" x14ac:dyDescent="0.3">
      <c r="A16" s="18" t="s">
        <v>53</v>
      </c>
      <c r="B16" s="19">
        <v>45027</v>
      </c>
      <c r="C16" s="20">
        <v>0.111805555555556</v>
      </c>
      <c r="D16" s="20">
        <v>0.113888888888889</v>
      </c>
      <c r="E16" s="20">
        <v>2.0833333333333298E-3</v>
      </c>
      <c r="F16" s="21" t="s">
        <v>43</v>
      </c>
      <c r="G16" t="str">
        <f>VLOOKUP(F16,'Tipo Parada Fab 1'!$A$2:$B$27,2,FALSE())</f>
        <v>NP</v>
      </c>
      <c r="H16" s="20" t="str">
        <f t="shared" si="0"/>
        <v/>
      </c>
      <c r="I16" s="20">
        <f t="shared" si="1"/>
        <v>2.0833333333333298E-3</v>
      </c>
    </row>
    <row r="17" spans="1:9" x14ac:dyDescent="0.3">
      <c r="A17" s="18" t="s">
        <v>53</v>
      </c>
      <c r="B17" s="19">
        <v>45027</v>
      </c>
      <c r="C17" s="20">
        <v>0.74861111111111101</v>
      </c>
      <c r="D17" s="20">
        <v>0.8125</v>
      </c>
      <c r="E17" s="20">
        <v>6.3888888888888995E-2</v>
      </c>
      <c r="F17" s="21" t="s">
        <v>32</v>
      </c>
      <c r="G17" t="str">
        <f>VLOOKUP(F17,'Tipo Parada Fab 1'!$A$2:$B$27,2,FALSE())</f>
        <v>P</v>
      </c>
      <c r="H17" s="20">
        <f t="shared" si="0"/>
        <v>6.3888888888888995E-2</v>
      </c>
      <c r="I17" s="20" t="str">
        <f t="shared" si="1"/>
        <v/>
      </c>
    </row>
    <row r="18" spans="1:9" x14ac:dyDescent="0.3">
      <c r="A18" s="18" t="s">
        <v>53</v>
      </c>
      <c r="B18" s="19">
        <v>45027</v>
      </c>
      <c r="C18" s="20">
        <v>0.8125</v>
      </c>
      <c r="D18" s="20">
        <v>0.875694444444444</v>
      </c>
      <c r="E18" s="20">
        <v>6.31944444444444E-2</v>
      </c>
      <c r="F18" s="21" t="s">
        <v>32</v>
      </c>
      <c r="G18" t="str">
        <f>VLOOKUP(F18,'Tipo Parada Fab 1'!$A$2:$B$27,2,FALSE())</f>
        <v>P</v>
      </c>
      <c r="H18" s="20">
        <f t="shared" si="0"/>
        <v>6.31944444444444E-2</v>
      </c>
      <c r="I18" s="20" t="str">
        <f t="shared" si="1"/>
        <v/>
      </c>
    </row>
    <row r="19" spans="1:9" x14ac:dyDescent="0.3">
      <c r="A19" s="18" t="s">
        <v>53</v>
      </c>
      <c r="B19" s="19">
        <v>45027</v>
      </c>
      <c r="C19" s="20">
        <v>0.875694444444444</v>
      </c>
      <c r="D19" s="20">
        <v>0.88749999999999996</v>
      </c>
      <c r="E19" s="20">
        <v>1.18055555555556E-2</v>
      </c>
      <c r="F19" s="21" t="s">
        <v>47</v>
      </c>
      <c r="G19" t="str">
        <f>VLOOKUP(F19,'Tipo Parada Fab 1'!$A$2:$B$27,2,FALSE())</f>
        <v>NP</v>
      </c>
      <c r="H19" s="20" t="str">
        <f t="shared" si="0"/>
        <v/>
      </c>
      <c r="I19" s="20">
        <f t="shared" si="1"/>
        <v>1.18055555555556E-2</v>
      </c>
    </row>
    <row r="20" spans="1:9" x14ac:dyDescent="0.3">
      <c r="A20" s="18" t="s">
        <v>53</v>
      </c>
      <c r="B20" s="19">
        <v>45028</v>
      </c>
      <c r="C20" s="20">
        <v>0.42569444444444399</v>
      </c>
      <c r="D20" s="20">
        <v>0.42777777777777798</v>
      </c>
      <c r="E20" s="20">
        <v>2.0833333333333801E-3</v>
      </c>
      <c r="F20" s="21" t="s">
        <v>43</v>
      </c>
      <c r="G20" t="str">
        <f>VLOOKUP(F20,'Tipo Parada Fab 1'!$A$2:$B$27,2,FALSE())</f>
        <v>NP</v>
      </c>
      <c r="H20" s="20" t="str">
        <f t="shared" si="0"/>
        <v/>
      </c>
      <c r="I20" s="20">
        <f t="shared" si="1"/>
        <v>2.0833333333333801E-3</v>
      </c>
    </row>
    <row r="21" spans="1:9" x14ac:dyDescent="0.3">
      <c r="A21" s="18" t="s">
        <v>53</v>
      </c>
      <c r="B21" s="19">
        <v>45028</v>
      </c>
      <c r="C21" s="20">
        <v>0.74861111111111101</v>
      </c>
      <c r="D21" s="20">
        <v>0.8125</v>
      </c>
      <c r="E21" s="20">
        <v>6.3888888888888995E-2</v>
      </c>
      <c r="F21" s="21" t="s">
        <v>32</v>
      </c>
      <c r="G21" t="str">
        <f>VLOOKUP(F21,'Tipo Parada Fab 1'!$A$2:$B$27,2,FALSE())</f>
        <v>P</v>
      </c>
      <c r="H21" s="20">
        <f t="shared" si="0"/>
        <v>6.3888888888888995E-2</v>
      </c>
      <c r="I21" s="20" t="str">
        <f t="shared" si="1"/>
        <v/>
      </c>
    </row>
    <row r="22" spans="1:9" x14ac:dyDescent="0.3">
      <c r="A22" s="18" t="s">
        <v>53</v>
      </c>
      <c r="B22" s="19">
        <v>45028</v>
      </c>
      <c r="C22" s="20">
        <v>0.8125</v>
      </c>
      <c r="D22" s="20">
        <v>0.875694444444444</v>
      </c>
      <c r="E22" s="20">
        <v>6.31944444444444E-2</v>
      </c>
      <c r="F22" s="21" t="s">
        <v>32</v>
      </c>
      <c r="G22" t="str">
        <f>VLOOKUP(F22,'Tipo Parada Fab 1'!$A$2:$B$27,2,FALSE())</f>
        <v>P</v>
      </c>
      <c r="H22" s="20">
        <f t="shared" si="0"/>
        <v>6.31944444444444E-2</v>
      </c>
      <c r="I22" s="20" t="str">
        <f t="shared" si="1"/>
        <v/>
      </c>
    </row>
    <row r="23" spans="1:9" x14ac:dyDescent="0.3">
      <c r="A23" s="18" t="s">
        <v>53</v>
      </c>
      <c r="B23" s="19">
        <v>45029</v>
      </c>
      <c r="C23" s="20">
        <v>0.15833333333333299</v>
      </c>
      <c r="D23" s="20">
        <v>0.15972222222222199</v>
      </c>
      <c r="E23" s="20">
        <v>1.38888888888891E-3</v>
      </c>
      <c r="F23" s="21" t="s">
        <v>43</v>
      </c>
      <c r="G23" t="str">
        <f>VLOOKUP(F23,'Tipo Parada Fab 1'!$A$2:$B$27,2,FALSE())</f>
        <v>NP</v>
      </c>
      <c r="H23" s="20" t="str">
        <f t="shared" si="0"/>
        <v/>
      </c>
      <c r="I23" s="20">
        <f t="shared" si="1"/>
        <v>1.38888888888891E-3</v>
      </c>
    </row>
    <row r="24" spans="1:9" x14ac:dyDescent="0.3">
      <c r="A24" s="18" t="s">
        <v>53</v>
      </c>
      <c r="B24" s="19">
        <v>45029</v>
      </c>
      <c r="C24" s="20">
        <v>0.20694444444444399</v>
      </c>
      <c r="D24" s="20">
        <v>0.20902777777777801</v>
      </c>
      <c r="E24" s="20">
        <v>2.0833333333333298E-3</v>
      </c>
      <c r="F24" s="21" t="s">
        <v>43</v>
      </c>
      <c r="G24" t="str">
        <f>VLOOKUP(F24,'Tipo Parada Fab 1'!$A$2:$B$27,2,FALSE())</f>
        <v>NP</v>
      </c>
      <c r="H24" s="20" t="str">
        <f t="shared" si="0"/>
        <v/>
      </c>
      <c r="I24" s="20">
        <f t="shared" si="1"/>
        <v>2.0833333333333298E-3</v>
      </c>
    </row>
    <row r="25" spans="1:9" x14ac:dyDescent="0.3">
      <c r="A25" s="18" t="s">
        <v>53</v>
      </c>
      <c r="B25" s="19">
        <v>45029</v>
      </c>
      <c r="C25" s="20">
        <v>0.25486111111111098</v>
      </c>
      <c r="D25" s="20">
        <v>0.25763888888888897</v>
      </c>
      <c r="E25" s="20">
        <v>2.77777777777782E-3</v>
      </c>
      <c r="F25" s="21" t="s">
        <v>43</v>
      </c>
      <c r="G25" t="str">
        <f>VLOOKUP(F25,'Tipo Parada Fab 1'!$A$2:$B$27,2,FALSE())</f>
        <v>NP</v>
      </c>
      <c r="H25" s="20" t="str">
        <f t="shared" si="0"/>
        <v/>
      </c>
      <c r="I25" s="20">
        <f t="shared" si="1"/>
        <v>2.77777777777782E-3</v>
      </c>
    </row>
    <row r="26" spans="1:9" x14ac:dyDescent="0.3">
      <c r="A26" s="18" t="s">
        <v>53</v>
      </c>
      <c r="B26" s="19">
        <v>45029</v>
      </c>
      <c r="C26" s="20">
        <v>0.74861111111111101</v>
      </c>
      <c r="D26" s="20">
        <v>0.8125</v>
      </c>
      <c r="E26" s="20">
        <v>6.3888888888888995E-2</v>
      </c>
      <c r="F26" s="21" t="s">
        <v>32</v>
      </c>
      <c r="G26" t="str">
        <f>VLOOKUP(F26,'Tipo Parada Fab 1'!$A$2:$B$27,2,FALSE())</f>
        <v>P</v>
      </c>
      <c r="H26" s="20">
        <f t="shared" si="0"/>
        <v>6.3888888888888995E-2</v>
      </c>
      <c r="I26" s="20" t="str">
        <f t="shared" si="1"/>
        <v/>
      </c>
    </row>
    <row r="27" spans="1:9" x14ac:dyDescent="0.3">
      <c r="A27" s="18" t="s">
        <v>53</v>
      </c>
      <c r="B27" s="19">
        <v>45029</v>
      </c>
      <c r="C27" s="20">
        <v>0.8125</v>
      </c>
      <c r="D27" s="20">
        <v>0.875694444444444</v>
      </c>
      <c r="E27" s="20">
        <v>6.31944444444444E-2</v>
      </c>
      <c r="F27" s="21" t="s">
        <v>32</v>
      </c>
      <c r="G27" t="str">
        <f>VLOOKUP(F27,'Tipo Parada Fab 1'!$A$2:$B$27,2,FALSE())</f>
        <v>P</v>
      </c>
      <c r="H27" s="20">
        <f t="shared" si="0"/>
        <v>6.31944444444444E-2</v>
      </c>
      <c r="I27" s="20" t="str">
        <f t="shared" si="1"/>
        <v/>
      </c>
    </row>
    <row r="28" spans="1:9" x14ac:dyDescent="0.3">
      <c r="A28" s="18" t="s">
        <v>53</v>
      </c>
      <c r="B28" s="19">
        <v>45030</v>
      </c>
      <c r="C28" s="20">
        <v>0.74861111111111101</v>
      </c>
      <c r="D28" s="20">
        <v>0.8125</v>
      </c>
      <c r="E28" s="20">
        <v>6.3888888888888995E-2</v>
      </c>
      <c r="F28" s="21" t="s">
        <v>32</v>
      </c>
      <c r="G28" t="str">
        <f>VLOOKUP(F28,'Tipo Parada Fab 1'!$A$2:$B$27,2,FALSE())</f>
        <v>P</v>
      </c>
      <c r="H28" s="20">
        <f t="shared" si="0"/>
        <v>6.3888888888888995E-2</v>
      </c>
      <c r="I28" s="20" t="str">
        <f t="shared" si="1"/>
        <v/>
      </c>
    </row>
    <row r="29" spans="1:9" x14ac:dyDescent="0.3">
      <c r="A29" s="18" t="s">
        <v>53</v>
      </c>
      <c r="B29" s="19">
        <v>45030</v>
      </c>
      <c r="C29" s="20">
        <v>0.8125</v>
      </c>
      <c r="D29" s="20">
        <v>0.87847222222222199</v>
      </c>
      <c r="E29" s="20">
        <v>6.5972222222222196E-2</v>
      </c>
      <c r="F29" s="21" t="s">
        <v>32</v>
      </c>
      <c r="G29" t="str">
        <f>VLOOKUP(F29,'Tipo Parada Fab 1'!$A$2:$B$27,2,FALSE())</f>
        <v>P</v>
      </c>
      <c r="H29" s="20">
        <f t="shared" si="0"/>
        <v>6.5972222222222196E-2</v>
      </c>
      <c r="I29" s="20" t="str">
        <f t="shared" si="1"/>
        <v/>
      </c>
    </row>
    <row r="30" spans="1:9" x14ac:dyDescent="0.3">
      <c r="A30" s="18" t="s">
        <v>53</v>
      </c>
      <c r="B30" s="19">
        <v>45033</v>
      </c>
      <c r="C30" s="20">
        <v>0.74861111111111101</v>
      </c>
      <c r="D30" s="20">
        <v>0.8125</v>
      </c>
      <c r="E30" s="20">
        <v>6.3888888888888995E-2</v>
      </c>
      <c r="F30" s="21" t="s">
        <v>32</v>
      </c>
      <c r="G30" t="str">
        <f>VLOOKUP(F30,'Tipo Parada Fab 1'!$A$2:$B$27,2,FALSE())</f>
        <v>P</v>
      </c>
      <c r="H30" s="20">
        <f t="shared" si="0"/>
        <v>6.3888888888888995E-2</v>
      </c>
      <c r="I30" s="20" t="str">
        <f t="shared" si="1"/>
        <v/>
      </c>
    </row>
    <row r="31" spans="1:9" x14ac:dyDescent="0.3">
      <c r="A31" s="18" t="s">
        <v>53</v>
      </c>
      <c r="B31" s="19">
        <v>45033</v>
      </c>
      <c r="C31" s="20">
        <v>0.8125</v>
      </c>
      <c r="D31" s="20">
        <v>0.875694444444444</v>
      </c>
      <c r="E31" s="20">
        <v>6.31944444444444E-2</v>
      </c>
      <c r="F31" s="21" t="s">
        <v>32</v>
      </c>
      <c r="G31" t="str">
        <f>VLOOKUP(F31,'Tipo Parada Fab 1'!$A$2:$B$27,2,FALSE())</f>
        <v>P</v>
      </c>
      <c r="H31" s="20">
        <f t="shared" si="0"/>
        <v>6.31944444444444E-2</v>
      </c>
      <c r="I31" s="20" t="str">
        <f t="shared" si="1"/>
        <v/>
      </c>
    </row>
    <row r="32" spans="1:9" x14ac:dyDescent="0.3">
      <c r="A32" s="18" t="s">
        <v>53</v>
      </c>
      <c r="B32" s="19">
        <v>45034</v>
      </c>
      <c r="C32" s="20">
        <v>0.16666666666666699</v>
      </c>
      <c r="D32" s="20">
        <v>0.249305555555556</v>
      </c>
      <c r="E32" s="20">
        <v>8.2638888888888901E-2</v>
      </c>
      <c r="F32" s="21" t="s">
        <v>55</v>
      </c>
      <c r="G32" t="str">
        <f>VLOOKUP(F32,'Tipo Parada Fab 1'!$A$2:$B$27,2,FALSE())</f>
        <v>NP</v>
      </c>
      <c r="H32" s="20" t="str">
        <f t="shared" si="0"/>
        <v/>
      </c>
      <c r="I32" s="20">
        <f t="shared" si="1"/>
        <v>8.2638888888888901E-2</v>
      </c>
    </row>
    <row r="33" spans="1:9" x14ac:dyDescent="0.3">
      <c r="A33" s="18" t="s">
        <v>53</v>
      </c>
      <c r="B33" s="19">
        <v>45034</v>
      </c>
      <c r="C33" s="20">
        <v>0.74861111111111101</v>
      </c>
      <c r="D33" s="20">
        <v>0.8125</v>
      </c>
      <c r="E33" s="20">
        <v>6.3888888888888995E-2</v>
      </c>
      <c r="F33" s="21" t="s">
        <v>32</v>
      </c>
      <c r="G33" t="str">
        <f>VLOOKUP(F33,'Tipo Parada Fab 1'!$A$2:$B$27,2,FALSE())</f>
        <v>P</v>
      </c>
      <c r="H33" s="20">
        <f t="shared" si="0"/>
        <v>6.3888888888888995E-2</v>
      </c>
      <c r="I33" s="20" t="str">
        <f t="shared" si="1"/>
        <v/>
      </c>
    </row>
    <row r="34" spans="1:9" x14ac:dyDescent="0.3">
      <c r="A34" s="18" t="s">
        <v>53</v>
      </c>
      <c r="B34" s="19">
        <v>45034</v>
      </c>
      <c r="C34" s="20">
        <v>0.8125</v>
      </c>
      <c r="D34" s="20">
        <v>0.875694444444444</v>
      </c>
      <c r="E34" s="20">
        <v>6.31944444444444E-2</v>
      </c>
      <c r="F34" s="21" t="s">
        <v>32</v>
      </c>
      <c r="G34" t="str">
        <f>VLOOKUP(F34,'Tipo Parada Fab 1'!$A$2:$B$27,2,FALSE())</f>
        <v>P</v>
      </c>
      <c r="H34" s="20">
        <f t="shared" ref="H34:H65" si="2">IF(G34="P",E34,"")</f>
        <v>6.31944444444444E-2</v>
      </c>
      <c r="I34" s="20" t="str">
        <f t="shared" ref="I34:I60" si="3">IF(G34="NP",E34,"")</f>
        <v/>
      </c>
    </row>
    <row r="35" spans="1:9" x14ac:dyDescent="0.3">
      <c r="A35" s="18" t="s">
        <v>53</v>
      </c>
      <c r="B35" s="19">
        <v>45035</v>
      </c>
      <c r="C35" s="20">
        <v>0.74861111111111101</v>
      </c>
      <c r="D35" s="20">
        <v>0.8125</v>
      </c>
      <c r="E35" s="20">
        <v>6.3888888888888995E-2</v>
      </c>
      <c r="F35" s="21" t="s">
        <v>32</v>
      </c>
      <c r="G35" t="str">
        <f>VLOOKUP(F35,'Tipo Parada Fab 1'!$A$2:$B$27,2,FALSE())</f>
        <v>P</v>
      </c>
      <c r="H35" s="20">
        <f t="shared" si="2"/>
        <v>6.3888888888888995E-2</v>
      </c>
      <c r="I35" s="20" t="str">
        <f t="shared" si="3"/>
        <v/>
      </c>
    </row>
    <row r="36" spans="1:9" x14ac:dyDescent="0.3">
      <c r="A36" s="18" t="s">
        <v>53</v>
      </c>
      <c r="B36" s="19">
        <v>45035</v>
      </c>
      <c r="C36" s="20">
        <v>0.8125</v>
      </c>
      <c r="D36" s="20">
        <v>0.87777777777777799</v>
      </c>
      <c r="E36" s="20">
        <v>6.5277777777777796E-2</v>
      </c>
      <c r="F36" s="21" t="s">
        <v>32</v>
      </c>
      <c r="G36" t="str">
        <f>VLOOKUP(F36,'Tipo Parada Fab 1'!$A$2:$B$27,2,FALSE())</f>
        <v>P</v>
      </c>
      <c r="H36" s="20">
        <f t="shared" si="2"/>
        <v>6.5277777777777796E-2</v>
      </c>
      <c r="I36" s="20" t="str">
        <f t="shared" si="3"/>
        <v/>
      </c>
    </row>
    <row r="37" spans="1:9" x14ac:dyDescent="0.3">
      <c r="A37" s="18" t="s">
        <v>53</v>
      </c>
      <c r="B37" s="19">
        <v>45036</v>
      </c>
      <c r="C37" s="20">
        <v>0.74861111111111101</v>
      </c>
      <c r="D37" s="20">
        <v>0.8125</v>
      </c>
      <c r="E37" s="20">
        <v>6.3888888888888995E-2</v>
      </c>
      <c r="F37" s="21" t="s">
        <v>32</v>
      </c>
      <c r="G37" t="str">
        <f>VLOOKUP(F37,'Tipo Parada Fab 1'!$A$2:$B$27,2,FALSE())</f>
        <v>P</v>
      </c>
      <c r="H37" s="20">
        <f t="shared" si="2"/>
        <v>6.3888888888888995E-2</v>
      </c>
      <c r="I37" s="20" t="str">
        <f t="shared" si="3"/>
        <v/>
      </c>
    </row>
    <row r="38" spans="1:9" x14ac:dyDescent="0.3">
      <c r="A38" s="18" t="s">
        <v>53</v>
      </c>
      <c r="B38" s="19">
        <v>45036</v>
      </c>
      <c r="C38" s="20">
        <v>0.8125</v>
      </c>
      <c r="D38" s="20">
        <v>0.87847222222222199</v>
      </c>
      <c r="E38" s="20">
        <v>6.5972222222222196E-2</v>
      </c>
      <c r="F38" s="21" t="s">
        <v>32</v>
      </c>
      <c r="G38" t="str">
        <f>VLOOKUP(F38,'Tipo Parada Fab 1'!$A$2:$B$27,2,FALSE())</f>
        <v>P</v>
      </c>
      <c r="H38" s="20">
        <f t="shared" si="2"/>
        <v>6.5972222222222196E-2</v>
      </c>
      <c r="I38" s="20" t="str">
        <f t="shared" si="3"/>
        <v/>
      </c>
    </row>
    <row r="39" spans="1:9" x14ac:dyDescent="0.3">
      <c r="A39" s="18" t="s">
        <v>53</v>
      </c>
      <c r="B39" s="19">
        <v>45037</v>
      </c>
      <c r="C39" s="20">
        <v>0.57222222222222197</v>
      </c>
      <c r="D39" s="20">
        <v>0.594444444444444</v>
      </c>
      <c r="E39" s="20">
        <v>2.2222222222222299E-2</v>
      </c>
      <c r="F39" s="21" t="s">
        <v>48</v>
      </c>
      <c r="G39" t="str">
        <f>VLOOKUP(F39,'Tipo Parada Fab 1'!$A$2:$B$27,2,FALSE())</f>
        <v>NP</v>
      </c>
      <c r="H39" s="20" t="str">
        <f t="shared" si="2"/>
        <v/>
      </c>
      <c r="I39" s="20">
        <f t="shared" si="3"/>
        <v>2.2222222222222299E-2</v>
      </c>
    </row>
    <row r="40" spans="1:9" x14ac:dyDescent="0.3">
      <c r="A40" s="18" t="s">
        <v>53</v>
      </c>
      <c r="B40" s="19">
        <v>45037</v>
      </c>
      <c r="C40" s="20">
        <v>3.05555555555556E-2</v>
      </c>
      <c r="D40" s="20">
        <v>4.3055555555555597E-2</v>
      </c>
      <c r="E40" s="20">
        <v>1.2500000000000001E-2</v>
      </c>
      <c r="F40" s="21" t="s">
        <v>48</v>
      </c>
      <c r="G40" t="str">
        <f>VLOOKUP(F40,'Tipo Parada Fab 1'!$A$2:$B$27,2,FALSE())</f>
        <v>NP</v>
      </c>
      <c r="H40" s="20" t="str">
        <f t="shared" si="2"/>
        <v/>
      </c>
      <c r="I40" s="20">
        <f t="shared" si="3"/>
        <v>1.2500000000000001E-2</v>
      </c>
    </row>
    <row r="41" spans="1:9" x14ac:dyDescent="0.3">
      <c r="A41" s="18" t="s">
        <v>53</v>
      </c>
      <c r="B41" s="19">
        <v>45038</v>
      </c>
      <c r="C41" s="20">
        <v>0.34583333333333299</v>
      </c>
      <c r="D41" s="20">
        <v>0.40625</v>
      </c>
      <c r="E41" s="20">
        <v>6.0416666666666598E-2</v>
      </c>
      <c r="F41" s="21" t="s">
        <v>48</v>
      </c>
      <c r="G41" t="str">
        <f>VLOOKUP(F41,'Tipo Parada Fab 1'!$A$2:$B$27,2,FALSE())</f>
        <v>NP</v>
      </c>
      <c r="H41" s="20" t="str">
        <f t="shared" si="2"/>
        <v/>
      </c>
      <c r="I41" s="20">
        <f t="shared" si="3"/>
        <v>6.0416666666666598E-2</v>
      </c>
    </row>
    <row r="42" spans="1:9" x14ac:dyDescent="0.3">
      <c r="A42" s="18" t="s">
        <v>53</v>
      </c>
      <c r="B42" s="19">
        <v>45039</v>
      </c>
      <c r="C42" s="20">
        <v>0.78888888888888897</v>
      </c>
      <c r="D42" s="20">
        <v>0.8125</v>
      </c>
      <c r="E42" s="20">
        <v>2.36111111111111E-2</v>
      </c>
      <c r="F42" s="21" t="s">
        <v>45</v>
      </c>
      <c r="G42" t="str">
        <f>VLOOKUP(F42,'Tipo Parada Fab 1'!$A$2:$B$27,2,FALSE())</f>
        <v>NP</v>
      </c>
      <c r="H42" s="20" t="str">
        <f t="shared" si="2"/>
        <v/>
      </c>
      <c r="I42" s="20">
        <f t="shared" si="3"/>
        <v>2.36111111111111E-2</v>
      </c>
    </row>
    <row r="43" spans="1:9" x14ac:dyDescent="0.3">
      <c r="A43" s="18" t="s">
        <v>53</v>
      </c>
      <c r="B43" s="19">
        <v>45039</v>
      </c>
      <c r="C43" s="20">
        <v>0.8125</v>
      </c>
      <c r="D43" s="20">
        <v>0.89027777777777795</v>
      </c>
      <c r="E43" s="20">
        <v>7.7777777777777807E-2</v>
      </c>
      <c r="F43" s="21" t="s">
        <v>45</v>
      </c>
      <c r="G43" t="str">
        <f>VLOOKUP(F43,'Tipo Parada Fab 1'!$A$2:$B$27,2,FALSE())</f>
        <v>NP</v>
      </c>
      <c r="H43" s="20" t="str">
        <f t="shared" si="2"/>
        <v/>
      </c>
      <c r="I43" s="20">
        <f t="shared" si="3"/>
        <v>7.7777777777777807E-2</v>
      </c>
    </row>
    <row r="44" spans="1:9" x14ac:dyDescent="0.3">
      <c r="A44" s="18" t="s">
        <v>53</v>
      </c>
      <c r="B44" s="19">
        <v>45040</v>
      </c>
      <c r="C44" s="20">
        <v>0.74861111111111101</v>
      </c>
      <c r="D44" s="20">
        <v>0.8125</v>
      </c>
      <c r="E44" s="20">
        <v>6.3888888888888995E-2</v>
      </c>
      <c r="F44" s="21" t="s">
        <v>32</v>
      </c>
      <c r="G44" t="str">
        <f>VLOOKUP(F44,'Tipo Parada Fab 1'!$A$2:$B$27,2,FALSE())</f>
        <v>P</v>
      </c>
      <c r="H44" s="20">
        <f t="shared" si="2"/>
        <v>6.3888888888888995E-2</v>
      </c>
      <c r="I44" s="20" t="str">
        <f t="shared" si="3"/>
        <v/>
      </c>
    </row>
    <row r="45" spans="1:9" x14ac:dyDescent="0.3">
      <c r="A45" s="18" t="s">
        <v>53</v>
      </c>
      <c r="B45" s="19">
        <v>45040</v>
      </c>
      <c r="C45" s="20">
        <v>0.8125</v>
      </c>
      <c r="D45" s="20">
        <v>0.875694444444444</v>
      </c>
      <c r="E45" s="20">
        <v>6.31944444444444E-2</v>
      </c>
      <c r="F45" s="21" t="s">
        <v>32</v>
      </c>
      <c r="G45" t="str">
        <f>VLOOKUP(F45,'Tipo Parada Fab 1'!$A$2:$B$27,2,FALSE())</f>
        <v>P</v>
      </c>
      <c r="H45" s="20">
        <f t="shared" si="2"/>
        <v>6.31944444444444E-2</v>
      </c>
      <c r="I45" s="20" t="str">
        <f t="shared" si="3"/>
        <v/>
      </c>
    </row>
    <row r="46" spans="1:9" x14ac:dyDescent="0.3">
      <c r="A46" s="18" t="s">
        <v>53</v>
      </c>
      <c r="B46" s="19">
        <v>45041</v>
      </c>
      <c r="C46" s="20">
        <v>0.74861111111111101</v>
      </c>
      <c r="D46" s="20">
        <v>0.8125</v>
      </c>
      <c r="E46" s="20">
        <v>6.3888888888888995E-2</v>
      </c>
      <c r="F46" s="21" t="s">
        <v>32</v>
      </c>
      <c r="G46" t="str">
        <f>VLOOKUP(F46,'Tipo Parada Fab 1'!$A$2:$B$27,2,FALSE())</f>
        <v>P</v>
      </c>
      <c r="H46" s="20">
        <f t="shared" si="2"/>
        <v>6.3888888888888995E-2</v>
      </c>
      <c r="I46" s="20" t="str">
        <f t="shared" si="3"/>
        <v/>
      </c>
    </row>
    <row r="47" spans="1:9" x14ac:dyDescent="0.3">
      <c r="A47" s="18" t="s">
        <v>53</v>
      </c>
      <c r="B47" s="19">
        <v>45041</v>
      </c>
      <c r="C47" s="20">
        <v>0.8125</v>
      </c>
      <c r="D47" s="20">
        <v>0.87847222222222199</v>
      </c>
      <c r="E47" s="20">
        <v>6.5972222222222196E-2</v>
      </c>
      <c r="F47" s="21" t="s">
        <v>32</v>
      </c>
      <c r="G47" t="str">
        <f>VLOOKUP(F47,'Tipo Parada Fab 1'!$A$2:$B$27,2,FALSE())</f>
        <v>P</v>
      </c>
      <c r="H47" s="20">
        <f t="shared" si="2"/>
        <v>6.5972222222222196E-2</v>
      </c>
      <c r="I47" s="20" t="str">
        <f t="shared" si="3"/>
        <v/>
      </c>
    </row>
    <row r="48" spans="1:9" x14ac:dyDescent="0.3">
      <c r="A48" s="18" t="s">
        <v>53</v>
      </c>
      <c r="B48" s="19">
        <v>45042</v>
      </c>
      <c r="C48" s="20">
        <v>0.22083333333333299</v>
      </c>
      <c r="D48" s="20">
        <v>0.225694444444444</v>
      </c>
      <c r="E48" s="20">
        <v>4.8611111111111199E-3</v>
      </c>
      <c r="F48" s="21" t="s">
        <v>43</v>
      </c>
      <c r="G48" t="str">
        <f>VLOOKUP(F48,'Tipo Parada Fab 1'!$A$2:$B$27,2,FALSE())</f>
        <v>NP</v>
      </c>
      <c r="H48" s="20" t="str">
        <f t="shared" si="2"/>
        <v/>
      </c>
      <c r="I48" s="20">
        <f t="shared" si="3"/>
        <v>4.8611111111111199E-3</v>
      </c>
    </row>
    <row r="49" spans="1:9" x14ac:dyDescent="0.3">
      <c r="A49" s="18" t="s">
        <v>53</v>
      </c>
      <c r="B49" s="19">
        <v>45042</v>
      </c>
      <c r="C49" s="20">
        <v>0.74861111111111101</v>
      </c>
      <c r="D49" s="20">
        <v>0.8125</v>
      </c>
      <c r="E49" s="20">
        <v>6.3888888888888995E-2</v>
      </c>
      <c r="F49" s="21" t="s">
        <v>32</v>
      </c>
      <c r="G49" t="str">
        <f>VLOOKUP(F49,'Tipo Parada Fab 1'!$A$2:$B$27,2,FALSE())</f>
        <v>P</v>
      </c>
      <c r="H49" s="20">
        <f t="shared" si="2"/>
        <v>6.3888888888888995E-2</v>
      </c>
      <c r="I49" s="20" t="str">
        <f t="shared" si="3"/>
        <v/>
      </c>
    </row>
    <row r="50" spans="1:9" x14ac:dyDescent="0.3">
      <c r="A50" s="18" t="s">
        <v>53</v>
      </c>
      <c r="B50" s="19">
        <v>45042</v>
      </c>
      <c r="C50" s="20">
        <v>0.8125</v>
      </c>
      <c r="D50" s="20">
        <v>0.87708333333333299</v>
      </c>
      <c r="E50" s="20">
        <v>6.4583333333333298E-2</v>
      </c>
      <c r="F50" s="21" t="s">
        <v>32</v>
      </c>
      <c r="G50" t="str">
        <f>VLOOKUP(F50,'Tipo Parada Fab 1'!$A$2:$B$27,2,FALSE())</f>
        <v>P</v>
      </c>
      <c r="H50" s="20">
        <f t="shared" si="2"/>
        <v>6.4583333333333298E-2</v>
      </c>
      <c r="I50" s="20" t="str">
        <f t="shared" si="3"/>
        <v/>
      </c>
    </row>
    <row r="51" spans="1:9" x14ac:dyDescent="0.3">
      <c r="A51" s="18" t="s">
        <v>53</v>
      </c>
      <c r="B51" s="19">
        <v>45043</v>
      </c>
      <c r="C51" s="20">
        <v>0.12777777777777799</v>
      </c>
      <c r="D51" s="20">
        <v>0.23749999999999999</v>
      </c>
      <c r="E51" s="20">
        <v>0.109722222222222</v>
      </c>
      <c r="F51" s="21" t="s">
        <v>34</v>
      </c>
      <c r="G51" t="str">
        <f>VLOOKUP(F51,'Tipo Parada Fab 1'!$A$2:$B$27,2,FALSE())</f>
        <v>NP</v>
      </c>
      <c r="H51" s="20" t="str">
        <f t="shared" si="2"/>
        <v/>
      </c>
      <c r="I51" s="20">
        <f t="shared" si="3"/>
        <v>0.109722222222222</v>
      </c>
    </row>
    <row r="52" spans="1:9" x14ac:dyDescent="0.3">
      <c r="A52" s="18" t="s">
        <v>53</v>
      </c>
      <c r="B52" s="19">
        <v>45043</v>
      </c>
      <c r="C52" s="20">
        <v>0.65833333333333299</v>
      </c>
      <c r="D52" s="20">
        <v>0.66388888888888897</v>
      </c>
      <c r="E52" s="20">
        <v>5.5555555555555402E-3</v>
      </c>
      <c r="F52" s="21" t="s">
        <v>51</v>
      </c>
      <c r="G52" t="str">
        <f>VLOOKUP(F52,'Tipo Parada Fab 1'!$A$2:$B$27,2,FALSE())</f>
        <v>NP</v>
      </c>
      <c r="H52" s="20" t="str">
        <f t="shared" si="2"/>
        <v/>
      </c>
      <c r="I52" s="20">
        <f t="shared" si="3"/>
        <v>5.5555555555555402E-3</v>
      </c>
    </row>
    <row r="53" spans="1:9" x14ac:dyDescent="0.3">
      <c r="A53" s="18" t="s">
        <v>53</v>
      </c>
      <c r="B53" s="19">
        <v>45043</v>
      </c>
      <c r="C53" s="20">
        <v>0.74861111111111101</v>
      </c>
      <c r="D53" s="20">
        <v>0.8125</v>
      </c>
      <c r="E53" s="20">
        <v>6.3888888888888995E-2</v>
      </c>
      <c r="F53" s="21" t="s">
        <v>32</v>
      </c>
      <c r="G53" t="str">
        <f>VLOOKUP(F53,'Tipo Parada Fab 1'!$A$2:$B$27,2,FALSE())</f>
        <v>P</v>
      </c>
      <c r="H53" s="20">
        <f t="shared" si="2"/>
        <v>6.3888888888888995E-2</v>
      </c>
      <c r="I53" s="20" t="str">
        <f t="shared" si="3"/>
        <v/>
      </c>
    </row>
    <row r="54" spans="1:9" x14ac:dyDescent="0.3">
      <c r="A54" s="18" t="s">
        <v>53</v>
      </c>
      <c r="B54" s="19">
        <v>45043</v>
      </c>
      <c r="C54" s="20">
        <v>0.8125</v>
      </c>
      <c r="D54" s="20">
        <v>0.875694444444444</v>
      </c>
      <c r="E54" s="20">
        <v>6.31944444444444E-2</v>
      </c>
      <c r="F54" s="21" t="s">
        <v>32</v>
      </c>
      <c r="G54" t="str">
        <f>VLOOKUP(F54,'Tipo Parada Fab 1'!$A$2:$B$27,2,FALSE())</f>
        <v>P</v>
      </c>
      <c r="H54" s="20">
        <f t="shared" si="2"/>
        <v>6.31944444444444E-2</v>
      </c>
      <c r="I54" s="20" t="str">
        <f t="shared" si="3"/>
        <v/>
      </c>
    </row>
    <row r="55" spans="1:9" x14ac:dyDescent="0.3">
      <c r="A55" s="18" t="s">
        <v>53</v>
      </c>
      <c r="B55" s="19">
        <v>45043</v>
      </c>
      <c r="C55" s="20">
        <v>0.875694444444444</v>
      </c>
      <c r="D55" s="20">
        <v>0.89583333333333304</v>
      </c>
      <c r="E55" s="20">
        <v>2.0138888888888901E-2</v>
      </c>
      <c r="F55" s="21" t="s">
        <v>34</v>
      </c>
      <c r="G55" t="str">
        <f>VLOOKUP(F55,'Tipo Parada Fab 1'!$A$2:$B$27,2,FALSE())</f>
        <v>NP</v>
      </c>
      <c r="H55" s="20" t="str">
        <f t="shared" si="2"/>
        <v/>
      </c>
      <c r="I55" s="20">
        <f t="shared" si="3"/>
        <v>2.0138888888888901E-2</v>
      </c>
    </row>
    <row r="56" spans="1:9" x14ac:dyDescent="0.3">
      <c r="A56" s="18" t="s">
        <v>53</v>
      </c>
      <c r="B56" s="19">
        <v>45044</v>
      </c>
      <c r="C56" s="20">
        <v>0.13541666666666699</v>
      </c>
      <c r="D56" s="20">
        <v>0.13750000000000001</v>
      </c>
      <c r="E56" s="20">
        <v>2.0833333333333298E-3</v>
      </c>
      <c r="F56" s="21" t="s">
        <v>43</v>
      </c>
      <c r="G56" t="str">
        <f>VLOOKUP(F56,'Tipo Parada Fab 1'!$A$2:$B$27,2,FALSE())</f>
        <v>NP</v>
      </c>
      <c r="H56" s="20" t="str">
        <f t="shared" si="2"/>
        <v/>
      </c>
      <c r="I56" s="20">
        <f t="shared" si="3"/>
        <v>2.0833333333333298E-3</v>
      </c>
    </row>
    <row r="57" spans="1:9" x14ac:dyDescent="0.3">
      <c r="A57" s="18" t="s">
        <v>53</v>
      </c>
      <c r="B57" s="19">
        <v>45044</v>
      </c>
      <c r="C57" s="20">
        <v>0.18472222222222201</v>
      </c>
      <c r="D57" s="20">
        <v>0.18888888888888899</v>
      </c>
      <c r="E57" s="20">
        <v>4.1666666666666501E-3</v>
      </c>
      <c r="F57" s="21" t="s">
        <v>43</v>
      </c>
      <c r="G57" t="str">
        <f>VLOOKUP(F57,'Tipo Parada Fab 1'!$A$2:$B$27,2,FALSE())</f>
        <v>NP</v>
      </c>
      <c r="H57" s="20" t="str">
        <f t="shared" si="2"/>
        <v/>
      </c>
      <c r="I57" s="20">
        <f t="shared" si="3"/>
        <v>4.1666666666666501E-3</v>
      </c>
    </row>
    <row r="58" spans="1:9" x14ac:dyDescent="0.3">
      <c r="A58" s="18" t="s">
        <v>53</v>
      </c>
      <c r="B58" s="19">
        <v>45044</v>
      </c>
      <c r="C58" s="20">
        <v>0.313194444444444</v>
      </c>
      <c r="D58" s="20">
        <v>0.31527777777777799</v>
      </c>
      <c r="E58" s="20">
        <v>2.0833333333333298E-3</v>
      </c>
      <c r="F58" s="21" t="s">
        <v>43</v>
      </c>
      <c r="G58" t="str">
        <f>VLOOKUP(F58,'Tipo Parada Fab 1'!$A$2:$B$27,2,FALSE())</f>
        <v>NP</v>
      </c>
      <c r="H58" s="20" t="str">
        <f t="shared" si="2"/>
        <v/>
      </c>
      <c r="I58" s="20">
        <f t="shared" si="3"/>
        <v>2.0833333333333298E-3</v>
      </c>
    </row>
    <row r="59" spans="1:9" x14ac:dyDescent="0.3">
      <c r="A59" s="18" t="s">
        <v>53</v>
      </c>
      <c r="B59" s="19">
        <v>45044</v>
      </c>
      <c r="C59" s="20">
        <v>0.74861111111111101</v>
      </c>
      <c r="D59" s="20">
        <v>0.8125</v>
      </c>
      <c r="E59" s="20">
        <v>6.3888888888888995E-2</v>
      </c>
      <c r="F59" s="21" t="s">
        <v>32</v>
      </c>
      <c r="G59" t="str">
        <f>VLOOKUP(F59,'Tipo Parada Fab 1'!$A$2:$B$27,2,FALSE())</f>
        <v>P</v>
      </c>
      <c r="H59" s="20">
        <f t="shared" si="2"/>
        <v>6.3888888888888995E-2</v>
      </c>
      <c r="I59" s="20" t="str">
        <f t="shared" si="3"/>
        <v/>
      </c>
    </row>
    <row r="60" spans="1:9" x14ac:dyDescent="0.3">
      <c r="A60" s="18" t="s">
        <v>53</v>
      </c>
      <c r="B60" s="19">
        <v>45044</v>
      </c>
      <c r="C60" s="20">
        <v>0.8125</v>
      </c>
      <c r="D60" s="20">
        <v>0.875694444444444</v>
      </c>
      <c r="E60" s="20">
        <v>6.31944444444444E-2</v>
      </c>
      <c r="F60" s="21" t="s">
        <v>32</v>
      </c>
      <c r="G60" t="str">
        <f>VLOOKUP(F60,'Tipo Parada Fab 1'!$A$2:$B$27,2,FALSE())</f>
        <v>P</v>
      </c>
      <c r="H60" s="20">
        <f t="shared" si="2"/>
        <v>6.31944444444444E-2</v>
      </c>
      <c r="I60" s="20" t="str">
        <f t="shared" si="3"/>
        <v/>
      </c>
    </row>
    <row r="61" spans="1:9" x14ac:dyDescent="0.3">
      <c r="E61" s="22">
        <f>SUM(E2:E60)</f>
        <v>2.5215277777777785</v>
      </c>
      <c r="H61" s="22">
        <f>SUM(H2:H60)</f>
        <v>1.9555555555555559</v>
      </c>
      <c r="I61" s="22">
        <f>SUM(I2:I60)</f>
        <v>0.56597222222222232</v>
      </c>
    </row>
    <row r="63" spans="1:9" x14ac:dyDescent="0.3">
      <c r="E63" s="23"/>
      <c r="H63" s="23"/>
      <c r="I63" s="23"/>
    </row>
    <row r="64" spans="1:9" x14ac:dyDescent="0.3">
      <c r="E64" s="2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2"/>
  <sheetViews>
    <sheetView topLeftCell="A127" zoomScaleNormal="100" workbookViewId="0">
      <selection activeCell="I24" sqref="I24"/>
    </sheetView>
  </sheetViews>
  <sheetFormatPr defaultColWidth="8.44140625" defaultRowHeight="15.05" x14ac:dyDescent="0.3"/>
  <cols>
    <col min="2" max="2" width="10.5546875" customWidth="1"/>
    <col min="5" max="5" width="9.109375" customWidth="1"/>
    <col min="6" max="6" width="42.5546875" customWidth="1"/>
    <col min="9" max="9" width="10.77734375" customWidth="1"/>
  </cols>
  <sheetData>
    <row r="1" spans="1:9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G1" s="17" t="s">
        <v>28</v>
      </c>
      <c r="H1" s="17" t="s">
        <v>29</v>
      </c>
      <c r="I1" s="17" t="s">
        <v>30</v>
      </c>
    </row>
    <row r="2" spans="1:9" x14ac:dyDescent="0.3">
      <c r="A2" s="18" t="s">
        <v>56</v>
      </c>
      <c r="B2" s="19">
        <v>45017</v>
      </c>
      <c r="C2" s="20">
        <v>0.16666666666666699</v>
      </c>
      <c r="D2" s="20">
        <v>0.179861111111111</v>
      </c>
      <c r="E2" s="20">
        <v>1.31944444444445E-2</v>
      </c>
      <c r="F2" s="21" t="s">
        <v>52</v>
      </c>
      <c r="G2" t="str">
        <f>VLOOKUP(F2,'Tipo Parada Fab 1'!$A$2:$B$27,2,FALSE())</f>
        <v>NP</v>
      </c>
      <c r="H2" s="20" t="str">
        <f t="shared" ref="H2:H33" si="0">IF(G2="P",E2,"")</f>
        <v/>
      </c>
      <c r="I2" s="20"/>
    </row>
    <row r="3" spans="1:9" x14ac:dyDescent="0.3">
      <c r="A3" s="18" t="s">
        <v>56</v>
      </c>
      <c r="B3" s="19">
        <v>45017</v>
      </c>
      <c r="C3" s="20">
        <v>0.36944444444444402</v>
      </c>
      <c r="D3" s="20">
        <v>0.49097222222222198</v>
      </c>
      <c r="E3" s="20">
        <v>0.121527777777778</v>
      </c>
      <c r="F3" s="21" t="s">
        <v>35</v>
      </c>
      <c r="G3" t="str">
        <f>VLOOKUP(F3,'Tipo Parada Fab 1'!$A$2:$B$27,2,FALSE())</f>
        <v>NP</v>
      </c>
      <c r="H3" s="20" t="str">
        <f t="shared" si="0"/>
        <v/>
      </c>
      <c r="I3" s="20"/>
    </row>
    <row r="4" spans="1:9" x14ac:dyDescent="0.3">
      <c r="A4" s="18" t="s">
        <v>56</v>
      </c>
      <c r="B4" s="19">
        <v>45017</v>
      </c>
      <c r="C4" s="20">
        <v>0.66597222222222197</v>
      </c>
      <c r="D4" s="20">
        <v>0.73194444444444395</v>
      </c>
      <c r="E4" s="20">
        <v>6.5972222222222196E-2</v>
      </c>
      <c r="F4" s="21" t="s">
        <v>35</v>
      </c>
      <c r="G4" t="str">
        <f>VLOOKUP(F4,'Tipo Parada Fab 1'!$A$2:$B$27,2,FALSE())</f>
        <v>NP</v>
      </c>
      <c r="H4" s="20" t="str">
        <f t="shared" si="0"/>
        <v/>
      </c>
      <c r="I4" s="20"/>
    </row>
    <row r="5" spans="1:9" x14ac:dyDescent="0.3">
      <c r="A5" s="18" t="s">
        <v>56</v>
      </c>
      <c r="B5" s="19">
        <v>45017</v>
      </c>
      <c r="C5" s="20">
        <v>0.73194444444444395</v>
      </c>
      <c r="D5" s="20">
        <v>0.73750000000000004</v>
      </c>
      <c r="E5" s="20">
        <v>5.5555555555555402E-3</v>
      </c>
      <c r="F5" s="21" t="s">
        <v>52</v>
      </c>
      <c r="G5" t="str">
        <f>VLOOKUP(F5,'Tipo Parada Fab 1'!$A$2:$B$27,2,FALSE())</f>
        <v>NP</v>
      </c>
      <c r="H5" s="20" t="str">
        <f t="shared" si="0"/>
        <v/>
      </c>
      <c r="I5" s="20"/>
    </row>
    <row r="6" spans="1:9" x14ac:dyDescent="0.3">
      <c r="A6" s="18" t="s">
        <v>56</v>
      </c>
      <c r="B6" s="19">
        <v>45018</v>
      </c>
      <c r="C6" s="20">
        <v>0.21736111111111101</v>
      </c>
      <c r="D6" s="20">
        <v>0.241666666666667</v>
      </c>
      <c r="E6" s="20">
        <v>2.4305555555555601E-2</v>
      </c>
      <c r="F6" s="21" t="s">
        <v>52</v>
      </c>
      <c r="G6" t="str">
        <f>VLOOKUP(F6,'Tipo Parada Fab 1'!$A$2:$B$27,2,FALSE())</f>
        <v>NP</v>
      </c>
      <c r="H6" s="20" t="str">
        <f t="shared" si="0"/>
        <v/>
      </c>
      <c r="I6" s="20"/>
    </row>
    <row r="7" spans="1:9" x14ac:dyDescent="0.3">
      <c r="A7" s="18" t="s">
        <v>56</v>
      </c>
      <c r="B7" s="19">
        <v>45018</v>
      </c>
      <c r="C7" s="20">
        <v>0.46527777777777801</v>
      </c>
      <c r="D7" s="20">
        <v>0.5625</v>
      </c>
      <c r="E7" s="20">
        <v>9.7222222222222293E-2</v>
      </c>
      <c r="F7" s="21" t="s">
        <v>35</v>
      </c>
      <c r="G7" t="str">
        <f>VLOOKUP(F7,'Tipo Parada Fab 1'!$A$2:$B$27,2,FALSE())</f>
        <v>NP</v>
      </c>
      <c r="H7" s="20" t="str">
        <f t="shared" si="0"/>
        <v/>
      </c>
      <c r="I7" s="20"/>
    </row>
    <row r="8" spans="1:9" x14ac:dyDescent="0.3">
      <c r="A8" s="18" t="s">
        <v>56</v>
      </c>
      <c r="B8" s="19">
        <v>45018</v>
      </c>
      <c r="C8" s="20">
        <v>0.5625</v>
      </c>
      <c r="D8" s="20">
        <v>0.56458333333333299</v>
      </c>
      <c r="E8" s="20">
        <v>2.0833333333333298E-3</v>
      </c>
      <c r="F8" s="21" t="s">
        <v>35</v>
      </c>
      <c r="G8" t="str">
        <f>VLOOKUP(F8,'Tipo Parada Fab 1'!$A$2:$B$27,2,FALSE())</f>
        <v>NP</v>
      </c>
      <c r="H8" s="20" t="str">
        <f t="shared" si="0"/>
        <v/>
      </c>
      <c r="I8" s="20"/>
    </row>
    <row r="9" spans="1:9" x14ac:dyDescent="0.3">
      <c r="A9" s="18" t="s">
        <v>56</v>
      </c>
      <c r="B9" s="19">
        <v>45018</v>
      </c>
      <c r="C9" s="20">
        <v>0.57638888888888895</v>
      </c>
      <c r="D9" s="20">
        <v>0.57847222222222205</v>
      </c>
      <c r="E9" s="20">
        <v>2.0833333333332101E-3</v>
      </c>
      <c r="F9" s="21" t="s">
        <v>57</v>
      </c>
      <c r="G9" t="str">
        <f>VLOOKUP(F9,'Tipo Parada Fab 1'!$A$2:$B$27,2,FALSE())</f>
        <v>NP</v>
      </c>
      <c r="H9" s="20" t="str">
        <f t="shared" si="0"/>
        <v/>
      </c>
      <c r="I9" s="20"/>
    </row>
    <row r="10" spans="1:9" x14ac:dyDescent="0.3">
      <c r="A10" s="18" t="s">
        <v>56</v>
      </c>
      <c r="B10" s="19">
        <v>45018</v>
      </c>
      <c r="C10" s="20">
        <v>0.73819444444444404</v>
      </c>
      <c r="D10" s="20">
        <v>0.74097222222222203</v>
      </c>
      <c r="E10" s="20">
        <v>2.7777777777778798E-3</v>
      </c>
      <c r="F10" s="21" t="s">
        <v>35</v>
      </c>
      <c r="G10" t="str">
        <f>VLOOKUP(F10,'Tipo Parada Fab 1'!$A$2:$B$27,2,FALSE())</f>
        <v>NP</v>
      </c>
      <c r="H10" s="20" t="str">
        <f t="shared" si="0"/>
        <v/>
      </c>
      <c r="I10" s="20"/>
    </row>
    <row r="11" spans="1:9" x14ac:dyDescent="0.3">
      <c r="A11" s="18" t="s">
        <v>56</v>
      </c>
      <c r="B11" s="19">
        <v>45018</v>
      </c>
      <c r="C11" s="20">
        <v>0.78263888888888899</v>
      </c>
      <c r="D11" s="20">
        <v>0.8125</v>
      </c>
      <c r="E11" s="20">
        <v>2.9861111111111002E-2</v>
      </c>
      <c r="F11" s="21" t="s">
        <v>35</v>
      </c>
      <c r="G11" t="str">
        <f>VLOOKUP(F11,'Tipo Parada Fab 1'!$A$2:$B$27,2,FALSE())</f>
        <v>NP</v>
      </c>
      <c r="H11" s="20" t="str">
        <f t="shared" si="0"/>
        <v/>
      </c>
      <c r="I11" s="20"/>
    </row>
    <row r="12" spans="1:9" x14ac:dyDescent="0.3">
      <c r="A12" s="18" t="s">
        <v>56</v>
      </c>
      <c r="B12" s="19">
        <v>45018</v>
      </c>
      <c r="C12" s="20">
        <v>0.8125</v>
      </c>
      <c r="D12" s="20">
        <v>0.82083333333333297</v>
      </c>
      <c r="E12" s="20">
        <v>8.3333333333333003E-3</v>
      </c>
      <c r="F12" s="21" t="s">
        <v>35</v>
      </c>
      <c r="G12" t="str">
        <f>VLOOKUP(F12,'Tipo Parada Fab 1'!$A$2:$B$27,2,FALSE())</f>
        <v>NP</v>
      </c>
      <c r="H12" s="20" t="str">
        <f t="shared" si="0"/>
        <v/>
      </c>
      <c r="I12" s="20"/>
    </row>
    <row r="13" spans="1:9" x14ac:dyDescent="0.3">
      <c r="A13" s="18" t="s">
        <v>56</v>
      </c>
      <c r="B13" s="19">
        <v>45018</v>
      </c>
      <c r="C13" s="20">
        <v>0.82152777777777797</v>
      </c>
      <c r="D13" s="20">
        <v>0.82361111111111096</v>
      </c>
      <c r="E13" s="20">
        <v>2.0833333333333298E-3</v>
      </c>
      <c r="F13" s="21" t="s">
        <v>35</v>
      </c>
      <c r="G13" t="str">
        <f>VLOOKUP(F13,'Tipo Parada Fab 1'!$A$2:$B$27,2,FALSE())</f>
        <v>NP</v>
      </c>
      <c r="H13" s="20" t="str">
        <f t="shared" si="0"/>
        <v/>
      </c>
      <c r="I13" s="20"/>
    </row>
    <row r="14" spans="1:9" x14ac:dyDescent="0.3">
      <c r="A14" s="18" t="s">
        <v>56</v>
      </c>
      <c r="B14" s="19">
        <v>45018</v>
      </c>
      <c r="C14" s="20">
        <v>0.905555555555556</v>
      </c>
      <c r="D14" s="20">
        <v>0.93402777777777801</v>
      </c>
      <c r="E14" s="20">
        <v>2.8472222222222201E-2</v>
      </c>
      <c r="F14" s="21" t="s">
        <v>52</v>
      </c>
      <c r="G14" t="str">
        <f>VLOOKUP(F14,'Tipo Parada Fab 1'!$A$2:$B$27,2,FALSE())</f>
        <v>NP</v>
      </c>
      <c r="H14" s="20" t="str">
        <f t="shared" si="0"/>
        <v/>
      </c>
      <c r="I14" s="20"/>
    </row>
    <row r="15" spans="1:9" x14ac:dyDescent="0.3">
      <c r="A15" s="18" t="s">
        <v>56</v>
      </c>
      <c r="B15" s="19">
        <v>45019</v>
      </c>
      <c r="C15" s="20">
        <v>0.15416666666666701</v>
      </c>
      <c r="D15" s="20">
        <v>0.17361111111111099</v>
      </c>
      <c r="E15" s="20">
        <v>1.94444444444445E-2</v>
      </c>
      <c r="F15" s="21" t="s">
        <v>52</v>
      </c>
      <c r="G15" t="str">
        <f>VLOOKUP(F15,'Tipo Parada Fab 1'!$A$2:$B$27,2,FALSE())</f>
        <v>NP</v>
      </c>
      <c r="H15" s="20" t="str">
        <f t="shared" si="0"/>
        <v/>
      </c>
      <c r="I15" s="20"/>
    </row>
    <row r="16" spans="1:9" x14ac:dyDescent="0.3">
      <c r="A16" s="18" t="s">
        <v>56</v>
      </c>
      <c r="B16" s="19">
        <v>45019</v>
      </c>
      <c r="C16" s="20">
        <v>0.38888888888888901</v>
      </c>
      <c r="D16" s="20">
        <v>0.55347222222222203</v>
      </c>
      <c r="E16" s="20">
        <v>0.164583333333333</v>
      </c>
      <c r="F16" s="21" t="s">
        <v>49</v>
      </c>
      <c r="G16" t="str">
        <f>VLOOKUP(F16,'Tipo Parada Fab 1'!$A$2:$B$27,2,FALSE())</f>
        <v>NP</v>
      </c>
      <c r="H16" s="20" t="str">
        <f t="shared" si="0"/>
        <v/>
      </c>
      <c r="I16" s="20"/>
    </row>
    <row r="17" spans="1:9" x14ac:dyDescent="0.3">
      <c r="A17" s="18" t="s">
        <v>56</v>
      </c>
      <c r="B17" s="19">
        <v>45019</v>
      </c>
      <c r="C17" s="20">
        <v>0.77777777777777801</v>
      </c>
      <c r="D17" s="20">
        <v>0.79097222222222197</v>
      </c>
      <c r="E17" s="20">
        <v>1.31944444444445E-2</v>
      </c>
      <c r="F17" s="21" t="s">
        <v>52</v>
      </c>
      <c r="G17" t="str">
        <f>VLOOKUP(F17,'Tipo Parada Fab 1'!$A$2:$B$27,2,FALSE())</f>
        <v>NP</v>
      </c>
      <c r="H17" s="20" t="str">
        <f t="shared" si="0"/>
        <v/>
      </c>
      <c r="I17" s="20"/>
    </row>
    <row r="18" spans="1:9" x14ac:dyDescent="0.3">
      <c r="A18" s="18" t="s">
        <v>56</v>
      </c>
      <c r="B18" s="19">
        <v>45020</v>
      </c>
      <c r="C18" s="20">
        <v>0.83958333333333302</v>
      </c>
      <c r="D18" s="20">
        <v>0.875694444444444</v>
      </c>
      <c r="E18" s="20">
        <v>3.6111111111111198E-2</v>
      </c>
      <c r="F18" s="21" t="s">
        <v>47</v>
      </c>
      <c r="G18" t="str">
        <f>VLOOKUP(F18,'Tipo Parada Fab 1'!$A$2:$B$27,2,FALSE())</f>
        <v>NP</v>
      </c>
      <c r="H18" s="20" t="str">
        <f t="shared" si="0"/>
        <v/>
      </c>
      <c r="I18" s="20"/>
    </row>
    <row r="19" spans="1:9" x14ac:dyDescent="0.3">
      <c r="A19" s="18" t="s">
        <v>56</v>
      </c>
      <c r="B19" s="19">
        <v>45021</v>
      </c>
      <c r="C19" s="20">
        <v>0.47638888888888897</v>
      </c>
      <c r="D19" s="20">
        <v>0.5625</v>
      </c>
      <c r="E19" s="20">
        <v>8.6111111111111097E-2</v>
      </c>
      <c r="F19" s="21" t="s">
        <v>36</v>
      </c>
      <c r="G19" t="str">
        <f>VLOOKUP(F19,'Tipo Parada Fab 1'!$A$2:$B$27,2,FALSE())</f>
        <v>NP</v>
      </c>
      <c r="H19" s="20" t="str">
        <f t="shared" si="0"/>
        <v/>
      </c>
      <c r="I19" s="20"/>
    </row>
    <row r="20" spans="1:9" x14ac:dyDescent="0.3">
      <c r="A20" s="18" t="s">
        <v>56</v>
      </c>
      <c r="B20" s="19">
        <v>45021</v>
      </c>
      <c r="C20" s="20">
        <v>0.5625</v>
      </c>
      <c r="D20" s="20">
        <v>0.71180555555555503</v>
      </c>
      <c r="E20" s="20">
        <v>0.149305555555555</v>
      </c>
      <c r="F20" s="21" t="s">
        <v>36</v>
      </c>
      <c r="G20" t="str">
        <f>VLOOKUP(F20,'Tipo Parada Fab 1'!$A$2:$B$27,2,FALSE())</f>
        <v>NP</v>
      </c>
      <c r="H20" s="20" t="str">
        <f t="shared" si="0"/>
        <v/>
      </c>
      <c r="I20" s="20"/>
    </row>
    <row r="21" spans="1:9" x14ac:dyDescent="0.3">
      <c r="A21" s="18" t="s">
        <v>56</v>
      </c>
      <c r="B21" s="19">
        <v>45021</v>
      </c>
      <c r="C21" s="20">
        <v>0.72986111111111096</v>
      </c>
      <c r="D21" s="20">
        <v>0.77569444444444402</v>
      </c>
      <c r="E21" s="20">
        <v>4.5833333333333399E-2</v>
      </c>
      <c r="F21" s="21" t="s">
        <v>36</v>
      </c>
      <c r="G21" t="str">
        <f>VLOOKUP(F21,'Tipo Parada Fab 1'!$A$2:$B$27,2,FALSE())</f>
        <v>NP</v>
      </c>
      <c r="H21" s="20" t="str">
        <f t="shared" si="0"/>
        <v/>
      </c>
      <c r="I21" s="20"/>
    </row>
    <row r="22" spans="1:9" x14ac:dyDescent="0.3">
      <c r="A22" s="18" t="s">
        <v>56</v>
      </c>
      <c r="B22" s="19">
        <v>45021</v>
      </c>
      <c r="C22" s="20">
        <v>0.78611111111111098</v>
      </c>
      <c r="D22" s="20">
        <v>0.80902777777777801</v>
      </c>
      <c r="E22" s="20">
        <v>2.29166666666667E-2</v>
      </c>
      <c r="F22" s="21" t="s">
        <v>35</v>
      </c>
      <c r="G22" t="str">
        <f>VLOOKUP(F22,'Tipo Parada Fab 1'!$A$2:$B$27,2,FALSE())</f>
        <v>NP</v>
      </c>
      <c r="H22" s="20" t="str">
        <f t="shared" si="0"/>
        <v/>
      </c>
      <c r="I22" s="20"/>
    </row>
    <row r="23" spans="1:9" x14ac:dyDescent="0.3">
      <c r="A23" s="18" t="s">
        <v>56</v>
      </c>
      <c r="B23" s="19">
        <v>45021</v>
      </c>
      <c r="C23" s="20">
        <v>0.874305555555556</v>
      </c>
      <c r="D23" s="20">
        <v>0.88888888888888895</v>
      </c>
      <c r="E23" s="20">
        <v>1.4583333333333301E-2</v>
      </c>
      <c r="F23" s="21" t="s">
        <v>35</v>
      </c>
      <c r="G23" t="str">
        <f>VLOOKUP(F23,'Tipo Parada Fab 1'!$A$2:$B$27,2,FALSE())</f>
        <v>NP</v>
      </c>
      <c r="H23" s="20" t="str">
        <f t="shared" si="0"/>
        <v/>
      </c>
      <c r="I23" s="20"/>
    </row>
    <row r="24" spans="1:9" x14ac:dyDescent="0.3">
      <c r="A24" s="18" t="s">
        <v>56</v>
      </c>
      <c r="B24" s="19">
        <v>45022</v>
      </c>
      <c r="C24" s="20">
        <v>6.25E-2</v>
      </c>
      <c r="D24" s="20">
        <v>0.202083333333333</v>
      </c>
      <c r="E24" s="20">
        <v>0.139583333333333</v>
      </c>
      <c r="F24" s="21" t="s">
        <v>47</v>
      </c>
      <c r="G24" t="str">
        <f>VLOOKUP(F24,'Tipo Parada Fab 1'!$A$2:$B$27,2,FALSE())</f>
        <v>NP</v>
      </c>
      <c r="H24" s="20" t="str">
        <f t="shared" si="0"/>
        <v/>
      </c>
      <c r="I24" s="20">
        <f t="shared" ref="I24:I55" si="1">IF(G24="NP",E24,"")</f>
        <v>0.139583333333333</v>
      </c>
    </row>
    <row r="25" spans="1:9" x14ac:dyDescent="0.3">
      <c r="A25" s="18" t="s">
        <v>56</v>
      </c>
      <c r="B25" s="19">
        <v>45022</v>
      </c>
      <c r="C25" s="20">
        <v>0.20069444444444401</v>
      </c>
      <c r="D25" s="20">
        <v>0.202777777777778</v>
      </c>
      <c r="E25" s="20">
        <v>2.0833333333333801E-3</v>
      </c>
      <c r="F25" s="21" t="s">
        <v>35</v>
      </c>
      <c r="G25" t="str">
        <f>VLOOKUP(F25,'Tipo Parada Fab 1'!$A$2:$B$27,2,FALSE())</f>
        <v>NP</v>
      </c>
      <c r="H25" s="20" t="str">
        <f t="shared" si="0"/>
        <v/>
      </c>
      <c r="I25" s="20">
        <f t="shared" si="1"/>
        <v>2.0833333333333801E-3</v>
      </c>
    </row>
    <row r="26" spans="1:9" x14ac:dyDescent="0.3">
      <c r="A26" s="18" t="s">
        <v>56</v>
      </c>
      <c r="B26" s="19">
        <v>45022</v>
      </c>
      <c r="C26" s="20">
        <v>0.47916666666666702</v>
      </c>
      <c r="D26" s="20">
        <v>0.48749999999999999</v>
      </c>
      <c r="E26" s="20">
        <v>8.3333333333333003E-3</v>
      </c>
      <c r="F26" s="21" t="s">
        <v>47</v>
      </c>
      <c r="G26" t="str">
        <f>VLOOKUP(F26,'Tipo Parada Fab 1'!$A$2:$B$27,2,FALSE())</f>
        <v>NP</v>
      </c>
      <c r="H26" s="20" t="str">
        <f t="shared" si="0"/>
        <v/>
      </c>
      <c r="I26" s="20">
        <f t="shared" si="1"/>
        <v>8.3333333333333003E-3</v>
      </c>
    </row>
    <row r="27" spans="1:9" x14ac:dyDescent="0.3">
      <c r="A27" s="18" t="s">
        <v>56</v>
      </c>
      <c r="B27" s="19">
        <v>45022</v>
      </c>
      <c r="C27" s="20">
        <v>0.54791666666666705</v>
      </c>
      <c r="D27" s="20">
        <v>0.55138888888888904</v>
      </c>
      <c r="E27" s="20">
        <v>3.4722222222221002E-3</v>
      </c>
      <c r="F27" s="21" t="s">
        <v>35</v>
      </c>
      <c r="G27" t="str">
        <f>VLOOKUP(F27,'Tipo Parada Fab 1'!$A$2:$B$27,2,FALSE())</f>
        <v>NP</v>
      </c>
      <c r="H27" s="20" t="str">
        <f t="shared" si="0"/>
        <v/>
      </c>
      <c r="I27" s="20">
        <f t="shared" si="1"/>
        <v>3.4722222222221002E-3</v>
      </c>
    </row>
    <row r="28" spans="1:9" x14ac:dyDescent="0.3">
      <c r="A28" s="18" t="s">
        <v>56</v>
      </c>
      <c r="B28" s="19">
        <v>45022</v>
      </c>
      <c r="C28" s="20">
        <v>0.66180555555555598</v>
      </c>
      <c r="D28" s="20">
        <v>0.8125</v>
      </c>
      <c r="E28" s="20">
        <v>0.15069444444444399</v>
      </c>
      <c r="F28" s="21" t="s">
        <v>41</v>
      </c>
      <c r="G28" t="str">
        <f>VLOOKUP(F28,'Tipo Parada Fab 1'!$A$2:$B$27,2,FALSE())</f>
        <v>NP</v>
      </c>
      <c r="H28" s="20" t="str">
        <f t="shared" si="0"/>
        <v/>
      </c>
      <c r="I28" s="20">
        <f t="shared" si="1"/>
        <v>0.15069444444444399</v>
      </c>
    </row>
    <row r="29" spans="1:9" x14ac:dyDescent="0.3">
      <c r="A29" s="18" t="s">
        <v>56</v>
      </c>
      <c r="B29" s="19">
        <v>45022</v>
      </c>
      <c r="C29" s="20">
        <v>0.8125</v>
      </c>
      <c r="D29" s="20">
        <v>0.875</v>
      </c>
      <c r="E29" s="20">
        <v>6.25E-2</v>
      </c>
      <c r="F29" s="21" t="s">
        <v>32</v>
      </c>
      <c r="G29" t="str">
        <f>VLOOKUP(F29,'Tipo Parada Fab 1'!$A$2:$B$27,2,FALSE())</f>
        <v>P</v>
      </c>
      <c r="H29" s="20">
        <f t="shared" si="0"/>
        <v>6.25E-2</v>
      </c>
      <c r="I29" s="20" t="str">
        <f t="shared" si="1"/>
        <v/>
      </c>
    </row>
    <row r="30" spans="1:9" x14ac:dyDescent="0.3">
      <c r="A30" s="18" t="s">
        <v>56</v>
      </c>
      <c r="B30" s="19">
        <v>45023</v>
      </c>
      <c r="C30" s="20">
        <v>0.36875000000000002</v>
      </c>
      <c r="D30" s="20">
        <v>0.389583333333333</v>
      </c>
      <c r="E30" s="20">
        <v>2.0833333333333402E-2</v>
      </c>
      <c r="F30" s="21" t="s">
        <v>52</v>
      </c>
      <c r="G30" t="str">
        <f>VLOOKUP(F30,'Tipo Parada Fab 1'!$A$2:$B$27,2,FALSE())</f>
        <v>NP</v>
      </c>
      <c r="H30" s="20" t="str">
        <f t="shared" si="0"/>
        <v/>
      </c>
      <c r="I30" s="20">
        <f t="shared" si="1"/>
        <v>2.0833333333333402E-2</v>
      </c>
    </row>
    <row r="31" spans="1:9" x14ac:dyDescent="0.3">
      <c r="A31" s="18" t="s">
        <v>56</v>
      </c>
      <c r="B31" s="19">
        <v>45023</v>
      </c>
      <c r="C31" s="20">
        <v>0.969444444444444</v>
      </c>
      <c r="D31" s="20">
        <v>0.99027777777777803</v>
      </c>
      <c r="E31" s="20">
        <v>2.0833333333333301E-2</v>
      </c>
      <c r="F31" s="21" t="s">
        <v>51</v>
      </c>
      <c r="G31" t="str">
        <f>VLOOKUP(F31,'Tipo Parada Fab 1'!$A$2:$B$27,2,FALSE())</f>
        <v>NP</v>
      </c>
      <c r="H31" s="20" t="str">
        <f t="shared" si="0"/>
        <v/>
      </c>
      <c r="I31" s="20">
        <f t="shared" si="1"/>
        <v>2.0833333333333301E-2</v>
      </c>
    </row>
    <row r="32" spans="1:9" x14ac:dyDescent="0.3">
      <c r="A32" s="18" t="s">
        <v>56</v>
      </c>
      <c r="B32" s="19">
        <v>45023</v>
      </c>
      <c r="C32" s="20">
        <v>4.9305555555555602E-2</v>
      </c>
      <c r="D32" s="20">
        <v>6.25E-2</v>
      </c>
      <c r="E32" s="20">
        <v>1.3194444444444399E-2</v>
      </c>
      <c r="F32" s="21" t="s">
        <v>49</v>
      </c>
      <c r="G32" t="str">
        <f>VLOOKUP(F32,'Tipo Parada Fab 1'!$A$2:$B$27,2,FALSE())</f>
        <v>NP</v>
      </c>
      <c r="H32" s="20" t="str">
        <f t="shared" si="0"/>
        <v/>
      </c>
      <c r="I32" s="20">
        <f t="shared" si="1"/>
        <v>1.3194444444444399E-2</v>
      </c>
    </row>
    <row r="33" spans="1:9" x14ac:dyDescent="0.3">
      <c r="A33" s="18" t="s">
        <v>56</v>
      </c>
      <c r="B33" s="19">
        <v>45024</v>
      </c>
      <c r="C33" s="20">
        <v>6.25E-2</v>
      </c>
      <c r="D33" s="20">
        <v>0.13472222222222199</v>
      </c>
      <c r="E33" s="20">
        <v>7.2222222222222202E-2</v>
      </c>
      <c r="F33" s="21" t="s">
        <v>49</v>
      </c>
      <c r="G33" t="str">
        <f>VLOOKUP(F33,'Tipo Parada Fab 1'!$A$2:$B$27,2,FALSE())</f>
        <v>NP</v>
      </c>
      <c r="H33" s="20" t="str">
        <f t="shared" si="0"/>
        <v/>
      </c>
      <c r="I33" s="20">
        <f t="shared" si="1"/>
        <v>7.2222222222222202E-2</v>
      </c>
    </row>
    <row r="34" spans="1:9" x14ac:dyDescent="0.3">
      <c r="A34" s="18" t="s">
        <v>56</v>
      </c>
      <c r="B34" s="19">
        <v>45024</v>
      </c>
      <c r="C34" s="20">
        <v>0.140972222222222</v>
      </c>
      <c r="D34" s="20">
        <v>0.203472222222222</v>
      </c>
      <c r="E34" s="20">
        <v>6.25E-2</v>
      </c>
      <c r="F34" s="21" t="s">
        <v>49</v>
      </c>
      <c r="G34" t="str">
        <f>VLOOKUP(F34,'Tipo Parada Fab 1'!$A$2:$B$27,2,FALSE())</f>
        <v>NP</v>
      </c>
      <c r="H34" s="20" t="str">
        <f t="shared" ref="H34:H65" si="2">IF(G34="P",E34,"")</f>
        <v/>
      </c>
      <c r="I34" s="20">
        <f t="shared" si="1"/>
        <v>6.25E-2</v>
      </c>
    </row>
    <row r="35" spans="1:9" x14ac:dyDescent="0.3">
      <c r="A35" s="18" t="s">
        <v>56</v>
      </c>
      <c r="B35" s="19">
        <v>45024</v>
      </c>
      <c r="C35" s="20">
        <v>0.43125000000000002</v>
      </c>
      <c r="D35" s="20">
        <v>0.43888888888888899</v>
      </c>
      <c r="E35" s="20">
        <v>7.6388888888889199E-3</v>
      </c>
      <c r="F35" s="21" t="s">
        <v>47</v>
      </c>
      <c r="G35" t="str">
        <f>VLOOKUP(F35,'Tipo Parada Fab 1'!$A$2:$B$27,2,FALSE())</f>
        <v>NP</v>
      </c>
      <c r="H35" s="20" t="str">
        <f t="shared" si="2"/>
        <v/>
      </c>
      <c r="I35" s="20">
        <f t="shared" si="1"/>
        <v>7.6388888888889199E-3</v>
      </c>
    </row>
    <row r="36" spans="1:9" x14ac:dyDescent="0.3">
      <c r="A36" s="18" t="s">
        <v>56</v>
      </c>
      <c r="B36" s="19">
        <v>45024</v>
      </c>
      <c r="C36" s="20">
        <v>0.62638888888888899</v>
      </c>
      <c r="D36" s="20">
        <v>0.63402777777777797</v>
      </c>
      <c r="E36" s="20">
        <v>7.63888888888886E-3</v>
      </c>
      <c r="F36" s="21" t="s">
        <v>51</v>
      </c>
      <c r="G36" t="str">
        <f>VLOOKUP(F36,'Tipo Parada Fab 1'!$A$2:$B$27,2,FALSE())</f>
        <v>NP</v>
      </c>
      <c r="H36" s="20" t="str">
        <f t="shared" si="2"/>
        <v/>
      </c>
      <c r="I36" s="20">
        <f t="shared" si="1"/>
        <v>7.63888888888886E-3</v>
      </c>
    </row>
    <row r="37" spans="1:9" x14ac:dyDescent="0.3">
      <c r="A37" s="18" t="s">
        <v>56</v>
      </c>
      <c r="B37" s="19">
        <v>45025</v>
      </c>
      <c r="C37" s="20">
        <v>0.109722222222222</v>
      </c>
      <c r="D37" s="20">
        <v>0.122222222222222</v>
      </c>
      <c r="E37" s="20">
        <v>1.2500000000000001E-2</v>
      </c>
      <c r="F37" s="21" t="s">
        <v>35</v>
      </c>
      <c r="G37" t="str">
        <f>VLOOKUP(F37,'Tipo Parada Fab 1'!$A$2:$B$27,2,FALSE())</f>
        <v>NP</v>
      </c>
      <c r="H37" s="20" t="str">
        <f t="shared" si="2"/>
        <v/>
      </c>
      <c r="I37" s="20">
        <f t="shared" si="1"/>
        <v>1.2500000000000001E-2</v>
      </c>
    </row>
    <row r="38" spans="1:9" x14ac:dyDescent="0.3">
      <c r="A38" s="18" t="s">
        <v>56</v>
      </c>
      <c r="B38" s="19">
        <v>45025</v>
      </c>
      <c r="C38" s="20">
        <v>0.58194444444444404</v>
      </c>
      <c r="D38" s="20">
        <v>0.66527777777777797</v>
      </c>
      <c r="E38" s="20">
        <v>8.3333333333333301E-2</v>
      </c>
      <c r="F38" s="21" t="s">
        <v>48</v>
      </c>
      <c r="G38" t="str">
        <f>VLOOKUP(F38,'Tipo Parada Fab 1'!$A$2:$B$27,2,FALSE())</f>
        <v>NP</v>
      </c>
      <c r="H38" s="20" t="str">
        <f t="shared" si="2"/>
        <v/>
      </c>
      <c r="I38" s="20">
        <f t="shared" si="1"/>
        <v>8.3333333333333301E-2</v>
      </c>
    </row>
    <row r="39" spans="1:9" x14ac:dyDescent="0.3">
      <c r="A39" s="18" t="s">
        <v>56</v>
      </c>
      <c r="B39" s="19">
        <v>45025</v>
      </c>
      <c r="C39" s="20">
        <v>0.67916666666666703</v>
      </c>
      <c r="D39" s="20">
        <v>0.68958333333333299</v>
      </c>
      <c r="E39" s="20">
        <v>1.04166666666666E-2</v>
      </c>
      <c r="F39" s="21" t="s">
        <v>51</v>
      </c>
      <c r="G39" t="str">
        <f>VLOOKUP(F39,'Tipo Parada Fab 1'!$A$2:$B$27,2,FALSE())</f>
        <v>NP</v>
      </c>
      <c r="H39" s="20" t="str">
        <f t="shared" si="2"/>
        <v/>
      </c>
      <c r="I39" s="20">
        <f t="shared" si="1"/>
        <v>1.04166666666666E-2</v>
      </c>
    </row>
    <row r="40" spans="1:9" x14ac:dyDescent="0.3">
      <c r="A40" s="18" t="s">
        <v>56</v>
      </c>
      <c r="B40" s="19">
        <v>45026</v>
      </c>
      <c r="C40" s="20">
        <v>0.21458333333333299</v>
      </c>
      <c r="D40" s="20">
        <v>0.21736111111111101</v>
      </c>
      <c r="E40" s="20">
        <v>2.7777777777777701E-3</v>
      </c>
      <c r="F40" s="21" t="s">
        <v>36</v>
      </c>
      <c r="G40" t="str">
        <f>VLOOKUP(F40,'Tipo Parada Fab 1'!$A$2:$B$27,2,FALSE())</f>
        <v>NP</v>
      </c>
      <c r="H40" s="20" t="str">
        <f t="shared" si="2"/>
        <v/>
      </c>
      <c r="I40" s="20">
        <f t="shared" si="1"/>
        <v>2.7777777777777701E-3</v>
      </c>
    </row>
    <row r="41" spans="1:9" x14ac:dyDescent="0.3">
      <c r="A41" s="18" t="s">
        <v>56</v>
      </c>
      <c r="B41" s="19">
        <v>45026</v>
      </c>
      <c r="C41" s="20">
        <v>0.23888888888888901</v>
      </c>
      <c r="D41" s="20">
        <v>0.240972222222222</v>
      </c>
      <c r="E41" s="20">
        <v>2.0833333333333298E-3</v>
      </c>
      <c r="F41" s="21" t="s">
        <v>36</v>
      </c>
      <c r="G41" t="str">
        <f>VLOOKUP(F41,'Tipo Parada Fab 1'!$A$2:$B$27,2,FALSE())</f>
        <v>NP</v>
      </c>
      <c r="H41" s="20" t="str">
        <f t="shared" si="2"/>
        <v/>
      </c>
      <c r="I41" s="20">
        <f t="shared" si="1"/>
        <v>2.0833333333333298E-3</v>
      </c>
    </row>
    <row r="42" spans="1:9" x14ac:dyDescent="0.3">
      <c r="A42" s="18" t="s">
        <v>56</v>
      </c>
      <c r="B42" s="19">
        <v>45026</v>
      </c>
      <c r="C42" s="20">
        <v>0.359722222222222</v>
      </c>
      <c r="D42" s="20">
        <v>0.37291666666666701</v>
      </c>
      <c r="E42" s="20">
        <v>1.3194444444444399E-2</v>
      </c>
      <c r="F42" s="21" t="s">
        <v>51</v>
      </c>
      <c r="G42" t="str">
        <f>VLOOKUP(F42,'Tipo Parada Fab 1'!$A$2:$B$27,2,FALSE())</f>
        <v>NP</v>
      </c>
      <c r="H42" s="20" t="str">
        <f t="shared" si="2"/>
        <v/>
      </c>
      <c r="I42" s="20">
        <f t="shared" si="1"/>
        <v>1.3194444444444399E-2</v>
      </c>
    </row>
    <row r="43" spans="1:9" x14ac:dyDescent="0.3">
      <c r="A43" s="18" t="s">
        <v>56</v>
      </c>
      <c r="B43" s="19">
        <v>45026</v>
      </c>
      <c r="C43" s="20">
        <v>0.74861111111111101</v>
      </c>
      <c r="D43" s="20">
        <v>0.8125</v>
      </c>
      <c r="E43" s="20">
        <v>6.3888888888888995E-2</v>
      </c>
      <c r="F43" s="21" t="s">
        <v>32</v>
      </c>
      <c r="G43" t="str">
        <f>VLOOKUP(F43,'Tipo Parada Fab 1'!$A$2:$B$27,2,FALSE())</f>
        <v>P</v>
      </c>
      <c r="H43" s="20">
        <f t="shared" si="2"/>
        <v>6.3888888888888995E-2</v>
      </c>
      <c r="I43" s="20" t="str">
        <f t="shared" si="1"/>
        <v/>
      </c>
    </row>
    <row r="44" spans="1:9" x14ac:dyDescent="0.3">
      <c r="A44" s="18" t="s">
        <v>56</v>
      </c>
      <c r="B44" s="19">
        <v>45026</v>
      </c>
      <c r="C44" s="20">
        <v>0.8125</v>
      </c>
      <c r="D44" s="20">
        <v>0.875694444444444</v>
      </c>
      <c r="E44" s="20">
        <v>6.31944444444444E-2</v>
      </c>
      <c r="F44" s="21" t="s">
        <v>32</v>
      </c>
      <c r="G44" t="str">
        <f>VLOOKUP(F44,'Tipo Parada Fab 1'!$A$2:$B$27,2,FALSE())</f>
        <v>P</v>
      </c>
      <c r="H44" s="20">
        <f t="shared" si="2"/>
        <v>6.31944444444444E-2</v>
      </c>
      <c r="I44" s="20" t="str">
        <f t="shared" si="1"/>
        <v/>
      </c>
    </row>
    <row r="45" spans="1:9" x14ac:dyDescent="0.3">
      <c r="A45" s="18" t="s">
        <v>56</v>
      </c>
      <c r="B45" s="19">
        <v>45026</v>
      </c>
      <c r="C45" s="20">
        <v>0.875694444444444</v>
      </c>
      <c r="D45" s="20">
        <v>0.92013888888888895</v>
      </c>
      <c r="E45" s="20">
        <v>4.4444444444444398E-2</v>
      </c>
      <c r="F45" s="21" t="s">
        <v>43</v>
      </c>
      <c r="G45" t="str">
        <f>VLOOKUP(F45,'Tipo Parada Fab 1'!$A$2:$B$27,2,FALSE())</f>
        <v>NP</v>
      </c>
      <c r="H45" s="20" t="str">
        <f t="shared" si="2"/>
        <v/>
      </c>
      <c r="I45" s="20">
        <f t="shared" si="1"/>
        <v>4.4444444444444398E-2</v>
      </c>
    </row>
    <row r="46" spans="1:9" x14ac:dyDescent="0.3">
      <c r="A46" s="18" t="s">
        <v>56</v>
      </c>
      <c r="B46" s="19">
        <v>45027</v>
      </c>
      <c r="C46" s="20">
        <v>0.13750000000000001</v>
      </c>
      <c r="D46" s="20">
        <v>0.18541666666666701</v>
      </c>
      <c r="E46" s="20">
        <v>4.7916666666666698E-2</v>
      </c>
      <c r="F46" s="21" t="s">
        <v>45</v>
      </c>
      <c r="G46" t="str">
        <f>VLOOKUP(F46,'Tipo Parada Fab 1'!$A$2:$B$27,2,FALSE())</f>
        <v>NP</v>
      </c>
      <c r="H46" s="20" t="str">
        <f t="shared" si="2"/>
        <v/>
      </c>
      <c r="I46" s="20">
        <f t="shared" si="1"/>
        <v>4.7916666666666698E-2</v>
      </c>
    </row>
    <row r="47" spans="1:9" x14ac:dyDescent="0.3">
      <c r="A47" s="18" t="s">
        <v>56</v>
      </c>
      <c r="B47" s="19">
        <v>45027</v>
      </c>
      <c r="C47" s="20">
        <v>0.29861111111111099</v>
      </c>
      <c r="D47" s="20">
        <v>0.30625000000000002</v>
      </c>
      <c r="E47" s="20">
        <v>7.63888888888886E-3</v>
      </c>
      <c r="F47" s="21" t="s">
        <v>47</v>
      </c>
      <c r="G47" t="str">
        <f>VLOOKUP(F47,'Tipo Parada Fab 1'!$A$2:$B$27,2,FALSE())</f>
        <v>NP</v>
      </c>
      <c r="H47" s="20" t="str">
        <f t="shared" si="2"/>
        <v/>
      </c>
      <c r="I47" s="20">
        <f t="shared" si="1"/>
        <v>7.63888888888886E-3</v>
      </c>
    </row>
    <row r="48" spans="1:9" x14ac:dyDescent="0.3">
      <c r="A48" s="18" t="s">
        <v>56</v>
      </c>
      <c r="B48" s="19">
        <v>45027</v>
      </c>
      <c r="C48" s="20">
        <v>0.74861111111111101</v>
      </c>
      <c r="D48" s="20">
        <v>0.8125</v>
      </c>
      <c r="E48" s="20">
        <v>6.3888888888888995E-2</v>
      </c>
      <c r="F48" s="21" t="s">
        <v>32</v>
      </c>
      <c r="G48" t="str">
        <f>VLOOKUP(F48,'Tipo Parada Fab 1'!$A$2:$B$27,2,FALSE())</f>
        <v>P</v>
      </c>
      <c r="H48" s="20">
        <f t="shared" si="2"/>
        <v>6.3888888888888995E-2</v>
      </c>
      <c r="I48" s="20" t="str">
        <f t="shared" si="1"/>
        <v/>
      </c>
    </row>
    <row r="49" spans="1:9" x14ac:dyDescent="0.3">
      <c r="A49" s="18" t="s">
        <v>56</v>
      </c>
      <c r="B49" s="19">
        <v>45027</v>
      </c>
      <c r="C49" s="20">
        <v>0.8125</v>
      </c>
      <c r="D49" s="20">
        <v>0.875694444444444</v>
      </c>
      <c r="E49" s="20">
        <v>6.31944444444444E-2</v>
      </c>
      <c r="F49" s="21" t="s">
        <v>32</v>
      </c>
      <c r="G49" t="str">
        <f>VLOOKUP(F49,'Tipo Parada Fab 1'!$A$2:$B$27,2,FALSE())</f>
        <v>P</v>
      </c>
      <c r="H49" s="20">
        <f t="shared" si="2"/>
        <v>6.31944444444444E-2</v>
      </c>
      <c r="I49" s="20" t="str">
        <f t="shared" si="1"/>
        <v/>
      </c>
    </row>
    <row r="50" spans="1:9" x14ac:dyDescent="0.3">
      <c r="A50" s="18" t="s">
        <v>56</v>
      </c>
      <c r="B50" s="19">
        <v>45027</v>
      </c>
      <c r="C50" s="20">
        <v>0.875694444444444</v>
      </c>
      <c r="D50" s="20">
        <v>0.92986111111111103</v>
      </c>
      <c r="E50" s="20">
        <v>5.4166666666666703E-2</v>
      </c>
      <c r="F50" s="21" t="s">
        <v>33</v>
      </c>
      <c r="G50" t="str">
        <f>VLOOKUP(F50,'Tipo Parada Fab 1'!$A$2:$B$27,2,FALSE())</f>
        <v>P</v>
      </c>
      <c r="H50" s="20">
        <f t="shared" si="2"/>
        <v>5.4166666666666703E-2</v>
      </c>
      <c r="I50" s="20" t="str">
        <f t="shared" si="1"/>
        <v/>
      </c>
    </row>
    <row r="51" spans="1:9" x14ac:dyDescent="0.3">
      <c r="A51" s="18" t="s">
        <v>56</v>
      </c>
      <c r="B51" s="19">
        <v>45027</v>
      </c>
      <c r="C51" s="20">
        <v>0.938194444444444</v>
      </c>
      <c r="D51" s="20">
        <v>0.94027777777777799</v>
      </c>
      <c r="E51" s="20">
        <v>2.0833333333333298E-3</v>
      </c>
      <c r="F51" s="21" t="s">
        <v>43</v>
      </c>
      <c r="G51" t="str">
        <f>VLOOKUP(F51,'Tipo Parada Fab 1'!$A$2:$B$27,2,FALSE())</f>
        <v>NP</v>
      </c>
      <c r="H51" s="20" t="str">
        <f t="shared" si="2"/>
        <v/>
      </c>
      <c r="I51" s="20">
        <f t="shared" si="1"/>
        <v>2.0833333333333298E-3</v>
      </c>
    </row>
    <row r="52" spans="1:9" x14ac:dyDescent="0.3">
      <c r="A52" s="18" t="s">
        <v>56</v>
      </c>
      <c r="B52" s="19">
        <v>45028</v>
      </c>
      <c r="C52" s="20">
        <v>0.56388888888888899</v>
      </c>
      <c r="D52" s="20">
        <v>0.58055555555555605</v>
      </c>
      <c r="E52" s="20">
        <v>1.6666666666666701E-2</v>
      </c>
      <c r="F52" s="21" t="s">
        <v>47</v>
      </c>
      <c r="G52" t="str">
        <f>VLOOKUP(F52,'Tipo Parada Fab 1'!$A$2:$B$27,2,FALSE())</f>
        <v>NP</v>
      </c>
      <c r="H52" s="20" t="str">
        <f t="shared" si="2"/>
        <v/>
      </c>
      <c r="I52" s="20">
        <f t="shared" si="1"/>
        <v>1.6666666666666701E-2</v>
      </c>
    </row>
    <row r="53" spans="1:9" x14ac:dyDescent="0.3">
      <c r="A53" s="18" t="s">
        <v>56</v>
      </c>
      <c r="B53" s="19">
        <v>45028</v>
      </c>
      <c r="C53" s="20">
        <v>0.58611111111111103</v>
      </c>
      <c r="D53" s="20">
        <v>0.60972222222222205</v>
      </c>
      <c r="E53" s="20">
        <v>2.3611111111110999E-2</v>
      </c>
      <c r="F53" s="21" t="s">
        <v>47</v>
      </c>
      <c r="G53" t="str">
        <f>VLOOKUP(F53,'Tipo Parada Fab 1'!$A$2:$B$27,2,FALSE())</f>
        <v>NP</v>
      </c>
      <c r="H53" s="20" t="str">
        <f t="shared" si="2"/>
        <v/>
      </c>
      <c r="I53" s="20">
        <f t="shared" si="1"/>
        <v>2.3611111111110999E-2</v>
      </c>
    </row>
    <row r="54" spans="1:9" x14ac:dyDescent="0.3">
      <c r="A54" s="18" t="s">
        <v>56</v>
      </c>
      <c r="B54" s="19">
        <v>45028</v>
      </c>
      <c r="C54" s="20">
        <v>0.72847222222222197</v>
      </c>
      <c r="D54" s="20">
        <v>0.73541666666666705</v>
      </c>
      <c r="E54" s="20">
        <v>6.9444444444443096E-3</v>
      </c>
      <c r="F54" s="21" t="s">
        <v>58</v>
      </c>
      <c r="G54" t="str">
        <f>VLOOKUP(F54,'Tipo Parada Fab 1'!$A$2:$B$27,2,FALSE())</f>
        <v>NP</v>
      </c>
      <c r="H54" s="20" t="str">
        <f t="shared" si="2"/>
        <v/>
      </c>
      <c r="I54" s="20">
        <f t="shared" si="1"/>
        <v>6.9444444444443096E-3</v>
      </c>
    </row>
    <row r="55" spans="1:9" x14ac:dyDescent="0.3">
      <c r="A55" s="18" t="s">
        <v>56</v>
      </c>
      <c r="B55" s="19">
        <v>45028</v>
      </c>
      <c r="C55" s="20">
        <v>0.8125</v>
      </c>
      <c r="D55" s="20">
        <v>0.81805555555555598</v>
      </c>
      <c r="E55" s="20">
        <v>5.5555555555555402E-3</v>
      </c>
      <c r="F55" s="21" t="s">
        <v>32</v>
      </c>
      <c r="G55" t="str">
        <f>VLOOKUP(F55,'Tipo Parada Fab 1'!$A$2:$B$27,2,FALSE())</f>
        <v>P</v>
      </c>
      <c r="H55" s="20">
        <f t="shared" si="2"/>
        <v>5.5555555555555402E-3</v>
      </c>
      <c r="I55" s="20" t="str">
        <f t="shared" si="1"/>
        <v/>
      </c>
    </row>
    <row r="56" spans="1:9" x14ac:dyDescent="0.3">
      <c r="A56" s="18" t="s">
        <v>56</v>
      </c>
      <c r="B56" s="19">
        <v>45028</v>
      </c>
      <c r="C56" s="20">
        <v>0.87291666666666701</v>
      </c>
      <c r="D56" s="20">
        <v>0.87777777777777799</v>
      </c>
      <c r="E56" s="20">
        <v>4.8611111111110904E-3</v>
      </c>
      <c r="F56" s="21" t="s">
        <v>51</v>
      </c>
      <c r="G56" t="str">
        <f>VLOOKUP(F56,'Tipo Parada Fab 1'!$A$2:$B$27,2,FALSE())</f>
        <v>NP</v>
      </c>
      <c r="H56" s="20" t="str">
        <f t="shared" si="2"/>
        <v/>
      </c>
      <c r="I56" s="20">
        <f t="shared" ref="I56:I87" si="3">IF(G56="NP",E56,"")</f>
        <v>4.8611111111110904E-3</v>
      </c>
    </row>
    <row r="57" spans="1:9" x14ac:dyDescent="0.3">
      <c r="A57" s="18" t="s">
        <v>56</v>
      </c>
      <c r="B57" s="19">
        <v>45029</v>
      </c>
      <c r="C57" s="20">
        <v>0.67361111111111105</v>
      </c>
      <c r="D57" s="20">
        <v>0.68055555555555503</v>
      </c>
      <c r="E57" s="20">
        <v>6.9444444444443096E-3</v>
      </c>
      <c r="F57" s="21" t="s">
        <v>37</v>
      </c>
      <c r="G57" t="str">
        <f>VLOOKUP(F57,'Tipo Parada Fab 1'!$A$2:$B$27,2,FALSE())</f>
        <v>NP</v>
      </c>
      <c r="H57" s="20" t="str">
        <f t="shared" si="2"/>
        <v/>
      </c>
      <c r="I57" s="20">
        <f t="shared" si="3"/>
        <v>6.9444444444443096E-3</v>
      </c>
    </row>
    <row r="58" spans="1:9" x14ac:dyDescent="0.3">
      <c r="A58" s="18" t="s">
        <v>56</v>
      </c>
      <c r="B58" s="19">
        <v>45029</v>
      </c>
      <c r="C58" s="20">
        <v>0.74861111111111101</v>
      </c>
      <c r="D58" s="20">
        <v>0.8125</v>
      </c>
      <c r="E58" s="20">
        <v>6.3888888888888995E-2</v>
      </c>
      <c r="F58" s="21" t="s">
        <v>32</v>
      </c>
      <c r="G58" t="str">
        <f>VLOOKUP(F58,'Tipo Parada Fab 1'!$A$2:$B$27,2,FALSE())</f>
        <v>P</v>
      </c>
      <c r="H58" s="20">
        <f t="shared" si="2"/>
        <v>6.3888888888888995E-2</v>
      </c>
      <c r="I58" s="20" t="str">
        <f t="shared" si="3"/>
        <v/>
      </c>
    </row>
    <row r="59" spans="1:9" x14ac:dyDescent="0.3">
      <c r="A59" s="18" t="s">
        <v>56</v>
      </c>
      <c r="B59" s="19">
        <v>45029</v>
      </c>
      <c r="C59" s="20">
        <v>0.8125</v>
      </c>
      <c r="D59" s="20">
        <v>0.875694444444444</v>
      </c>
      <c r="E59" s="20">
        <v>6.31944444444444E-2</v>
      </c>
      <c r="F59" s="21" t="s">
        <v>32</v>
      </c>
      <c r="G59" t="str">
        <f>VLOOKUP(F59,'Tipo Parada Fab 1'!$A$2:$B$27,2,FALSE())</f>
        <v>P</v>
      </c>
      <c r="H59" s="20">
        <f t="shared" si="2"/>
        <v>6.31944444444444E-2</v>
      </c>
      <c r="I59" s="20" t="str">
        <f t="shared" si="3"/>
        <v/>
      </c>
    </row>
    <row r="60" spans="1:9" x14ac:dyDescent="0.3">
      <c r="A60" s="18" t="s">
        <v>56</v>
      </c>
      <c r="B60" s="19">
        <v>45029</v>
      </c>
      <c r="C60" s="20">
        <v>0.875694444444444</v>
      </c>
      <c r="D60" s="20">
        <v>0.89791666666666703</v>
      </c>
      <c r="E60" s="20">
        <v>2.2222222222222299E-2</v>
      </c>
      <c r="F60" s="21" t="s">
        <v>47</v>
      </c>
      <c r="G60" t="str">
        <f>VLOOKUP(F60,'Tipo Parada Fab 1'!$A$2:$B$27,2,FALSE())</f>
        <v>NP</v>
      </c>
      <c r="H60" s="20" t="str">
        <f t="shared" si="2"/>
        <v/>
      </c>
      <c r="I60" s="20">
        <f t="shared" si="3"/>
        <v>2.2222222222222299E-2</v>
      </c>
    </row>
    <row r="61" spans="1:9" x14ac:dyDescent="0.3">
      <c r="A61" s="18" t="s">
        <v>56</v>
      </c>
      <c r="B61" s="19">
        <v>45030</v>
      </c>
      <c r="C61" s="20">
        <v>0.37986111111111098</v>
      </c>
      <c r="D61" s="20">
        <v>0.39374999999999999</v>
      </c>
      <c r="E61" s="20">
        <v>1.38888888888888E-2</v>
      </c>
      <c r="F61" s="21" t="s">
        <v>57</v>
      </c>
      <c r="G61" t="str">
        <f>VLOOKUP(F61,'Tipo Parada Fab 1'!$A$2:$B$27,2,FALSE())</f>
        <v>NP</v>
      </c>
      <c r="H61" s="20" t="str">
        <f t="shared" si="2"/>
        <v/>
      </c>
      <c r="I61" s="20">
        <f t="shared" si="3"/>
        <v>1.38888888888888E-2</v>
      </c>
    </row>
    <row r="62" spans="1:9" x14ac:dyDescent="0.3">
      <c r="A62" s="18" t="s">
        <v>56</v>
      </c>
      <c r="B62" s="19">
        <v>45030</v>
      </c>
      <c r="C62" s="20">
        <v>0.74861111111111101</v>
      </c>
      <c r="D62" s="20">
        <v>0.8125</v>
      </c>
      <c r="E62" s="20">
        <v>6.3888888888888995E-2</v>
      </c>
      <c r="F62" s="21" t="s">
        <v>32</v>
      </c>
      <c r="G62" t="str">
        <f>VLOOKUP(F62,'Tipo Parada Fab 1'!$A$2:$B$27,2,FALSE())</f>
        <v>P</v>
      </c>
      <c r="H62" s="20">
        <f t="shared" si="2"/>
        <v>6.3888888888888995E-2</v>
      </c>
      <c r="I62" s="20" t="str">
        <f t="shared" si="3"/>
        <v/>
      </c>
    </row>
    <row r="63" spans="1:9" x14ac:dyDescent="0.3">
      <c r="A63" s="18" t="s">
        <v>56</v>
      </c>
      <c r="B63" s="19">
        <v>45030</v>
      </c>
      <c r="C63" s="20">
        <v>0.8125</v>
      </c>
      <c r="D63" s="20">
        <v>0.88055555555555598</v>
      </c>
      <c r="E63" s="20">
        <v>6.8055555555555494E-2</v>
      </c>
      <c r="F63" s="21" t="s">
        <v>32</v>
      </c>
      <c r="G63" t="str">
        <f>VLOOKUP(F63,'Tipo Parada Fab 1'!$A$2:$B$27,2,FALSE())</f>
        <v>P</v>
      </c>
      <c r="H63" s="20">
        <f t="shared" si="2"/>
        <v>6.8055555555555494E-2</v>
      </c>
      <c r="I63" s="20" t="str">
        <f t="shared" si="3"/>
        <v/>
      </c>
    </row>
    <row r="64" spans="1:9" x14ac:dyDescent="0.3">
      <c r="A64" s="18" t="s">
        <v>56</v>
      </c>
      <c r="B64" s="19">
        <v>45031</v>
      </c>
      <c r="C64" s="20">
        <v>0.40625</v>
      </c>
      <c r="D64" s="20">
        <v>0.41736111111111102</v>
      </c>
      <c r="E64" s="20">
        <v>1.1111111111111099E-2</v>
      </c>
      <c r="F64" s="21" t="s">
        <v>51</v>
      </c>
      <c r="G64" t="str">
        <f>VLOOKUP(F64,'Tipo Parada Fab 1'!$A$2:$B$27,2,FALSE())</f>
        <v>NP</v>
      </c>
      <c r="H64" s="20" t="str">
        <f t="shared" si="2"/>
        <v/>
      </c>
      <c r="I64" s="20">
        <f t="shared" si="3"/>
        <v>1.1111111111111099E-2</v>
      </c>
    </row>
    <row r="65" spans="1:9" x14ac:dyDescent="0.3">
      <c r="A65" s="18" t="s">
        <v>56</v>
      </c>
      <c r="B65" s="19">
        <v>45031</v>
      </c>
      <c r="C65" s="20">
        <v>0.68055555555555503</v>
      </c>
      <c r="D65" s="20">
        <v>0.69027777777777799</v>
      </c>
      <c r="E65" s="20">
        <v>9.7222222222223004E-3</v>
      </c>
      <c r="F65" s="21" t="s">
        <v>57</v>
      </c>
      <c r="G65" t="str">
        <f>VLOOKUP(F65,'Tipo Parada Fab 1'!$A$2:$B$27,2,FALSE())</f>
        <v>NP</v>
      </c>
      <c r="H65" s="20" t="str">
        <f t="shared" si="2"/>
        <v/>
      </c>
      <c r="I65" s="20">
        <f t="shared" si="3"/>
        <v>9.7222222222223004E-3</v>
      </c>
    </row>
    <row r="66" spans="1:9" x14ac:dyDescent="0.3">
      <c r="A66" s="18" t="s">
        <v>56</v>
      </c>
      <c r="B66" s="19">
        <v>45031</v>
      </c>
      <c r="C66" s="20">
        <v>0.77083333333333304</v>
      </c>
      <c r="D66" s="20">
        <v>0.77638888888888902</v>
      </c>
      <c r="E66" s="20">
        <v>5.5555555555555402E-3</v>
      </c>
      <c r="F66" s="21" t="s">
        <v>47</v>
      </c>
      <c r="G66" t="str">
        <f>VLOOKUP(F66,'Tipo Parada Fab 1'!$A$2:$B$27,2,FALSE())</f>
        <v>NP</v>
      </c>
      <c r="H66" s="20" t="str">
        <f t="shared" ref="H66:H97" si="4">IF(G66="P",E66,"")</f>
        <v/>
      </c>
      <c r="I66" s="20">
        <f t="shared" si="3"/>
        <v>5.5555555555555402E-3</v>
      </c>
    </row>
    <row r="67" spans="1:9" x14ac:dyDescent="0.3">
      <c r="A67" s="18" t="s">
        <v>56</v>
      </c>
      <c r="B67" s="19">
        <v>45031</v>
      </c>
      <c r="C67" s="20">
        <v>0.87152777777777801</v>
      </c>
      <c r="D67" s="20">
        <v>0.95</v>
      </c>
      <c r="E67" s="20">
        <v>7.8472222222222304E-2</v>
      </c>
      <c r="F67" s="21" t="s">
        <v>40</v>
      </c>
      <c r="G67" t="str">
        <f>VLOOKUP(F67,'Tipo Parada Fab 1'!$A$2:$B$27,2,FALSE())</f>
        <v>NP</v>
      </c>
      <c r="H67" s="20" t="str">
        <f t="shared" si="4"/>
        <v/>
      </c>
      <c r="I67" s="20">
        <f t="shared" si="3"/>
        <v>7.8472222222222304E-2</v>
      </c>
    </row>
    <row r="68" spans="1:9" x14ac:dyDescent="0.3">
      <c r="A68" s="18" t="s">
        <v>56</v>
      </c>
      <c r="B68" s="19">
        <v>45031</v>
      </c>
      <c r="C68" s="20">
        <v>0.99166666666666703</v>
      </c>
      <c r="D68" s="20">
        <v>0.99791666666666701</v>
      </c>
      <c r="E68" s="20">
        <v>6.2499999999999804E-3</v>
      </c>
      <c r="F68" s="21" t="s">
        <v>47</v>
      </c>
      <c r="G68" t="str">
        <f>VLOOKUP(F68,'Tipo Parada Fab 1'!$A$2:$B$27,2,FALSE())</f>
        <v>NP</v>
      </c>
      <c r="H68" s="20" t="str">
        <f t="shared" si="4"/>
        <v/>
      </c>
      <c r="I68" s="20">
        <f t="shared" si="3"/>
        <v>6.2499999999999804E-3</v>
      </c>
    </row>
    <row r="69" spans="1:9" x14ac:dyDescent="0.3">
      <c r="A69" s="18" t="s">
        <v>56</v>
      </c>
      <c r="B69" s="19">
        <v>45033</v>
      </c>
      <c r="C69" s="20">
        <v>0.133333333333333</v>
      </c>
      <c r="D69" s="20">
        <v>0.13750000000000001</v>
      </c>
      <c r="E69" s="20">
        <v>4.1666666666666501E-3</v>
      </c>
      <c r="F69" s="21" t="s">
        <v>51</v>
      </c>
      <c r="G69" t="str">
        <f>VLOOKUP(F69,'Tipo Parada Fab 1'!$A$2:$B$27,2,FALSE())</f>
        <v>NP</v>
      </c>
      <c r="H69" s="20" t="str">
        <f t="shared" si="4"/>
        <v/>
      </c>
      <c r="I69" s="20">
        <f t="shared" si="3"/>
        <v>4.1666666666666501E-3</v>
      </c>
    </row>
    <row r="70" spans="1:9" x14ac:dyDescent="0.3">
      <c r="A70" s="18" t="s">
        <v>56</v>
      </c>
      <c r="B70" s="19">
        <v>45033</v>
      </c>
      <c r="C70" s="20">
        <v>0.141666666666667</v>
      </c>
      <c r="D70" s="20">
        <v>0.14374999999999999</v>
      </c>
      <c r="E70" s="20">
        <v>2.0833333333333498E-3</v>
      </c>
      <c r="F70" s="21" t="s">
        <v>51</v>
      </c>
      <c r="G70" t="str">
        <f>VLOOKUP(F70,'Tipo Parada Fab 1'!$A$2:$B$27,2,FALSE())</f>
        <v>NP</v>
      </c>
      <c r="H70" s="20" t="str">
        <f t="shared" si="4"/>
        <v/>
      </c>
      <c r="I70" s="20">
        <f t="shared" si="3"/>
        <v>2.0833333333333498E-3</v>
      </c>
    </row>
    <row r="71" spans="1:9" x14ac:dyDescent="0.3">
      <c r="A71" s="18" t="s">
        <v>56</v>
      </c>
      <c r="B71" s="19">
        <v>45033</v>
      </c>
      <c r="C71" s="20">
        <v>0.172222222222222</v>
      </c>
      <c r="D71" s="20">
        <v>0.17569444444444399</v>
      </c>
      <c r="E71" s="20">
        <v>3.4722222222222099E-3</v>
      </c>
      <c r="F71" s="21" t="s">
        <v>51</v>
      </c>
      <c r="G71" t="str">
        <f>VLOOKUP(F71,'Tipo Parada Fab 1'!$A$2:$B$27,2,FALSE())</f>
        <v>NP</v>
      </c>
      <c r="H71" s="20" t="str">
        <f t="shared" si="4"/>
        <v/>
      </c>
      <c r="I71" s="20">
        <f t="shared" si="3"/>
        <v>3.4722222222222099E-3</v>
      </c>
    </row>
    <row r="72" spans="1:9" x14ac:dyDescent="0.3">
      <c r="A72" s="18" t="s">
        <v>56</v>
      </c>
      <c r="B72" s="19">
        <v>45033</v>
      </c>
      <c r="C72" s="20">
        <v>0.18194444444444399</v>
      </c>
      <c r="D72" s="20">
        <v>0.18611111111111101</v>
      </c>
      <c r="E72" s="20">
        <v>4.1666666666666796E-3</v>
      </c>
      <c r="F72" s="21" t="s">
        <v>51</v>
      </c>
      <c r="G72" t="str">
        <f>VLOOKUP(F72,'Tipo Parada Fab 1'!$A$2:$B$27,2,FALSE())</f>
        <v>NP</v>
      </c>
      <c r="H72" s="20" t="str">
        <f t="shared" si="4"/>
        <v/>
      </c>
      <c r="I72" s="20">
        <f t="shared" si="3"/>
        <v>4.1666666666666796E-3</v>
      </c>
    </row>
    <row r="73" spans="1:9" x14ac:dyDescent="0.3">
      <c r="A73" s="18" t="s">
        <v>56</v>
      </c>
      <c r="B73" s="19">
        <v>45033</v>
      </c>
      <c r="C73" s="20">
        <v>0.3125</v>
      </c>
      <c r="D73" s="20">
        <v>0.44930555555555601</v>
      </c>
      <c r="E73" s="20">
        <v>0.13680555555555601</v>
      </c>
      <c r="F73" s="21" t="s">
        <v>40</v>
      </c>
      <c r="G73" t="str">
        <f>VLOOKUP(F73,'Tipo Parada Fab 1'!$A$2:$B$27,2,FALSE())</f>
        <v>NP</v>
      </c>
      <c r="H73" s="20" t="str">
        <f t="shared" si="4"/>
        <v/>
      </c>
      <c r="I73" s="20">
        <f t="shared" si="3"/>
        <v>0.13680555555555601</v>
      </c>
    </row>
    <row r="74" spans="1:9" x14ac:dyDescent="0.3">
      <c r="A74" s="18" t="s">
        <v>56</v>
      </c>
      <c r="B74" s="19">
        <v>45033</v>
      </c>
      <c r="C74" s="20">
        <v>0.74861111111111101</v>
      </c>
      <c r="D74" s="20">
        <v>0.8125</v>
      </c>
      <c r="E74" s="20">
        <v>6.3888888888888995E-2</v>
      </c>
      <c r="F74" s="21" t="s">
        <v>32</v>
      </c>
      <c r="G74" t="str">
        <f>VLOOKUP(F74,'Tipo Parada Fab 1'!$A$2:$B$27,2,FALSE())</f>
        <v>P</v>
      </c>
      <c r="H74" s="20">
        <f t="shared" si="4"/>
        <v>6.3888888888888995E-2</v>
      </c>
      <c r="I74" s="20" t="str">
        <f t="shared" si="3"/>
        <v/>
      </c>
    </row>
    <row r="75" spans="1:9" x14ac:dyDescent="0.3">
      <c r="A75" s="18" t="s">
        <v>56</v>
      </c>
      <c r="B75" s="19">
        <v>45033</v>
      </c>
      <c r="C75" s="20">
        <v>0.8125</v>
      </c>
      <c r="D75" s="20">
        <v>0.875694444444444</v>
      </c>
      <c r="E75" s="20">
        <v>6.31944444444444E-2</v>
      </c>
      <c r="F75" s="21" t="s">
        <v>32</v>
      </c>
      <c r="G75" t="str">
        <f>VLOOKUP(F75,'Tipo Parada Fab 1'!$A$2:$B$27,2,FALSE())</f>
        <v>P</v>
      </c>
      <c r="H75" s="20">
        <f t="shared" si="4"/>
        <v>6.31944444444444E-2</v>
      </c>
      <c r="I75" s="20" t="str">
        <f t="shared" si="3"/>
        <v/>
      </c>
    </row>
    <row r="76" spans="1:9" x14ac:dyDescent="0.3">
      <c r="A76" s="18" t="s">
        <v>56</v>
      </c>
      <c r="B76" s="19">
        <v>45034</v>
      </c>
      <c r="C76" s="20">
        <v>0.109027777777778</v>
      </c>
      <c r="D76" s="20">
        <v>0.114583333333333</v>
      </c>
      <c r="E76" s="20">
        <v>5.5555555555555497E-3</v>
      </c>
      <c r="F76" s="21" t="s">
        <v>51</v>
      </c>
      <c r="G76" t="str">
        <f>VLOOKUP(F76,'Tipo Parada Fab 1'!$A$2:$B$27,2,FALSE())</f>
        <v>NP</v>
      </c>
      <c r="H76" s="20" t="str">
        <f t="shared" si="4"/>
        <v/>
      </c>
      <c r="I76" s="20">
        <f t="shared" si="3"/>
        <v>5.5555555555555497E-3</v>
      </c>
    </row>
    <row r="77" spans="1:9" x14ac:dyDescent="0.3">
      <c r="A77" s="18" t="s">
        <v>56</v>
      </c>
      <c r="B77" s="19">
        <v>45034</v>
      </c>
      <c r="C77" s="20">
        <v>0.227083333333333</v>
      </c>
      <c r="D77" s="20">
        <v>0.240972222222222</v>
      </c>
      <c r="E77" s="20">
        <v>1.38888888888889E-2</v>
      </c>
      <c r="F77" s="21" t="s">
        <v>48</v>
      </c>
      <c r="G77" t="str">
        <f>VLOOKUP(F77,'Tipo Parada Fab 1'!$A$2:$B$27,2,FALSE())</f>
        <v>NP</v>
      </c>
      <c r="H77" s="20" t="str">
        <f t="shared" si="4"/>
        <v/>
      </c>
      <c r="I77" s="20">
        <f t="shared" si="3"/>
        <v>1.38888888888889E-2</v>
      </c>
    </row>
    <row r="78" spans="1:9" x14ac:dyDescent="0.3">
      <c r="A78" s="18" t="s">
        <v>56</v>
      </c>
      <c r="B78" s="19">
        <v>45034</v>
      </c>
      <c r="C78" s="20">
        <v>0.47222222222222199</v>
      </c>
      <c r="D78" s="20">
        <v>0.49583333333333302</v>
      </c>
      <c r="E78" s="20">
        <v>2.36111111111111E-2</v>
      </c>
      <c r="F78" s="21" t="s">
        <v>51</v>
      </c>
      <c r="G78" t="str">
        <f>VLOOKUP(F78,'Tipo Parada Fab 1'!$A$2:$B$27,2,FALSE())</f>
        <v>NP</v>
      </c>
      <c r="H78" s="20" t="str">
        <f t="shared" si="4"/>
        <v/>
      </c>
      <c r="I78" s="20">
        <f t="shared" si="3"/>
        <v>2.36111111111111E-2</v>
      </c>
    </row>
    <row r="79" spans="1:9" x14ac:dyDescent="0.3">
      <c r="A79" s="18" t="s">
        <v>56</v>
      </c>
      <c r="B79" s="19">
        <v>45034</v>
      </c>
      <c r="C79" s="20">
        <v>0.58333333333333304</v>
      </c>
      <c r="D79" s="20">
        <v>0.58888888888888902</v>
      </c>
      <c r="E79" s="20">
        <v>5.5555555555555402E-3</v>
      </c>
      <c r="F79" s="21" t="s">
        <v>47</v>
      </c>
      <c r="G79" t="str">
        <f>VLOOKUP(F79,'Tipo Parada Fab 1'!$A$2:$B$27,2,FALSE())</f>
        <v>NP</v>
      </c>
      <c r="H79" s="20" t="str">
        <f t="shared" si="4"/>
        <v/>
      </c>
      <c r="I79" s="20">
        <f t="shared" si="3"/>
        <v>5.5555555555555402E-3</v>
      </c>
    </row>
    <row r="80" spans="1:9" x14ac:dyDescent="0.3">
      <c r="A80" s="18" t="s">
        <v>56</v>
      </c>
      <c r="B80" s="19">
        <v>45034</v>
      </c>
      <c r="C80" s="20">
        <v>0.74861111111111101</v>
      </c>
      <c r="D80" s="20">
        <v>0.8125</v>
      </c>
      <c r="E80" s="20">
        <v>6.3888888888888995E-2</v>
      </c>
      <c r="F80" s="21" t="s">
        <v>32</v>
      </c>
      <c r="G80" t="str">
        <f>VLOOKUP(F80,'Tipo Parada Fab 1'!$A$2:$B$27,2,FALSE())</f>
        <v>P</v>
      </c>
      <c r="H80" s="20">
        <f t="shared" si="4"/>
        <v>6.3888888888888995E-2</v>
      </c>
      <c r="I80" s="20" t="str">
        <f t="shared" si="3"/>
        <v/>
      </c>
    </row>
    <row r="81" spans="1:9" x14ac:dyDescent="0.3">
      <c r="A81" s="18" t="s">
        <v>56</v>
      </c>
      <c r="B81" s="19">
        <v>45034</v>
      </c>
      <c r="C81" s="20">
        <v>0.8125</v>
      </c>
      <c r="D81" s="20">
        <v>0.87847222222222199</v>
      </c>
      <c r="E81" s="20">
        <v>6.5972222222222196E-2</v>
      </c>
      <c r="F81" s="21" t="s">
        <v>32</v>
      </c>
      <c r="G81" t="str">
        <f>VLOOKUP(F81,'Tipo Parada Fab 1'!$A$2:$B$27,2,FALSE())</f>
        <v>P</v>
      </c>
      <c r="H81" s="20">
        <f t="shared" si="4"/>
        <v>6.5972222222222196E-2</v>
      </c>
      <c r="I81" s="20" t="str">
        <f t="shared" si="3"/>
        <v/>
      </c>
    </row>
    <row r="82" spans="1:9" x14ac:dyDescent="0.3">
      <c r="A82" s="18" t="s">
        <v>56</v>
      </c>
      <c r="B82" s="19">
        <v>45035</v>
      </c>
      <c r="C82" s="20">
        <v>6.25E-2</v>
      </c>
      <c r="D82" s="20">
        <v>8.3333333333333301E-2</v>
      </c>
      <c r="E82" s="20">
        <v>2.0833333333333301E-2</v>
      </c>
      <c r="F82" s="21" t="s">
        <v>38</v>
      </c>
      <c r="G82" t="str">
        <f>VLOOKUP(F82,'Tipo Parada Fab 1'!$A$2:$B$27,2,FALSE())</f>
        <v>NP</v>
      </c>
      <c r="H82" s="20" t="str">
        <f t="shared" si="4"/>
        <v/>
      </c>
      <c r="I82" s="20">
        <f t="shared" si="3"/>
        <v>2.0833333333333301E-2</v>
      </c>
    </row>
    <row r="83" spans="1:9" x14ac:dyDescent="0.3">
      <c r="A83" s="18" t="s">
        <v>56</v>
      </c>
      <c r="B83" s="19">
        <v>45035</v>
      </c>
      <c r="C83" s="20">
        <v>0.74861111111111101</v>
      </c>
      <c r="D83" s="20">
        <v>0.8125</v>
      </c>
      <c r="E83" s="20">
        <v>6.3888888888888995E-2</v>
      </c>
      <c r="F83" s="21" t="s">
        <v>32</v>
      </c>
      <c r="G83" t="str">
        <f>VLOOKUP(F83,'Tipo Parada Fab 1'!$A$2:$B$27,2,FALSE())</f>
        <v>P</v>
      </c>
      <c r="H83" s="20">
        <f t="shared" si="4"/>
        <v>6.3888888888888995E-2</v>
      </c>
      <c r="I83" s="20" t="str">
        <f t="shared" si="3"/>
        <v/>
      </c>
    </row>
    <row r="84" spans="1:9" x14ac:dyDescent="0.3">
      <c r="A84" s="18" t="s">
        <v>56</v>
      </c>
      <c r="B84" s="19">
        <v>45035</v>
      </c>
      <c r="C84" s="20">
        <v>0.8125</v>
      </c>
      <c r="D84" s="20">
        <v>0.88194444444444398</v>
      </c>
      <c r="E84" s="20">
        <v>6.9444444444444503E-2</v>
      </c>
      <c r="F84" s="21" t="s">
        <v>32</v>
      </c>
      <c r="G84" t="str">
        <f>VLOOKUP(F84,'Tipo Parada Fab 1'!$A$2:$B$27,2,FALSE())</f>
        <v>P</v>
      </c>
      <c r="H84" s="20">
        <f t="shared" si="4"/>
        <v>6.9444444444444503E-2</v>
      </c>
      <c r="I84" s="20" t="str">
        <f t="shared" si="3"/>
        <v/>
      </c>
    </row>
    <row r="85" spans="1:9" x14ac:dyDescent="0.3">
      <c r="A85" s="18" t="s">
        <v>56</v>
      </c>
      <c r="B85" s="19">
        <v>45036</v>
      </c>
      <c r="C85" s="20">
        <v>0.32291666666666702</v>
      </c>
      <c r="D85" s="20">
        <v>0.328472222222222</v>
      </c>
      <c r="E85" s="20">
        <v>5.5555555555555402E-3</v>
      </c>
      <c r="F85" s="21" t="s">
        <v>51</v>
      </c>
      <c r="G85" t="str">
        <f>VLOOKUP(F85,'Tipo Parada Fab 1'!$A$2:$B$27,2,FALSE())</f>
        <v>NP</v>
      </c>
      <c r="H85" s="20" t="str">
        <f t="shared" si="4"/>
        <v/>
      </c>
      <c r="I85" s="20">
        <f t="shared" si="3"/>
        <v>5.5555555555555402E-3</v>
      </c>
    </row>
    <row r="86" spans="1:9" x14ac:dyDescent="0.3">
      <c r="A86" s="18" t="s">
        <v>56</v>
      </c>
      <c r="B86" s="19">
        <v>45036</v>
      </c>
      <c r="C86" s="20">
        <v>0.74861111111111101</v>
      </c>
      <c r="D86" s="20">
        <v>0.8125</v>
      </c>
      <c r="E86" s="20">
        <v>6.3888888888888995E-2</v>
      </c>
      <c r="F86" s="21" t="s">
        <v>32</v>
      </c>
      <c r="G86" t="str">
        <f>VLOOKUP(F86,'Tipo Parada Fab 1'!$A$2:$B$27,2,FALSE())</f>
        <v>P</v>
      </c>
      <c r="H86" s="20">
        <f t="shared" si="4"/>
        <v>6.3888888888888995E-2</v>
      </c>
      <c r="I86" s="20" t="str">
        <f t="shared" si="3"/>
        <v/>
      </c>
    </row>
    <row r="87" spans="1:9" x14ac:dyDescent="0.3">
      <c r="A87" s="18" t="s">
        <v>56</v>
      </c>
      <c r="B87" s="19">
        <v>45036</v>
      </c>
      <c r="C87" s="20">
        <v>0.8125</v>
      </c>
      <c r="D87" s="20">
        <v>0.87916666666666698</v>
      </c>
      <c r="E87" s="20">
        <v>6.6666666666666805E-2</v>
      </c>
      <c r="F87" s="21" t="s">
        <v>32</v>
      </c>
      <c r="G87" t="str">
        <f>VLOOKUP(F87,'Tipo Parada Fab 1'!$A$2:$B$27,2,FALSE())</f>
        <v>P</v>
      </c>
      <c r="H87" s="20">
        <f t="shared" si="4"/>
        <v>6.6666666666666805E-2</v>
      </c>
      <c r="I87" s="20" t="str">
        <f t="shared" si="3"/>
        <v/>
      </c>
    </row>
    <row r="88" spans="1:9" x14ac:dyDescent="0.3">
      <c r="A88" s="18" t="s">
        <v>56</v>
      </c>
      <c r="B88" s="19">
        <v>45036</v>
      </c>
      <c r="C88" s="20">
        <v>0.90277777777777801</v>
      </c>
      <c r="D88" s="20">
        <v>0.906944444444444</v>
      </c>
      <c r="E88" s="20">
        <v>4.1666666666666501E-3</v>
      </c>
      <c r="F88" s="21" t="s">
        <v>51</v>
      </c>
      <c r="G88" t="str">
        <f>VLOOKUP(F88,'Tipo Parada Fab 1'!$A$2:$B$27,2,FALSE())</f>
        <v>NP</v>
      </c>
      <c r="H88" s="20" t="str">
        <f t="shared" si="4"/>
        <v/>
      </c>
      <c r="I88" s="20">
        <f t="shared" ref="I88:I119" si="5">IF(G88="NP",E88,"")</f>
        <v>4.1666666666666501E-3</v>
      </c>
    </row>
    <row r="89" spans="1:9" x14ac:dyDescent="0.3">
      <c r="A89" s="18" t="s">
        <v>56</v>
      </c>
      <c r="B89" s="19">
        <v>45037</v>
      </c>
      <c r="C89" s="20">
        <v>0.36805555555555602</v>
      </c>
      <c r="D89" s="20">
        <v>0.44166666666666698</v>
      </c>
      <c r="E89" s="20">
        <v>7.3611111111111099E-2</v>
      </c>
      <c r="F89" s="21" t="s">
        <v>52</v>
      </c>
      <c r="G89" t="str">
        <f>VLOOKUP(F89,'Tipo Parada Fab 1'!$A$2:$B$27,2,FALSE())</f>
        <v>NP</v>
      </c>
      <c r="H89" s="20" t="str">
        <f t="shared" si="4"/>
        <v/>
      </c>
      <c r="I89" s="20">
        <f t="shared" si="5"/>
        <v>7.3611111111111099E-2</v>
      </c>
    </row>
    <row r="90" spans="1:9" x14ac:dyDescent="0.3">
      <c r="A90" s="18" t="s">
        <v>56</v>
      </c>
      <c r="B90" s="19">
        <v>45037</v>
      </c>
      <c r="C90" s="20">
        <v>0.59861111111111098</v>
      </c>
      <c r="D90" s="20">
        <v>0.71250000000000002</v>
      </c>
      <c r="E90" s="20">
        <v>0.113888888888889</v>
      </c>
      <c r="F90" s="21" t="s">
        <v>40</v>
      </c>
      <c r="G90" t="str">
        <f>VLOOKUP(F90,'Tipo Parada Fab 1'!$A$2:$B$27,2,FALSE())</f>
        <v>NP</v>
      </c>
      <c r="H90" s="20" t="str">
        <f t="shared" si="4"/>
        <v/>
      </c>
      <c r="I90" s="20">
        <f t="shared" si="5"/>
        <v>0.113888888888889</v>
      </c>
    </row>
    <row r="91" spans="1:9" x14ac:dyDescent="0.3">
      <c r="A91" s="18" t="s">
        <v>56</v>
      </c>
      <c r="B91" s="19">
        <v>45037</v>
      </c>
      <c r="C91" s="20">
        <v>0.98472222222222205</v>
      </c>
      <c r="D91" s="20">
        <v>0.99166666666666703</v>
      </c>
      <c r="E91" s="20">
        <v>6.9444444444445299E-3</v>
      </c>
      <c r="F91" s="21" t="s">
        <v>47</v>
      </c>
      <c r="G91" t="str">
        <f>VLOOKUP(F91,'Tipo Parada Fab 1'!$A$2:$B$27,2,FALSE())</f>
        <v>NP</v>
      </c>
      <c r="H91" s="20" t="str">
        <f t="shared" si="4"/>
        <v/>
      </c>
      <c r="I91" s="20">
        <f t="shared" si="5"/>
        <v>6.9444444444445299E-3</v>
      </c>
    </row>
    <row r="92" spans="1:9" x14ac:dyDescent="0.3">
      <c r="A92" s="18" t="s">
        <v>56</v>
      </c>
      <c r="B92" s="19">
        <v>45037</v>
      </c>
      <c r="C92" s="20">
        <v>0.99305555555555503</v>
      </c>
      <c r="D92" s="20">
        <v>0.99583333333333302</v>
      </c>
      <c r="E92" s="20">
        <v>2.7777777777777701E-3</v>
      </c>
      <c r="F92" s="21" t="s">
        <v>47</v>
      </c>
      <c r="G92" t="str">
        <f>VLOOKUP(F92,'Tipo Parada Fab 1'!$A$2:$B$27,2,FALSE())</f>
        <v>NP</v>
      </c>
      <c r="H92" s="20" t="str">
        <f t="shared" si="4"/>
        <v/>
      </c>
      <c r="I92" s="20">
        <f t="shared" si="5"/>
        <v>2.7777777777777701E-3</v>
      </c>
    </row>
    <row r="93" spans="1:9" x14ac:dyDescent="0.3">
      <c r="A93" s="18" t="s">
        <v>56</v>
      </c>
      <c r="B93" s="19">
        <v>45037</v>
      </c>
      <c r="C93" s="20">
        <v>0</v>
      </c>
      <c r="D93" s="20">
        <v>6.25E-2</v>
      </c>
      <c r="E93" s="20">
        <v>6.25E-2</v>
      </c>
      <c r="F93" s="21" t="s">
        <v>47</v>
      </c>
      <c r="G93" t="str">
        <f>VLOOKUP(F93,'Tipo Parada Fab 1'!$A$2:$B$27,2,FALSE())</f>
        <v>NP</v>
      </c>
      <c r="H93" s="20" t="str">
        <f t="shared" si="4"/>
        <v/>
      </c>
      <c r="I93" s="20">
        <f t="shared" si="5"/>
        <v>6.25E-2</v>
      </c>
    </row>
    <row r="94" spans="1:9" x14ac:dyDescent="0.3">
      <c r="A94" s="18" t="s">
        <v>56</v>
      </c>
      <c r="B94" s="19">
        <v>45038</v>
      </c>
      <c r="C94" s="20">
        <v>6.25E-2</v>
      </c>
      <c r="D94" s="20">
        <v>0.10625</v>
      </c>
      <c r="E94" s="20">
        <v>4.3749999999999997E-2</v>
      </c>
      <c r="F94" s="21" t="s">
        <v>47</v>
      </c>
      <c r="G94" t="str">
        <f>VLOOKUP(F94,'Tipo Parada Fab 1'!$A$2:$B$27,2,FALSE())</f>
        <v>NP</v>
      </c>
      <c r="H94" s="20" t="str">
        <f t="shared" si="4"/>
        <v/>
      </c>
      <c r="I94" s="20">
        <f t="shared" si="5"/>
        <v>4.3749999999999997E-2</v>
      </c>
    </row>
    <row r="95" spans="1:9" x14ac:dyDescent="0.3">
      <c r="A95" s="18" t="s">
        <v>56</v>
      </c>
      <c r="B95" s="19">
        <v>45038</v>
      </c>
      <c r="C95" s="20">
        <v>0.113888888888889</v>
      </c>
      <c r="D95" s="20">
        <v>0.116666666666667</v>
      </c>
      <c r="E95" s="20">
        <v>2.7777777777777701E-3</v>
      </c>
      <c r="F95" s="21" t="s">
        <v>47</v>
      </c>
      <c r="G95" t="str">
        <f>VLOOKUP(F95,'Tipo Parada Fab 1'!$A$2:$B$27,2,FALSE())</f>
        <v>NP</v>
      </c>
      <c r="H95" s="20" t="str">
        <f t="shared" si="4"/>
        <v/>
      </c>
      <c r="I95" s="20">
        <f t="shared" si="5"/>
        <v>2.7777777777777701E-3</v>
      </c>
    </row>
    <row r="96" spans="1:9" x14ac:dyDescent="0.3">
      <c r="A96" s="18" t="s">
        <v>56</v>
      </c>
      <c r="B96" s="19">
        <v>45038</v>
      </c>
      <c r="C96" s="20">
        <v>0.45833333333333298</v>
      </c>
      <c r="D96" s="20">
        <v>0.46041666666666697</v>
      </c>
      <c r="E96" s="20">
        <v>2.0833333333333801E-3</v>
      </c>
      <c r="F96" s="21" t="s">
        <v>59</v>
      </c>
      <c r="G96" t="str">
        <f>VLOOKUP(F96,'Tipo Parada Fab 1'!$A$2:$B$27,2,FALSE())</f>
        <v>NP</v>
      </c>
      <c r="H96" s="20" t="str">
        <f t="shared" si="4"/>
        <v/>
      </c>
      <c r="I96" s="20">
        <f t="shared" si="5"/>
        <v>2.0833333333333801E-3</v>
      </c>
    </row>
    <row r="97" spans="1:9" x14ac:dyDescent="0.3">
      <c r="A97" s="18" t="s">
        <v>56</v>
      </c>
      <c r="B97" s="19">
        <v>45039</v>
      </c>
      <c r="C97" s="20">
        <v>0.20624999999999999</v>
      </c>
      <c r="D97" s="20">
        <v>0.209722222222222</v>
      </c>
      <c r="E97" s="20">
        <v>3.4722222222222099E-3</v>
      </c>
      <c r="F97" s="21" t="s">
        <v>51</v>
      </c>
      <c r="G97" t="str">
        <f>VLOOKUP(F97,'Tipo Parada Fab 1'!$A$2:$B$27,2,FALSE())</f>
        <v>NP</v>
      </c>
      <c r="H97" s="20" t="str">
        <f t="shared" si="4"/>
        <v/>
      </c>
      <c r="I97" s="20">
        <f t="shared" si="5"/>
        <v>3.4722222222222099E-3</v>
      </c>
    </row>
    <row r="98" spans="1:9" x14ac:dyDescent="0.3">
      <c r="A98" s="18" t="s">
        <v>56</v>
      </c>
      <c r="B98" s="19">
        <v>45039</v>
      </c>
      <c r="C98" s="20">
        <v>0.26944444444444399</v>
      </c>
      <c r="D98" s="20">
        <v>0.27361111111111103</v>
      </c>
      <c r="E98" s="20">
        <v>4.1666666666666501E-3</v>
      </c>
      <c r="F98" s="21" t="s">
        <v>51</v>
      </c>
      <c r="G98" t="str">
        <f>VLOOKUP(F98,'Tipo Parada Fab 1'!$A$2:$B$27,2,FALSE())</f>
        <v>NP</v>
      </c>
      <c r="H98" s="20" t="str">
        <f t="shared" ref="H98:H129" si="6">IF(G98="P",E98,"")</f>
        <v/>
      </c>
      <c r="I98" s="20">
        <f t="shared" si="5"/>
        <v>4.1666666666666501E-3</v>
      </c>
    </row>
    <row r="99" spans="1:9" x14ac:dyDescent="0.3">
      <c r="A99" s="18" t="s">
        <v>56</v>
      </c>
      <c r="B99" s="19">
        <v>45039</v>
      </c>
      <c r="C99" s="20">
        <v>0.38680555555555601</v>
      </c>
      <c r="D99" s="20">
        <v>0.39513888888888898</v>
      </c>
      <c r="E99" s="20">
        <v>8.3333333333333003E-3</v>
      </c>
      <c r="F99" s="21" t="s">
        <v>47</v>
      </c>
      <c r="G99" t="str">
        <f>VLOOKUP(F99,'Tipo Parada Fab 1'!$A$2:$B$27,2,FALSE())</f>
        <v>NP</v>
      </c>
      <c r="H99" s="20" t="str">
        <f t="shared" si="6"/>
        <v/>
      </c>
      <c r="I99" s="20">
        <f t="shared" si="5"/>
        <v>8.3333333333333003E-3</v>
      </c>
    </row>
    <row r="100" spans="1:9" x14ac:dyDescent="0.3">
      <c r="A100" s="18" t="s">
        <v>56</v>
      </c>
      <c r="B100" s="19">
        <v>45039</v>
      </c>
      <c r="C100" s="20">
        <v>0.70625000000000004</v>
      </c>
      <c r="D100" s="20">
        <v>0.77152777777777803</v>
      </c>
      <c r="E100" s="20">
        <v>6.5277777777777796E-2</v>
      </c>
      <c r="F100" s="21" t="s">
        <v>40</v>
      </c>
      <c r="G100" t="str">
        <f>VLOOKUP(F100,'Tipo Parada Fab 1'!$A$2:$B$27,2,FALSE())</f>
        <v>NP</v>
      </c>
      <c r="H100" s="20" t="str">
        <f t="shared" si="6"/>
        <v/>
      </c>
      <c r="I100" s="20">
        <f t="shared" si="5"/>
        <v>6.5277777777777796E-2</v>
      </c>
    </row>
    <row r="101" spans="1:9" x14ac:dyDescent="0.3">
      <c r="A101" s="18" t="s">
        <v>56</v>
      </c>
      <c r="B101" s="19">
        <v>45039</v>
      </c>
      <c r="C101" s="20">
        <v>0.81527777777777799</v>
      </c>
      <c r="D101" s="20">
        <v>0.81874999999999998</v>
      </c>
      <c r="E101" s="20">
        <v>3.4722222222222099E-3</v>
      </c>
      <c r="F101" s="21" t="s">
        <v>35</v>
      </c>
      <c r="G101" t="str">
        <f>VLOOKUP(F101,'Tipo Parada Fab 1'!$A$2:$B$27,2,FALSE())</f>
        <v>NP</v>
      </c>
      <c r="H101" s="20" t="str">
        <f t="shared" si="6"/>
        <v/>
      </c>
      <c r="I101" s="20">
        <f t="shared" si="5"/>
        <v>3.4722222222222099E-3</v>
      </c>
    </row>
    <row r="102" spans="1:9" x14ac:dyDescent="0.3">
      <c r="A102" s="18" t="s">
        <v>56</v>
      </c>
      <c r="B102" s="19">
        <v>45040</v>
      </c>
      <c r="C102" s="20">
        <v>0.62013888888888902</v>
      </c>
      <c r="D102" s="20">
        <v>0.624305555555556</v>
      </c>
      <c r="E102" s="20">
        <v>4.1666666666666501E-3</v>
      </c>
      <c r="F102" s="21" t="s">
        <v>51</v>
      </c>
      <c r="G102" t="str">
        <f>VLOOKUP(F102,'Tipo Parada Fab 1'!$A$2:$B$27,2,FALSE())</f>
        <v>NP</v>
      </c>
      <c r="H102" s="20" t="str">
        <f t="shared" si="6"/>
        <v/>
      </c>
      <c r="I102" s="20">
        <f t="shared" si="5"/>
        <v>4.1666666666666501E-3</v>
      </c>
    </row>
    <row r="103" spans="1:9" x14ac:dyDescent="0.3">
      <c r="A103" s="18" t="s">
        <v>56</v>
      </c>
      <c r="B103" s="19">
        <v>45040</v>
      </c>
      <c r="C103" s="20">
        <v>0.8125</v>
      </c>
      <c r="D103" s="20">
        <v>0.88263888888888897</v>
      </c>
      <c r="E103" s="20">
        <v>7.0138888888888903E-2</v>
      </c>
      <c r="F103" s="21" t="s">
        <v>32</v>
      </c>
      <c r="G103" t="str">
        <f>VLOOKUP(F103,'Tipo Parada Fab 1'!$A$2:$B$27,2,FALSE())</f>
        <v>P</v>
      </c>
      <c r="H103" s="20">
        <f t="shared" si="6"/>
        <v>7.0138888888888903E-2</v>
      </c>
      <c r="I103" s="20" t="str">
        <f t="shared" si="5"/>
        <v/>
      </c>
    </row>
    <row r="104" spans="1:9" x14ac:dyDescent="0.3">
      <c r="A104" s="18" t="s">
        <v>56</v>
      </c>
      <c r="B104" s="19">
        <v>45040</v>
      </c>
      <c r="C104" s="20">
        <v>0.88472222222222197</v>
      </c>
      <c r="D104" s="20">
        <v>6.25E-2</v>
      </c>
      <c r="E104" s="20">
        <v>0.17777777777777801</v>
      </c>
      <c r="F104" s="21" t="s">
        <v>47</v>
      </c>
      <c r="G104" t="str">
        <f>VLOOKUP(F104,'Tipo Parada Fab 1'!$A$2:$B$27,2,FALSE())</f>
        <v>NP</v>
      </c>
      <c r="H104" s="20" t="str">
        <f t="shared" si="6"/>
        <v/>
      </c>
      <c r="I104" s="20">
        <f t="shared" si="5"/>
        <v>0.17777777777777801</v>
      </c>
    </row>
    <row r="105" spans="1:9" x14ac:dyDescent="0.3">
      <c r="A105" s="18" t="s">
        <v>56</v>
      </c>
      <c r="B105" s="19">
        <v>45041</v>
      </c>
      <c r="C105" s="20">
        <v>6.25E-2</v>
      </c>
      <c r="D105" s="20">
        <v>0.3125</v>
      </c>
      <c r="E105" s="20">
        <v>0.25</v>
      </c>
      <c r="F105" s="21" t="s">
        <v>47</v>
      </c>
      <c r="G105" t="str">
        <f>VLOOKUP(F105,'Tipo Parada Fab 1'!$A$2:$B$27,2,FALSE())</f>
        <v>NP</v>
      </c>
      <c r="H105" s="20" t="str">
        <f t="shared" si="6"/>
        <v/>
      </c>
      <c r="I105" s="20">
        <f t="shared" si="5"/>
        <v>0.25</v>
      </c>
    </row>
    <row r="106" spans="1:9" x14ac:dyDescent="0.3">
      <c r="A106" s="18" t="s">
        <v>56</v>
      </c>
      <c r="B106" s="19">
        <v>45041</v>
      </c>
      <c r="C106" s="20">
        <v>0.3125</v>
      </c>
      <c r="D106" s="20">
        <v>0.5625</v>
      </c>
      <c r="E106" s="20">
        <v>0.25</v>
      </c>
      <c r="F106" s="21" t="s">
        <v>47</v>
      </c>
      <c r="G106" t="str">
        <f>VLOOKUP(F106,'Tipo Parada Fab 1'!$A$2:$B$27,2,FALSE())</f>
        <v>NP</v>
      </c>
      <c r="H106" s="20" t="str">
        <f t="shared" si="6"/>
        <v/>
      </c>
      <c r="I106" s="20">
        <f t="shared" si="5"/>
        <v>0.25</v>
      </c>
    </row>
    <row r="107" spans="1:9" x14ac:dyDescent="0.3">
      <c r="A107" s="18" t="s">
        <v>56</v>
      </c>
      <c r="B107" s="19">
        <v>45041</v>
      </c>
      <c r="C107" s="20">
        <v>0.5625</v>
      </c>
      <c r="D107" s="20">
        <v>0.76527777777777795</v>
      </c>
      <c r="E107" s="20">
        <v>0.202777777777778</v>
      </c>
      <c r="F107" s="21" t="s">
        <v>47</v>
      </c>
      <c r="G107" t="str">
        <f>VLOOKUP(F107,'Tipo Parada Fab 1'!$A$2:$B$27,2,FALSE())</f>
        <v>NP</v>
      </c>
      <c r="H107" s="20" t="str">
        <f t="shared" si="6"/>
        <v/>
      </c>
      <c r="I107" s="20">
        <f t="shared" si="5"/>
        <v>0.202777777777778</v>
      </c>
    </row>
    <row r="108" spans="1:9" x14ac:dyDescent="0.3">
      <c r="A108" s="18" t="s">
        <v>56</v>
      </c>
      <c r="B108" s="19">
        <v>45041</v>
      </c>
      <c r="C108" s="20">
        <v>0.76527777777777795</v>
      </c>
      <c r="D108" s="20">
        <v>0.77638888888888902</v>
      </c>
      <c r="E108" s="20">
        <v>1.1111111111111099E-2</v>
      </c>
      <c r="F108" s="21" t="s">
        <v>35</v>
      </c>
      <c r="G108" t="str">
        <f>VLOOKUP(F108,'Tipo Parada Fab 1'!$A$2:$B$27,2,FALSE())</f>
        <v>NP</v>
      </c>
      <c r="H108" s="20" t="str">
        <f t="shared" si="6"/>
        <v/>
      </c>
      <c r="I108" s="20">
        <f t="shared" si="5"/>
        <v>1.1111111111111099E-2</v>
      </c>
    </row>
    <row r="109" spans="1:9" x14ac:dyDescent="0.3">
      <c r="A109" s="18" t="s">
        <v>56</v>
      </c>
      <c r="B109" s="19">
        <v>45042</v>
      </c>
      <c r="C109" s="20">
        <v>0.29513888888888901</v>
      </c>
      <c r="D109" s="20">
        <v>0.3125</v>
      </c>
      <c r="E109" s="20">
        <v>1.7361111111111101E-2</v>
      </c>
      <c r="F109" s="21" t="s">
        <v>60</v>
      </c>
      <c r="G109" t="str">
        <f>VLOOKUP(F109,'Tipo Parada Fab 1'!$A$2:$B$27,2,FALSE())</f>
        <v>NP</v>
      </c>
      <c r="H109" s="20" t="str">
        <f t="shared" si="6"/>
        <v/>
      </c>
      <c r="I109" s="20">
        <f t="shared" si="5"/>
        <v>1.7361111111111101E-2</v>
      </c>
    </row>
    <row r="110" spans="1:9" x14ac:dyDescent="0.3">
      <c r="A110" s="18" t="s">
        <v>56</v>
      </c>
      <c r="B110" s="19">
        <v>45042</v>
      </c>
      <c r="C110" s="20">
        <v>0.41666666666666702</v>
      </c>
      <c r="D110" s="20">
        <v>0.42986111111111103</v>
      </c>
      <c r="E110" s="20">
        <v>1.3194444444444399E-2</v>
      </c>
      <c r="F110" s="21" t="s">
        <v>35</v>
      </c>
      <c r="G110" t="str">
        <f>VLOOKUP(F110,'Tipo Parada Fab 1'!$A$2:$B$27,2,FALSE())</f>
        <v>NP</v>
      </c>
      <c r="H110" s="20" t="str">
        <f t="shared" si="6"/>
        <v/>
      </c>
      <c r="I110" s="20">
        <f t="shared" si="5"/>
        <v>1.3194444444444399E-2</v>
      </c>
    </row>
    <row r="111" spans="1:9" x14ac:dyDescent="0.3">
      <c r="A111" s="18" t="s">
        <v>56</v>
      </c>
      <c r="B111" s="19">
        <v>45042</v>
      </c>
      <c r="C111" s="20">
        <v>0.65347222222222201</v>
      </c>
      <c r="D111" s="20">
        <v>0.65763888888888899</v>
      </c>
      <c r="E111" s="20">
        <v>4.1666666666666501E-3</v>
      </c>
      <c r="F111" s="21" t="s">
        <v>51</v>
      </c>
      <c r="G111" t="str">
        <f>VLOOKUP(F111,'Tipo Parada Fab 1'!$A$2:$B$27,2,FALSE())</f>
        <v>NP</v>
      </c>
      <c r="H111" s="20" t="str">
        <f t="shared" si="6"/>
        <v/>
      </c>
      <c r="I111" s="20">
        <f t="shared" si="5"/>
        <v>4.1666666666666501E-3</v>
      </c>
    </row>
    <row r="112" spans="1:9" x14ac:dyDescent="0.3">
      <c r="A112" s="18" t="s">
        <v>56</v>
      </c>
      <c r="B112" s="19">
        <v>45042</v>
      </c>
      <c r="C112" s="20">
        <v>0.65972222222222199</v>
      </c>
      <c r="D112" s="20">
        <v>0.66180555555555598</v>
      </c>
      <c r="E112" s="20">
        <v>2.0833333333333298E-3</v>
      </c>
      <c r="F112" s="21" t="s">
        <v>51</v>
      </c>
      <c r="G112" t="str">
        <f>VLOOKUP(F112,'Tipo Parada Fab 1'!$A$2:$B$27,2,FALSE())</f>
        <v>NP</v>
      </c>
      <c r="H112" s="20" t="str">
        <f t="shared" si="6"/>
        <v/>
      </c>
      <c r="I112" s="20">
        <f t="shared" si="5"/>
        <v>2.0833333333333298E-3</v>
      </c>
    </row>
    <row r="113" spans="1:9" x14ac:dyDescent="0.3">
      <c r="A113" s="18" t="s">
        <v>56</v>
      </c>
      <c r="B113" s="19">
        <v>45042</v>
      </c>
      <c r="C113" s="20">
        <v>0.67638888888888904</v>
      </c>
      <c r="D113" s="20">
        <v>0.68541666666666701</v>
      </c>
      <c r="E113" s="20">
        <v>9.0277777777777492E-3</v>
      </c>
      <c r="F113" s="21" t="s">
        <v>35</v>
      </c>
      <c r="G113" t="str">
        <f>VLOOKUP(F113,'Tipo Parada Fab 1'!$A$2:$B$27,2,FALSE())</f>
        <v>NP</v>
      </c>
      <c r="H113" s="20" t="str">
        <f t="shared" si="6"/>
        <v/>
      </c>
      <c r="I113" s="20">
        <f t="shared" si="5"/>
        <v>9.0277777777777492E-3</v>
      </c>
    </row>
    <row r="114" spans="1:9" x14ac:dyDescent="0.3">
      <c r="A114" s="18" t="s">
        <v>56</v>
      </c>
      <c r="B114" s="19">
        <v>45042</v>
      </c>
      <c r="C114" s="20">
        <v>0.74861111111111101</v>
      </c>
      <c r="D114" s="20">
        <v>0.8125</v>
      </c>
      <c r="E114" s="20">
        <v>6.3888888888888995E-2</v>
      </c>
      <c r="F114" s="21" t="s">
        <v>32</v>
      </c>
      <c r="G114" t="str">
        <f>VLOOKUP(F114,'Tipo Parada Fab 1'!$A$2:$B$27,2,FALSE())</f>
        <v>P</v>
      </c>
      <c r="H114" s="20">
        <f t="shared" si="6"/>
        <v>6.3888888888888995E-2</v>
      </c>
      <c r="I114" s="20" t="str">
        <f t="shared" si="5"/>
        <v/>
      </c>
    </row>
    <row r="115" spans="1:9" x14ac:dyDescent="0.3">
      <c r="A115" s="18" t="s">
        <v>56</v>
      </c>
      <c r="B115" s="19">
        <v>45042</v>
      </c>
      <c r="C115" s="20">
        <v>0.8125</v>
      </c>
      <c r="D115" s="20">
        <v>0.87916666666666698</v>
      </c>
      <c r="E115" s="20">
        <v>6.6666666666666805E-2</v>
      </c>
      <c r="F115" s="21" t="s">
        <v>32</v>
      </c>
      <c r="G115" t="str">
        <f>VLOOKUP(F115,'Tipo Parada Fab 1'!$A$2:$B$27,2,FALSE())</f>
        <v>P</v>
      </c>
      <c r="H115" s="20">
        <f t="shared" si="6"/>
        <v>6.6666666666666805E-2</v>
      </c>
      <c r="I115" s="20" t="str">
        <f t="shared" si="5"/>
        <v/>
      </c>
    </row>
    <row r="116" spans="1:9" x14ac:dyDescent="0.3">
      <c r="A116" s="18" t="s">
        <v>56</v>
      </c>
      <c r="B116" s="19">
        <v>45042</v>
      </c>
      <c r="C116" s="20">
        <v>0.93611111111111101</v>
      </c>
      <c r="D116" s="20">
        <v>0.93958333333333299</v>
      </c>
      <c r="E116" s="20">
        <v>3.47222222222232E-3</v>
      </c>
      <c r="F116" s="21" t="s">
        <v>35</v>
      </c>
      <c r="G116" t="str">
        <f>VLOOKUP(F116,'Tipo Parada Fab 1'!$A$2:$B$27,2,FALSE())</f>
        <v>NP</v>
      </c>
      <c r="H116" s="20" t="str">
        <f t="shared" si="6"/>
        <v/>
      </c>
      <c r="I116" s="20">
        <f t="shared" si="5"/>
        <v>3.47222222222232E-3</v>
      </c>
    </row>
    <row r="117" spans="1:9" x14ac:dyDescent="0.3">
      <c r="A117" s="18" t="s">
        <v>56</v>
      </c>
      <c r="B117" s="19">
        <v>45043</v>
      </c>
      <c r="C117" s="20">
        <v>0.15486111111111101</v>
      </c>
      <c r="D117" s="20">
        <v>0.22847222222222199</v>
      </c>
      <c r="E117" s="20">
        <v>7.3611111111111099E-2</v>
      </c>
      <c r="F117" s="21" t="s">
        <v>49</v>
      </c>
      <c r="G117" t="str">
        <f>VLOOKUP(F117,'Tipo Parada Fab 1'!$A$2:$B$27,2,FALSE())</f>
        <v>NP</v>
      </c>
      <c r="H117" s="20" t="str">
        <f t="shared" si="6"/>
        <v/>
      </c>
      <c r="I117" s="20">
        <f t="shared" si="5"/>
        <v>7.3611111111111099E-2</v>
      </c>
    </row>
    <row r="118" spans="1:9" x14ac:dyDescent="0.3">
      <c r="A118" s="18" t="s">
        <v>56</v>
      </c>
      <c r="B118" s="19">
        <v>45043</v>
      </c>
      <c r="C118" s="20">
        <v>0.31527777777777799</v>
      </c>
      <c r="D118" s="20">
        <v>0.5625</v>
      </c>
      <c r="E118" s="20">
        <v>0.24722222222222201</v>
      </c>
      <c r="F118" s="21" t="s">
        <v>47</v>
      </c>
      <c r="G118" t="str">
        <f>VLOOKUP(F118,'Tipo Parada Fab 1'!$A$2:$B$27,2,FALSE())</f>
        <v>NP</v>
      </c>
      <c r="H118" s="20" t="str">
        <f t="shared" si="6"/>
        <v/>
      </c>
      <c r="I118" s="20">
        <f t="shared" si="5"/>
        <v>0.24722222222222201</v>
      </c>
    </row>
    <row r="119" spans="1:9" x14ac:dyDescent="0.3">
      <c r="A119" s="18" t="s">
        <v>56</v>
      </c>
      <c r="B119" s="19">
        <v>45043</v>
      </c>
      <c r="C119" s="20">
        <v>0.5625</v>
      </c>
      <c r="D119" s="20">
        <v>0.66041666666666698</v>
      </c>
      <c r="E119" s="20">
        <v>9.7916666666666596E-2</v>
      </c>
      <c r="F119" s="21" t="s">
        <v>47</v>
      </c>
      <c r="G119" t="str">
        <f>VLOOKUP(F119,'Tipo Parada Fab 1'!$A$2:$B$27,2,FALSE())</f>
        <v>NP</v>
      </c>
      <c r="H119" s="20" t="str">
        <f t="shared" si="6"/>
        <v/>
      </c>
      <c r="I119" s="20">
        <f t="shared" si="5"/>
        <v>9.7916666666666596E-2</v>
      </c>
    </row>
    <row r="120" spans="1:9" x14ac:dyDescent="0.3">
      <c r="A120" s="18" t="s">
        <v>56</v>
      </c>
      <c r="B120" s="19">
        <v>45043</v>
      </c>
      <c r="C120" s="20">
        <v>0.75347222222222199</v>
      </c>
      <c r="D120" s="20">
        <v>0.75486111111111098</v>
      </c>
      <c r="E120" s="20">
        <v>1.3888888888888801E-3</v>
      </c>
      <c r="F120" s="21" t="s">
        <v>61</v>
      </c>
      <c r="G120" t="str">
        <f>VLOOKUP(F120,'Tipo Parada Fab 1'!$A$2:$B$27,2,FALSE())</f>
        <v>NP</v>
      </c>
      <c r="H120" s="20" t="str">
        <f t="shared" si="6"/>
        <v/>
      </c>
      <c r="I120" s="20">
        <f t="shared" ref="I120:I139" si="7">IF(G120="NP",E120,"")</f>
        <v>1.3888888888888801E-3</v>
      </c>
    </row>
    <row r="121" spans="1:9" x14ac:dyDescent="0.3">
      <c r="A121" s="18" t="s">
        <v>56</v>
      </c>
      <c r="B121" s="19">
        <v>45043</v>
      </c>
      <c r="C121" s="20">
        <v>0.76249999999999996</v>
      </c>
      <c r="D121" s="20">
        <v>0.78749999999999998</v>
      </c>
      <c r="E121" s="20">
        <v>2.4999999999999901E-2</v>
      </c>
      <c r="F121" s="21" t="s">
        <v>47</v>
      </c>
      <c r="G121" t="str">
        <f>VLOOKUP(F121,'Tipo Parada Fab 1'!$A$2:$B$27,2,FALSE())</f>
        <v>NP</v>
      </c>
      <c r="H121" s="20" t="str">
        <f t="shared" si="6"/>
        <v/>
      </c>
      <c r="I121" s="20">
        <f t="shared" si="7"/>
        <v>2.4999999999999901E-2</v>
      </c>
    </row>
    <row r="122" spans="1:9" x14ac:dyDescent="0.3">
      <c r="A122" s="18" t="s">
        <v>56</v>
      </c>
      <c r="B122" s="19">
        <v>45043</v>
      </c>
      <c r="C122" s="20">
        <v>0.88888888888888895</v>
      </c>
      <c r="D122" s="20">
        <v>0.89027777777777795</v>
      </c>
      <c r="E122" s="20">
        <v>1.388888888889E-3</v>
      </c>
      <c r="F122" s="21" t="s">
        <v>35</v>
      </c>
      <c r="G122" t="str">
        <f>VLOOKUP(F122,'Tipo Parada Fab 1'!$A$2:$B$27,2,FALSE())</f>
        <v>NP</v>
      </c>
      <c r="H122" s="20" t="str">
        <f t="shared" si="6"/>
        <v/>
      </c>
      <c r="I122" s="20">
        <f t="shared" si="7"/>
        <v>1.388888888889E-3</v>
      </c>
    </row>
    <row r="123" spans="1:9" x14ac:dyDescent="0.3">
      <c r="A123" s="18" t="s">
        <v>56</v>
      </c>
      <c r="B123" s="19">
        <v>45043</v>
      </c>
      <c r="C123" s="20">
        <v>0.93263888888888902</v>
      </c>
      <c r="D123" s="20">
        <v>0.94305555555555598</v>
      </c>
      <c r="E123" s="20">
        <v>1.04166666666666E-2</v>
      </c>
      <c r="F123" s="21" t="s">
        <v>45</v>
      </c>
      <c r="G123" t="str">
        <f>VLOOKUP(F123,'Tipo Parada Fab 1'!$A$2:$B$27,2,FALSE())</f>
        <v>NP</v>
      </c>
      <c r="H123" s="20" t="str">
        <f t="shared" si="6"/>
        <v/>
      </c>
      <c r="I123" s="20">
        <f t="shared" si="7"/>
        <v>1.04166666666666E-2</v>
      </c>
    </row>
    <row r="124" spans="1:9" x14ac:dyDescent="0.3">
      <c r="A124" s="18" t="s">
        <v>56</v>
      </c>
      <c r="B124" s="19">
        <v>45044</v>
      </c>
      <c r="C124" s="20">
        <v>8.4722222222222199E-2</v>
      </c>
      <c r="D124" s="20">
        <v>0.3125</v>
      </c>
      <c r="E124" s="20">
        <v>0.227777777777778</v>
      </c>
      <c r="F124" s="21" t="s">
        <v>47</v>
      </c>
      <c r="G124" t="str">
        <f>VLOOKUP(F124,'Tipo Parada Fab 1'!$A$2:$B$27,2,FALSE())</f>
        <v>NP</v>
      </c>
      <c r="H124" s="20" t="str">
        <f t="shared" si="6"/>
        <v/>
      </c>
      <c r="I124" s="20">
        <f t="shared" si="7"/>
        <v>0.227777777777778</v>
      </c>
    </row>
    <row r="125" spans="1:9" x14ac:dyDescent="0.3">
      <c r="A125" s="18" t="s">
        <v>56</v>
      </c>
      <c r="B125" s="19">
        <v>45044</v>
      </c>
      <c r="C125" s="20">
        <v>0.3125</v>
      </c>
      <c r="D125" s="20">
        <v>0.5625</v>
      </c>
      <c r="E125" s="20">
        <v>0.25</v>
      </c>
      <c r="F125" s="21" t="s">
        <v>47</v>
      </c>
      <c r="G125" t="str">
        <f>VLOOKUP(F125,'Tipo Parada Fab 1'!$A$2:$B$27,2,FALSE())</f>
        <v>NP</v>
      </c>
      <c r="H125" s="20" t="str">
        <f t="shared" si="6"/>
        <v/>
      </c>
      <c r="I125" s="20">
        <f t="shared" si="7"/>
        <v>0.25</v>
      </c>
    </row>
    <row r="126" spans="1:9" x14ac:dyDescent="0.3">
      <c r="A126" s="18" t="s">
        <v>56</v>
      </c>
      <c r="B126" s="19">
        <v>45044</v>
      </c>
      <c r="C126" s="20">
        <v>0.5625</v>
      </c>
      <c r="D126" s="20">
        <v>0.67361111111111105</v>
      </c>
      <c r="E126" s="20">
        <v>0.11111111111111099</v>
      </c>
      <c r="F126" s="21" t="s">
        <v>47</v>
      </c>
      <c r="G126" t="str">
        <f>VLOOKUP(F126,'Tipo Parada Fab 1'!$A$2:$B$27,2,FALSE())</f>
        <v>NP</v>
      </c>
      <c r="H126" s="20" t="str">
        <f t="shared" si="6"/>
        <v/>
      </c>
      <c r="I126" s="20">
        <f t="shared" si="7"/>
        <v>0.11111111111111099</v>
      </c>
    </row>
    <row r="127" spans="1:9" x14ac:dyDescent="0.3">
      <c r="A127" s="18" t="s">
        <v>56</v>
      </c>
      <c r="B127" s="19">
        <v>45044</v>
      </c>
      <c r="C127" s="20">
        <v>0.74861111111111101</v>
      </c>
      <c r="D127" s="20">
        <v>0.76944444444444404</v>
      </c>
      <c r="E127" s="20">
        <v>2.0833333333333402E-2</v>
      </c>
      <c r="F127" s="21" t="s">
        <v>35</v>
      </c>
      <c r="G127" t="str">
        <f>VLOOKUP(F127,'Tipo Parada Fab 1'!$A$2:$B$27,2,FALSE())</f>
        <v>NP</v>
      </c>
      <c r="H127" s="20" t="str">
        <f t="shared" si="6"/>
        <v/>
      </c>
      <c r="I127" s="20">
        <f t="shared" si="7"/>
        <v>2.0833333333333402E-2</v>
      </c>
    </row>
    <row r="128" spans="1:9" x14ac:dyDescent="0.3">
      <c r="A128" s="18" t="s">
        <v>56</v>
      </c>
      <c r="B128" s="19">
        <v>45044</v>
      </c>
      <c r="C128" s="20">
        <v>0.76944444444444404</v>
      </c>
      <c r="D128" s="20">
        <v>0.87152777777777801</v>
      </c>
      <c r="E128" s="20">
        <v>0.102083333333333</v>
      </c>
      <c r="F128" s="21" t="s">
        <v>35</v>
      </c>
      <c r="G128" t="str">
        <f>VLOOKUP(F128,'Tipo Parada Fab 1'!$A$2:$B$27,2,FALSE())</f>
        <v>NP</v>
      </c>
      <c r="H128" s="20" t="str">
        <f t="shared" si="6"/>
        <v/>
      </c>
      <c r="I128" s="20">
        <f t="shared" si="7"/>
        <v>0.102083333333333</v>
      </c>
    </row>
    <row r="129" spans="1:9" x14ac:dyDescent="0.3">
      <c r="A129" s="18" t="s">
        <v>56</v>
      </c>
      <c r="B129" s="19">
        <v>45044</v>
      </c>
      <c r="C129" s="20">
        <v>0.87152777777777801</v>
      </c>
      <c r="D129" s="20">
        <v>0.875694444444444</v>
      </c>
      <c r="E129" s="20">
        <v>4.1666666666666501E-3</v>
      </c>
      <c r="F129" s="21" t="s">
        <v>32</v>
      </c>
      <c r="G129" t="str">
        <f>VLOOKUP(F129,'Tipo Parada Fab 1'!$A$2:$B$27,2,FALSE())</f>
        <v>P</v>
      </c>
      <c r="H129" s="20">
        <f t="shared" si="6"/>
        <v>4.1666666666666501E-3</v>
      </c>
      <c r="I129" s="20" t="str">
        <f t="shared" si="7"/>
        <v/>
      </c>
    </row>
    <row r="130" spans="1:9" x14ac:dyDescent="0.3">
      <c r="A130" s="18" t="s">
        <v>56</v>
      </c>
      <c r="B130" s="19">
        <v>45044</v>
      </c>
      <c r="C130" s="20">
        <v>1.1111111111111099E-2</v>
      </c>
      <c r="D130" s="20">
        <v>1.6666666666666701E-2</v>
      </c>
      <c r="E130" s="20">
        <v>5.5555555555555497E-3</v>
      </c>
      <c r="F130" s="21" t="s">
        <v>35</v>
      </c>
      <c r="G130" t="str">
        <f>VLOOKUP(F130,'Tipo Parada Fab 1'!$A$2:$B$27,2,FALSE())</f>
        <v>NP</v>
      </c>
      <c r="H130" s="20" t="str">
        <f t="shared" ref="H130:H161" si="8">IF(G130="P",E130,"")</f>
        <v/>
      </c>
      <c r="I130" s="20">
        <f t="shared" si="7"/>
        <v>5.5555555555555497E-3</v>
      </c>
    </row>
    <row r="131" spans="1:9" x14ac:dyDescent="0.3">
      <c r="A131" s="18" t="s">
        <v>56</v>
      </c>
      <c r="B131" s="19">
        <v>45044</v>
      </c>
      <c r="C131" s="20">
        <v>4.8611111111111098E-2</v>
      </c>
      <c r="D131" s="20">
        <v>6.25E-2</v>
      </c>
      <c r="E131" s="20">
        <v>1.38888888888889E-2</v>
      </c>
      <c r="F131" s="21" t="s">
        <v>52</v>
      </c>
      <c r="G131" t="str">
        <f>VLOOKUP(F131,'Tipo Parada Fab 1'!$A$2:$B$27,2,FALSE())</f>
        <v>NP</v>
      </c>
      <c r="H131" s="20" t="str">
        <f t="shared" si="8"/>
        <v/>
      </c>
      <c r="I131" s="20">
        <f t="shared" si="7"/>
        <v>1.38888888888889E-2</v>
      </c>
    </row>
    <row r="132" spans="1:9" x14ac:dyDescent="0.3">
      <c r="A132" s="18" t="s">
        <v>56</v>
      </c>
      <c r="B132" s="19">
        <v>45045</v>
      </c>
      <c r="C132" s="20">
        <v>6.25E-2</v>
      </c>
      <c r="D132" s="20">
        <v>6.3888888888888898E-2</v>
      </c>
      <c r="E132" s="20">
        <v>1.3888888888888801E-3</v>
      </c>
      <c r="F132" s="21" t="s">
        <v>52</v>
      </c>
      <c r="G132" t="str">
        <f>VLOOKUP(F132,'Tipo Parada Fab 1'!$A$2:$B$27,2,FALSE())</f>
        <v>NP</v>
      </c>
      <c r="H132" s="20" t="str">
        <f t="shared" si="8"/>
        <v/>
      </c>
      <c r="I132" s="20">
        <f t="shared" si="7"/>
        <v>1.3888888888888801E-3</v>
      </c>
    </row>
    <row r="133" spans="1:9" x14ac:dyDescent="0.3">
      <c r="A133" s="18" t="s">
        <v>56</v>
      </c>
      <c r="B133" s="19">
        <v>45045</v>
      </c>
      <c r="C133" s="20">
        <v>0.108333333333333</v>
      </c>
      <c r="D133" s="20">
        <v>0.15347222222222201</v>
      </c>
      <c r="E133" s="20">
        <v>4.5138888888888902E-2</v>
      </c>
      <c r="F133" s="21" t="s">
        <v>58</v>
      </c>
      <c r="G133" t="str">
        <f>VLOOKUP(F133,'Tipo Parada Fab 1'!$A$2:$B$27,2,FALSE())</f>
        <v>NP</v>
      </c>
      <c r="H133" s="20" t="str">
        <f t="shared" si="8"/>
        <v/>
      </c>
      <c r="I133" s="20">
        <f t="shared" si="7"/>
        <v>4.5138888888888902E-2</v>
      </c>
    </row>
    <row r="134" spans="1:9" x14ac:dyDescent="0.3">
      <c r="A134" s="18" t="s">
        <v>56</v>
      </c>
      <c r="B134" s="19">
        <v>45046</v>
      </c>
      <c r="C134" s="20">
        <v>0.118055555555556</v>
      </c>
      <c r="D134" s="20">
        <v>0.13819444444444401</v>
      </c>
      <c r="E134" s="20">
        <v>2.0138888888888901E-2</v>
      </c>
      <c r="F134" s="21" t="s">
        <v>41</v>
      </c>
      <c r="G134" t="str">
        <f>VLOOKUP(F134,'Tipo Parada Fab 1'!$A$2:$B$27,2,FALSE())</f>
        <v>NP</v>
      </c>
      <c r="H134" s="20" t="str">
        <f t="shared" si="8"/>
        <v/>
      </c>
      <c r="I134" s="20">
        <f t="shared" si="7"/>
        <v>2.0138888888888901E-2</v>
      </c>
    </row>
    <row r="135" spans="1:9" x14ac:dyDescent="0.3">
      <c r="A135" s="18" t="s">
        <v>56</v>
      </c>
      <c r="B135" s="19">
        <v>45046</v>
      </c>
      <c r="C135" s="20">
        <v>0.27430555555555503</v>
      </c>
      <c r="D135" s="20">
        <v>0.297222222222222</v>
      </c>
      <c r="E135" s="20">
        <v>2.29166666666667E-2</v>
      </c>
      <c r="F135" s="21" t="s">
        <v>41</v>
      </c>
      <c r="G135" t="str">
        <f>VLOOKUP(F135,'Tipo Parada Fab 1'!$A$2:$B$27,2,FALSE())</f>
        <v>NP</v>
      </c>
      <c r="H135" s="20" t="str">
        <f t="shared" si="8"/>
        <v/>
      </c>
      <c r="I135" s="20">
        <f t="shared" si="7"/>
        <v>2.29166666666667E-2</v>
      </c>
    </row>
    <row r="136" spans="1:9" x14ac:dyDescent="0.3">
      <c r="A136" s="18" t="s">
        <v>56</v>
      </c>
      <c r="B136" s="19">
        <v>45046</v>
      </c>
      <c r="C136" s="20">
        <v>0.40972222222222199</v>
      </c>
      <c r="D136" s="20">
        <v>0.41388888888888897</v>
      </c>
      <c r="E136" s="20">
        <v>4.1666666666666501E-3</v>
      </c>
      <c r="F136" s="21" t="s">
        <v>35</v>
      </c>
      <c r="G136" t="str">
        <f>VLOOKUP(F136,'Tipo Parada Fab 1'!$A$2:$B$27,2,FALSE())</f>
        <v>NP</v>
      </c>
      <c r="H136" s="20" t="str">
        <f t="shared" si="8"/>
        <v/>
      </c>
      <c r="I136" s="20">
        <f t="shared" si="7"/>
        <v>4.1666666666666501E-3</v>
      </c>
    </row>
    <row r="137" spans="1:9" x14ac:dyDescent="0.3">
      <c r="A137" s="18" t="s">
        <v>56</v>
      </c>
      <c r="B137" s="19">
        <v>45046</v>
      </c>
      <c r="C137" s="20">
        <v>0.44513888888888897</v>
      </c>
      <c r="D137" s="20">
        <v>0.52708333333333302</v>
      </c>
      <c r="E137" s="20">
        <v>8.1944444444444403E-2</v>
      </c>
      <c r="F137" s="21" t="s">
        <v>34</v>
      </c>
      <c r="G137" t="str">
        <f>VLOOKUP(F137,'Tipo Parada Fab 1'!$A$2:$B$27,2,FALSE())</f>
        <v>NP</v>
      </c>
      <c r="H137" s="20" t="str">
        <f t="shared" si="8"/>
        <v/>
      </c>
      <c r="I137" s="20">
        <f t="shared" si="7"/>
        <v>8.1944444444444403E-2</v>
      </c>
    </row>
    <row r="138" spans="1:9" x14ac:dyDescent="0.3">
      <c r="A138" s="18" t="s">
        <v>56</v>
      </c>
      <c r="B138" s="19">
        <v>45046</v>
      </c>
      <c r="C138" s="20">
        <v>4.72222222222222E-2</v>
      </c>
      <c r="D138" s="20">
        <v>5.0694444444444403E-2</v>
      </c>
      <c r="E138" s="20">
        <v>3.4722222222222298E-3</v>
      </c>
      <c r="F138" s="21" t="s">
        <v>51</v>
      </c>
      <c r="G138" t="str">
        <f>VLOOKUP(F138,'Tipo Parada Fab 1'!$A$2:$B$27,2,FALSE())</f>
        <v>NP</v>
      </c>
      <c r="H138" s="20" t="str">
        <f t="shared" si="8"/>
        <v/>
      </c>
      <c r="I138" s="20">
        <f t="shared" si="7"/>
        <v>3.4722222222222298E-3</v>
      </c>
    </row>
    <row r="139" spans="1:9" x14ac:dyDescent="0.3">
      <c r="A139" s="18" t="s">
        <v>56</v>
      </c>
      <c r="B139" s="19">
        <v>45046</v>
      </c>
      <c r="C139" s="20">
        <v>5.9722222222222197E-2</v>
      </c>
      <c r="D139" s="20">
        <v>6.25E-2</v>
      </c>
      <c r="E139" s="20">
        <v>2.7777777777777701E-3</v>
      </c>
      <c r="F139" s="21" t="s">
        <v>51</v>
      </c>
      <c r="G139" t="str">
        <f>VLOOKUP(F139,'Tipo Parada Fab 1'!$A$2:$B$27,2,FALSE())</f>
        <v>NP</v>
      </c>
      <c r="H139" s="20" t="str">
        <f t="shared" si="8"/>
        <v/>
      </c>
      <c r="I139" s="20">
        <f t="shared" si="7"/>
        <v>2.7777777777777701E-3</v>
      </c>
    </row>
    <row r="140" spans="1:9" x14ac:dyDescent="0.3">
      <c r="E140" s="22">
        <f>SUM(E2:E139)</f>
        <v>6.1965277777777779</v>
      </c>
      <c r="H140" s="22">
        <f>SUM(H2:H139)</f>
        <v>1.3611111111111123</v>
      </c>
      <c r="I140" s="22">
        <f>SUM(I2:I139)</f>
        <v>3.8798611111111083</v>
      </c>
    </row>
    <row r="142" spans="1:9" x14ac:dyDescent="0.3">
      <c r="E142" s="23"/>
      <c r="H142" s="23"/>
      <c r="I142" s="2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84"/>
  <sheetViews>
    <sheetView topLeftCell="A473" zoomScaleNormal="100" workbookViewId="0">
      <selection activeCell="J483" sqref="J483"/>
    </sheetView>
  </sheetViews>
  <sheetFormatPr defaultColWidth="8.44140625" defaultRowHeight="15.05" x14ac:dyDescent="0.3"/>
  <cols>
    <col min="2" max="2" width="10.5546875" customWidth="1"/>
    <col min="6" max="6" width="40.77734375" customWidth="1"/>
  </cols>
  <sheetData>
    <row r="1" spans="1:10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H1" s="17" t="s">
        <v>28</v>
      </c>
      <c r="I1" s="17" t="s">
        <v>29</v>
      </c>
      <c r="J1" s="17" t="s">
        <v>30</v>
      </c>
    </row>
    <row r="2" spans="1:10" x14ac:dyDescent="0.3">
      <c r="A2" s="18" t="s">
        <v>62</v>
      </c>
      <c r="B2" s="19">
        <v>45017</v>
      </c>
      <c r="C2" s="20" t="s">
        <v>63</v>
      </c>
      <c r="D2" s="20" t="s">
        <v>64</v>
      </c>
      <c r="E2" s="24" t="s">
        <v>65</v>
      </c>
      <c r="F2" s="21" t="s">
        <v>66</v>
      </c>
      <c r="G2">
        <f t="shared" ref="G2:G65" si="0">VALUE(MID(E2,1,2)+VALUE(MID(E2,4,2))/60)</f>
        <v>8.3333333333333329E-2</v>
      </c>
      <c r="H2" t="str">
        <f>VLOOKUP(F2,'Tipo Parada Forno 04 07'!$A$2:I9,2,FALSE())</f>
        <v>NP</v>
      </c>
      <c r="I2">
        <f t="shared" ref="I2:I65" si="1">IF(H2="P",G2,0)</f>
        <v>0</v>
      </c>
      <c r="J2">
        <f t="shared" ref="J2:J65" si="2">IF(H2="NP",G2,0)</f>
        <v>8.3333333333333329E-2</v>
      </c>
    </row>
    <row r="3" spans="1:10" x14ac:dyDescent="0.3">
      <c r="A3" s="18" t="s">
        <v>62</v>
      </c>
      <c r="B3" s="19">
        <v>45017</v>
      </c>
      <c r="C3" s="20" t="s">
        <v>67</v>
      </c>
      <c r="D3" s="20" t="s">
        <v>68</v>
      </c>
      <c r="E3" s="13" t="s">
        <v>65</v>
      </c>
      <c r="F3" s="21" t="s">
        <v>69</v>
      </c>
      <c r="G3">
        <f t="shared" si="0"/>
        <v>8.3333333333333329E-2</v>
      </c>
      <c r="H3" t="str">
        <f>VLOOKUP(F3,'Tipo Parada Forno 04 07'!$A$2:I10,2,FALSE())</f>
        <v>NP</v>
      </c>
      <c r="I3">
        <f t="shared" si="1"/>
        <v>0</v>
      </c>
      <c r="J3">
        <f t="shared" si="2"/>
        <v>8.3333333333333329E-2</v>
      </c>
    </row>
    <row r="4" spans="1:10" x14ac:dyDescent="0.3">
      <c r="A4" s="18" t="s">
        <v>62</v>
      </c>
      <c r="B4" s="19">
        <v>45017</v>
      </c>
      <c r="C4" s="20" t="s">
        <v>68</v>
      </c>
      <c r="D4" s="20" t="s">
        <v>70</v>
      </c>
      <c r="E4" s="13" t="s">
        <v>65</v>
      </c>
      <c r="F4" s="21" t="s">
        <v>71</v>
      </c>
      <c r="G4">
        <f t="shared" si="0"/>
        <v>8.3333333333333329E-2</v>
      </c>
      <c r="H4" t="str">
        <f>VLOOKUP(F4,'Tipo Parada Forno 04 07'!$A$2:I11,2,FALSE())</f>
        <v>NP</v>
      </c>
      <c r="I4">
        <f t="shared" si="1"/>
        <v>0</v>
      </c>
      <c r="J4">
        <f t="shared" si="2"/>
        <v>8.3333333333333329E-2</v>
      </c>
    </row>
    <row r="5" spans="1:10" x14ac:dyDescent="0.3">
      <c r="A5" s="18" t="s">
        <v>62</v>
      </c>
      <c r="B5" s="19">
        <v>45017</v>
      </c>
      <c r="C5" s="20" t="s">
        <v>70</v>
      </c>
      <c r="D5" s="20" t="s">
        <v>72</v>
      </c>
      <c r="E5" s="13" t="s">
        <v>73</v>
      </c>
      <c r="F5" s="21" t="s">
        <v>74</v>
      </c>
      <c r="G5">
        <f t="shared" si="0"/>
        <v>0.16666666666666666</v>
      </c>
      <c r="H5" t="str">
        <f>VLOOKUP(F5,'Tipo Parada Forno 04 07'!$A$2:I12,2,FALSE())</f>
        <v>NP</v>
      </c>
      <c r="I5">
        <f t="shared" si="1"/>
        <v>0</v>
      </c>
      <c r="J5">
        <f t="shared" si="2"/>
        <v>0.16666666666666666</v>
      </c>
    </row>
    <row r="6" spans="1:10" x14ac:dyDescent="0.3">
      <c r="A6" s="18" t="s">
        <v>62</v>
      </c>
      <c r="B6" s="19">
        <v>45017</v>
      </c>
      <c r="C6" s="20" t="s">
        <v>72</v>
      </c>
      <c r="D6" s="20" t="s">
        <v>75</v>
      </c>
      <c r="E6" s="13" t="s">
        <v>76</v>
      </c>
      <c r="F6" s="21" t="s">
        <v>66</v>
      </c>
      <c r="G6">
        <f t="shared" si="0"/>
        <v>0.15</v>
      </c>
      <c r="H6" t="str">
        <f>VLOOKUP(F6,'Tipo Parada Forno 04 07'!$A$2:I13,2,FALSE())</f>
        <v>NP</v>
      </c>
      <c r="I6">
        <f t="shared" si="1"/>
        <v>0</v>
      </c>
      <c r="J6">
        <f t="shared" si="2"/>
        <v>0.15</v>
      </c>
    </row>
    <row r="7" spans="1:10" x14ac:dyDescent="0.3">
      <c r="A7" s="18" t="s">
        <v>62</v>
      </c>
      <c r="B7" s="19">
        <v>45017</v>
      </c>
      <c r="C7" s="20" t="s">
        <v>77</v>
      </c>
      <c r="D7" s="20" t="s">
        <v>78</v>
      </c>
      <c r="E7" s="13" t="s">
        <v>65</v>
      </c>
      <c r="F7" s="21" t="s">
        <v>69</v>
      </c>
      <c r="G7">
        <f t="shared" si="0"/>
        <v>8.3333333333333329E-2</v>
      </c>
      <c r="H7" t="str">
        <f>VLOOKUP(F7,'Tipo Parada Forno 04 07'!$A$2:I14,2,FALSE())</f>
        <v>NP</v>
      </c>
      <c r="I7">
        <f t="shared" si="1"/>
        <v>0</v>
      </c>
      <c r="J7">
        <f t="shared" si="2"/>
        <v>8.3333333333333329E-2</v>
      </c>
    </row>
    <row r="8" spans="1:10" x14ac:dyDescent="0.3">
      <c r="A8" s="18" t="s">
        <v>62</v>
      </c>
      <c r="B8" s="19">
        <v>45017</v>
      </c>
      <c r="C8" s="20" t="s">
        <v>78</v>
      </c>
      <c r="D8" s="20" t="s">
        <v>79</v>
      </c>
      <c r="E8" s="25" t="s">
        <v>80</v>
      </c>
      <c r="F8" s="21" t="s">
        <v>71</v>
      </c>
      <c r="G8">
        <f t="shared" si="0"/>
        <v>0.05</v>
      </c>
      <c r="H8" t="str">
        <f>VLOOKUP(F8,'Tipo Parada Forno 04 07'!$A$2:I15,2,FALSE())</f>
        <v>NP</v>
      </c>
      <c r="I8">
        <f t="shared" si="1"/>
        <v>0</v>
      </c>
      <c r="J8">
        <f t="shared" si="2"/>
        <v>0.05</v>
      </c>
    </row>
    <row r="9" spans="1:10" x14ac:dyDescent="0.3">
      <c r="A9" s="18" t="s">
        <v>62</v>
      </c>
      <c r="B9" s="19">
        <v>45017</v>
      </c>
      <c r="C9" s="20" t="s">
        <v>79</v>
      </c>
      <c r="D9" s="20" t="s">
        <v>81</v>
      </c>
      <c r="E9" s="20" t="s">
        <v>65</v>
      </c>
      <c r="F9" s="21" t="s">
        <v>74</v>
      </c>
      <c r="G9">
        <f t="shared" si="0"/>
        <v>8.3333333333333329E-2</v>
      </c>
      <c r="H9" t="str">
        <f>VLOOKUP(F9,'Tipo Parada Forno 04 07'!$A$2:I16,2,FALSE())</f>
        <v>NP</v>
      </c>
      <c r="I9">
        <f t="shared" si="1"/>
        <v>0</v>
      </c>
      <c r="J9">
        <f t="shared" si="2"/>
        <v>8.3333333333333329E-2</v>
      </c>
    </row>
    <row r="10" spans="1:10" x14ac:dyDescent="0.3">
      <c r="A10" s="18" t="s">
        <v>62</v>
      </c>
      <c r="B10" s="19">
        <v>45017</v>
      </c>
      <c r="C10" s="20" t="s">
        <v>82</v>
      </c>
      <c r="D10" s="20" t="s">
        <v>83</v>
      </c>
      <c r="E10" s="20" t="s">
        <v>65</v>
      </c>
      <c r="F10" s="21" t="s">
        <v>69</v>
      </c>
      <c r="G10">
        <f t="shared" si="0"/>
        <v>8.3333333333333329E-2</v>
      </c>
      <c r="H10" t="str">
        <f>VLOOKUP(F10,'Tipo Parada Forno 04 07'!$A$2:I17,2,FALSE())</f>
        <v>NP</v>
      </c>
      <c r="I10">
        <f t="shared" si="1"/>
        <v>0</v>
      </c>
      <c r="J10">
        <f t="shared" si="2"/>
        <v>8.3333333333333329E-2</v>
      </c>
    </row>
    <row r="11" spans="1:10" x14ac:dyDescent="0.3">
      <c r="A11" s="18" t="s">
        <v>62</v>
      </c>
      <c r="B11" s="19">
        <v>45017</v>
      </c>
      <c r="C11" s="20" t="s">
        <v>83</v>
      </c>
      <c r="D11" s="20" t="s">
        <v>84</v>
      </c>
      <c r="E11" s="20" t="s">
        <v>85</v>
      </c>
      <c r="F11" s="21" t="s">
        <v>71</v>
      </c>
      <c r="G11">
        <f t="shared" si="0"/>
        <v>0.1</v>
      </c>
      <c r="H11" t="str">
        <f>VLOOKUP(F11,'Tipo Parada Forno 04 07'!$A$2:I18,2,FALSE())</f>
        <v>NP</v>
      </c>
      <c r="I11">
        <f t="shared" si="1"/>
        <v>0</v>
      </c>
      <c r="J11">
        <f t="shared" si="2"/>
        <v>0.1</v>
      </c>
    </row>
    <row r="12" spans="1:10" x14ac:dyDescent="0.3">
      <c r="A12" s="18" t="s">
        <v>62</v>
      </c>
      <c r="B12" s="19">
        <v>45017</v>
      </c>
      <c r="C12" s="20" t="s">
        <v>84</v>
      </c>
      <c r="D12" s="20" t="s">
        <v>86</v>
      </c>
      <c r="E12" s="20" t="s">
        <v>87</v>
      </c>
      <c r="F12" s="21" t="s">
        <v>74</v>
      </c>
      <c r="G12">
        <f t="shared" si="0"/>
        <v>0.33333333333333331</v>
      </c>
      <c r="H12" t="str">
        <f>VLOOKUP(F12,'Tipo Parada Forno 04 07'!$A$2:I19,2,FALSE())</f>
        <v>NP</v>
      </c>
      <c r="I12">
        <f t="shared" si="1"/>
        <v>0</v>
      </c>
      <c r="J12">
        <f t="shared" si="2"/>
        <v>0.33333333333333331</v>
      </c>
    </row>
    <row r="13" spans="1:10" x14ac:dyDescent="0.3">
      <c r="A13" s="18" t="s">
        <v>62</v>
      </c>
      <c r="B13" s="19">
        <v>45017</v>
      </c>
      <c r="C13" s="20" t="s">
        <v>86</v>
      </c>
      <c r="D13" s="20" t="s">
        <v>88</v>
      </c>
      <c r="E13" s="20" t="s">
        <v>76</v>
      </c>
      <c r="F13" s="21" t="s">
        <v>89</v>
      </c>
      <c r="G13">
        <f t="shared" si="0"/>
        <v>0.15</v>
      </c>
      <c r="H13" t="str">
        <f>VLOOKUP(F13,'Tipo Parada Forno 04 07'!$A$2:I20,2,FALSE())</f>
        <v>NP</v>
      </c>
      <c r="I13">
        <f t="shared" si="1"/>
        <v>0</v>
      </c>
      <c r="J13">
        <f t="shared" si="2"/>
        <v>0.15</v>
      </c>
    </row>
    <row r="14" spans="1:10" x14ac:dyDescent="0.3">
      <c r="A14" s="18" t="s">
        <v>62</v>
      </c>
      <c r="B14" s="19">
        <v>45018</v>
      </c>
      <c r="C14" s="20" t="s">
        <v>90</v>
      </c>
      <c r="D14" s="20" t="s">
        <v>91</v>
      </c>
      <c r="E14" s="20" t="s">
        <v>65</v>
      </c>
      <c r="F14" s="21" t="s">
        <v>69</v>
      </c>
      <c r="G14">
        <f t="shared" si="0"/>
        <v>8.3333333333333329E-2</v>
      </c>
      <c r="H14" t="str">
        <f>VLOOKUP(F14,'Tipo Parada Forno 04 07'!$A$2:I21,2,FALSE())</f>
        <v>NP</v>
      </c>
      <c r="I14">
        <f t="shared" si="1"/>
        <v>0</v>
      </c>
      <c r="J14">
        <f t="shared" si="2"/>
        <v>8.3333333333333329E-2</v>
      </c>
    </row>
    <row r="15" spans="1:10" x14ac:dyDescent="0.3">
      <c r="A15" s="18" t="s">
        <v>62</v>
      </c>
      <c r="B15" s="19">
        <v>45018</v>
      </c>
      <c r="C15" s="20" t="s">
        <v>91</v>
      </c>
      <c r="D15" s="20" t="s">
        <v>92</v>
      </c>
      <c r="E15" s="20" t="s">
        <v>65</v>
      </c>
      <c r="F15" s="21" t="s">
        <v>71</v>
      </c>
      <c r="G15">
        <f t="shared" si="0"/>
        <v>8.3333333333333329E-2</v>
      </c>
      <c r="H15" t="str">
        <f>VLOOKUP(F15,'Tipo Parada Forno 04 07'!$A$2:I22,2,FALSE())</f>
        <v>NP</v>
      </c>
      <c r="I15">
        <f t="shared" si="1"/>
        <v>0</v>
      </c>
      <c r="J15">
        <f t="shared" si="2"/>
        <v>8.3333333333333329E-2</v>
      </c>
    </row>
    <row r="16" spans="1:10" x14ac:dyDescent="0.3">
      <c r="A16" s="18" t="s">
        <v>62</v>
      </c>
      <c r="B16" s="19">
        <v>45018</v>
      </c>
      <c r="C16" s="20" t="s">
        <v>92</v>
      </c>
      <c r="D16" s="20" t="s">
        <v>93</v>
      </c>
      <c r="E16" s="20" t="s">
        <v>65</v>
      </c>
      <c r="F16" s="21" t="s">
        <v>74</v>
      </c>
      <c r="G16">
        <f t="shared" si="0"/>
        <v>8.3333333333333329E-2</v>
      </c>
      <c r="H16" t="str">
        <f>VLOOKUP(F16,'Tipo Parada Forno 04 07'!$A$2:I23,2,FALSE())</f>
        <v>NP</v>
      </c>
      <c r="I16">
        <f t="shared" si="1"/>
        <v>0</v>
      </c>
      <c r="J16">
        <f t="shared" si="2"/>
        <v>8.3333333333333329E-2</v>
      </c>
    </row>
    <row r="17" spans="1:10" x14ac:dyDescent="0.3">
      <c r="A17" s="18" t="s">
        <v>62</v>
      </c>
      <c r="B17" s="19">
        <v>45018</v>
      </c>
      <c r="C17" s="20" t="s">
        <v>94</v>
      </c>
      <c r="D17" s="20" t="s">
        <v>95</v>
      </c>
      <c r="E17" s="20" t="s">
        <v>65</v>
      </c>
      <c r="F17" s="21" t="s">
        <v>69</v>
      </c>
      <c r="G17">
        <f t="shared" si="0"/>
        <v>8.3333333333333329E-2</v>
      </c>
      <c r="H17" t="str">
        <f>VLOOKUP(F17,'Tipo Parada Forno 04 07'!$A$2:I24,2,FALSE())</f>
        <v>NP</v>
      </c>
      <c r="I17">
        <f t="shared" si="1"/>
        <v>0</v>
      </c>
      <c r="J17">
        <f t="shared" si="2"/>
        <v>8.3333333333333329E-2</v>
      </c>
    </row>
    <row r="18" spans="1:10" x14ac:dyDescent="0.3">
      <c r="A18" s="18" t="s">
        <v>62</v>
      </c>
      <c r="B18" s="19">
        <v>45018</v>
      </c>
      <c r="C18" s="20" t="s">
        <v>95</v>
      </c>
      <c r="D18" s="20" t="s">
        <v>96</v>
      </c>
      <c r="E18" s="20" t="s">
        <v>97</v>
      </c>
      <c r="F18" s="21" t="s">
        <v>71</v>
      </c>
      <c r="G18">
        <f t="shared" si="0"/>
        <v>6.6666666666666666E-2</v>
      </c>
      <c r="H18" t="str">
        <f>VLOOKUP(F18,'Tipo Parada Forno 04 07'!$A$2:I25,2,FALSE())</f>
        <v>NP</v>
      </c>
      <c r="I18">
        <f t="shared" si="1"/>
        <v>0</v>
      </c>
      <c r="J18">
        <f t="shared" si="2"/>
        <v>6.6666666666666666E-2</v>
      </c>
    </row>
    <row r="19" spans="1:10" x14ac:dyDescent="0.3">
      <c r="A19" s="18" t="s">
        <v>62</v>
      </c>
      <c r="B19" s="19">
        <v>45018</v>
      </c>
      <c r="C19" s="20" t="s">
        <v>96</v>
      </c>
      <c r="D19" s="20" t="s">
        <v>98</v>
      </c>
      <c r="E19" s="20" t="s">
        <v>99</v>
      </c>
      <c r="F19" s="21" t="s">
        <v>74</v>
      </c>
      <c r="G19">
        <f t="shared" si="0"/>
        <v>0.21666666666666667</v>
      </c>
      <c r="H19" t="str">
        <f>VLOOKUP(F19,'Tipo Parada Forno 04 07'!$A$2:I26,2,FALSE())</f>
        <v>NP</v>
      </c>
      <c r="I19">
        <f t="shared" si="1"/>
        <v>0</v>
      </c>
      <c r="J19">
        <f t="shared" si="2"/>
        <v>0.21666666666666667</v>
      </c>
    </row>
    <row r="20" spans="1:10" x14ac:dyDescent="0.3">
      <c r="A20" s="18" t="s">
        <v>62</v>
      </c>
      <c r="B20" s="19">
        <v>45018</v>
      </c>
      <c r="C20" s="20" t="s">
        <v>100</v>
      </c>
      <c r="D20" s="20" t="s">
        <v>101</v>
      </c>
      <c r="E20" s="20" t="s">
        <v>80</v>
      </c>
      <c r="F20" s="21" t="s">
        <v>69</v>
      </c>
      <c r="G20">
        <f t="shared" si="0"/>
        <v>0.05</v>
      </c>
      <c r="H20" t="str">
        <f>VLOOKUP(F20,'Tipo Parada Forno 04 07'!$A$2:I27,2,FALSE())</f>
        <v>NP</v>
      </c>
      <c r="I20">
        <f t="shared" si="1"/>
        <v>0</v>
      </c>
      <c r="J20">
        <f t="shared" si="2"/>
        <v>0.05</v>
      </c>
    </row>
    <row r="21" spans="1:10" x14ac:dyDescent="0.3">
      <c r="A21" s="18" t="s">
        <v>62</v>
      </c>
      <c r="B21" s="19">
        <v>45018</v>
      </c>
      <c r="C21" s="20" t="s">
        <v>101</v>
      </c>
      <c r="D21" s="20" t="s">
        <v>102</v>
      </c>
      <c r="E21" s="20" t="s">
        <v>65</v>
      </c>
      <c r="F21" s="21" t="s">
        <v>71</v>
      </c>
      <c r="G21">
        <f t="shared" si="0"/>
        <v>8.3333333333333329E-2</v>
      </c>
      <c r="H21" t="str">
        <f>VLOOKUP(F21,'Tipo Parada Forno 04 07'!$A$2:I28,2,FALSE())</f>
        <v>NP</v>
      </c>
      <c r="I21">
        <f t="shared" si="1"/>
        <v>0</v>
      </c>
      <c r="J21">
        <f t="shared" si="2"/>
        <v>8.3333333333333329E-2</v>
      </c>
    </row>
    <row r="22" spans="1:10" x14ac:dyDescent="0.3">
      <c r="A22" s="18" t="s">
        <v>62</v>
      </c>
      <c r="B22" s="19">
        <v>45018</v>
      </c>
      <c r="C22" s="20" t="s">
        <v>102</v>
      </c>
      <c r="D22" s="20" t="s">
        <v>103</v>
      </c>
      <c r="E22" s="20" t="s">
        <v>104</v>
      </c>
      <c r="F22" s="21" t="s">
        <v>105</v>
      </c>
      <c r="G22">
        <f t="shared" si="0"/>
        <v>0.48333333333333334</v>
      </c>
      <c r="H22" t="str">
        <f>VLOOKUP(F22,'Tipo Parada Forno 04 07'!$A$2:I29,2,FALSE())</f>
        <v>NP</v>
      </c>
      <c r="I22">
        <f t="shared" si="1"/>
        <v>0</v>
      </c>
      <c r="J22">
        <f t="shared" si="2"/>
        <v>0.48333333333333334</v>
      </c>
    </row>
    <row r="23" spans="1:10" x14ac:dyDescent="0.3">
      <c r="A23" s="18" t="s">
        <v>62</v>
      </c>
      <c r="B23" s="19">
        <v>45019</v>
      </c>
      <c r="C23" s="20" t="s">
        <v>106</v>
      </c>
      <c r="D23" s="20" t="s">
        <v>107</v>
      </c>
      <c r="E23" s="20" t="s">
        <v>65</v>
      </c>
      <c r="F23" s="21" t="s">
        <v>69</v>
      </c>
      <c r="G23">
        <f t="shared" si="0"/>
        <v>8.3333333333333329E-2</v>
      </c>
      <c r="H23" t="str">
        <f>VLOOKUP(F23,'Tipo Parada Forno 04 07'!$A$2:I30,2,FALSE())</f>
        <v>NP</v>
      </c>
      <c r="I23">
        <f t="shared" si="1"/>
        <v>0</v>
      </c>
      <c r="J23">
        <f t="shared" si="2"/>
        <v>8.3333333333333329E-2</v>
      </c>
    </row>
    <row r="24" spans="1:10" x14ac:dyDescent="0.3">
      <c r="A24" s="18" t="s">
        <v>62</v>
      </c>
      <c r="B24" s="19">
        <v>45019</v>
      </c>
      <c r="C24" s="20" t="s">
        <v>107</v>
      </c>
      <c r="D24" s="20" t="s">
        <v>108</v>
      </c>
      <c r="E24" s="20" t="s">
        <v>65</v>
      </c>
      <c r="F24" s="21" t="s">
        <v>71</v>
      </c>
      <c r="G24">
        <f t="shared" si="0"/>
        <v>8.3333333333333329E-2</v>
      </c>
      <c r="H24" t="str">
        <f>VLOOKUP(F24,'Tipo Parada Forno 04 07'!$A$2:I31,2,FALSE())</f>
        <v>NP</v>
      </c>
      <c r="I24">
        <f t="shared" si="1"/>
        <v>0</v>
      </c>
      <c r="J24">
        <f t="shared" si="2"/>
        <v>8.3333333333333329E-2</v>
      </c>
    </row>
    <row r="25" spans="1:10" x14ac:dyDescent="0.3">
      <c r="A25" s="18" t="s">
        <v>62</v>
      </c>
      <c r="B25" s="19">
        <v>45019</v>
      </c>
      <c r="C25" s="20" t="s">
        <v>108</v>
      </c>
      <c r="D25" s="20" t="s">
        <v>109</v>
      </c>
      <c r="E25" s="20" t="s">
        <v>110</v>
      </c>
      <c r="F25" s="21" t="s">
        <v>74</v>
      </c>
      <c r="G25">
        <f t="shared" si="0"/>
        <v>0.23333333333333334</v>
      </c>
      <c r="H25" t="str">
        <f>VLOOKUP(F25,'Tipo Parada Forno 04 07'!$A$2:I32,2,FALSE())</f>
        <v>NP</v>
      </c>
      <c r="I25">
        <f t="shared" si="1"/>
        <v>0</v>
      </c>
      <c r="J25">
        <f t="shared" si="2"/>
        <v>0.23333333333333334</v>
      </c>
    </row>
    <row r="26" spans="1:10" x14ac:dyDescent="0.3">
      <c r="A26" s="18" t="s">
        <v>62</v>
      </c>
      <c r="B26" s="19">
        <v>45019</v>
      </c>
      <c r="C26" s="20" t="s">
        <v>111</v>
      </c>
      <c r="D26" s="20" t="s">
        <v>112</v>
      </c>
      <c r="E26" s="20" t="s">
        <v>113</v>
      </c>
      <c r="F26" s="21" t="s">
        <v>105</v>
      </c>
      <c r="G26">
        <f t="shared" si="0"/>
        <v>0.58333333333333337</v>
      </c>
      <c r="H26" t="str">
        <f>VLOOKUP(F26,'Tipo Parada Forno 04 07'!$A$2:I33,2,FALSE())</f>
        <v>NP</v>
      </c>
      <c r="I26">
        <f t="shared" si="1"/>
        <v>0</v>
      </c>
      <c r="J26">
        <f t="shared" si="2"/>
        <v>0.58333333333333337</v>
      </c>
    </row>
    <row r="27" spans="1:10" x14ac:dyDescent="0.3">
      <c r="A27" s="18" t="s">
        <v>62</v>
      </c>
      <c r="B27" s="19">
        <v>45019</v>
      </c>
      <c r="C27" s="20" t="s">
        <v>114</v>
      </c>
      <c r="D27" s="20" t="s">
        <v>115</v>
      </c>
      <c r="E27" s="20" t="s">
        <v>65</v>
      </c>
      <c r="F27" s="21" t="s">
        <v>69</v>
      </c>
      <c r="G27">
        <f t="shared" si="0"/>
        <v>8.3333333333333329E-2</v>
      </c>
      <c r="H27" t="str">
        <f>VLOOKUP(F27,'Tipo Parada Forno 04 07'!$A$2:I34,2,FALSE())</f>
        <v>NP</v>
      </c>
      <c r="I27">
        <f t="shared" si="1"/>
        <v>0</v>
      </c>
      <c r="J27">
        <f t="shared" si="2"/>
        <v>8.3333333333333329E-2</v>
      </c>
    </row>
    <row r="28" spans="1:10" x14ac:dyDescent="0.3">
      <c r="A28" s="18" t="s">
        <v>62</v>
      </c>
      <c r="B28" s="19">
        <v>45019</v>
      </c>
      <c r="C28" s="20" t="s">
        <v>115</v>
      </c>
      <c r="D28" s="20" t="s">
        <v>116</v>
      </c>
      <c r="E28" s="20" t="s">
        <v>97</v>
      </c>
      <c r="F28" s="21" t="s">
        <v>71</v>
      </c>
      <c r="G28">
        <f t="shared" si="0"/>
        <v>6.6666666666666666E-2</v>
      </c>
      <c r="H28" t="str">
        <f>VLOOKUP(F28,'Tipo Parada Forno 04 07'!$A$2:I35,2,FALSE())</f>
        <v>NP</v>
      </c>
      <c r="I28">
        <f t="shared" si="1"/>
        <v>0</v>
      </c>
      <c r="J28">
        <f t="shared" si="2"/>
        <v>6.6666666666666666E-2</v>
      </c>
    </row>
    <row r="29" spans="1:10" x14ac:dyDescent="0.3">
      <c r="A29" s="18" t="s">
        <v>62</v>
      </c>
      <c r="B29" s="19">
        <v>45019</v>
      </c>
      <c r="C29" s="20" t="s">
        <v>116</v>
      </c>
      <c r="D29" s="20" t="s">
        <v>117</v>
      </c>
      <c r="E29" s="20" t="s">
        <v>110</v>
      </c>
      <c r="F29" s="21" t="s">
        <v>74</v>
      </c>
      <c r="G29">
        <f t="shared" si="0"/>
        <v>0.23333333333333334</v>
      </c>
      <c r="H29" t="str">
        <f>VLOOKUP(F29,'Tipo Parada Forno 04 07'!$A$2:I36,2,FALSE())</f>
        <v>NP</v>
      </c>
      <c r="I29">
        <f t="shared" si="1"/>
        <v>0</v>
      </c>
      <c r="J29">
        <f t="shared" si="2"/>
        <v>0.23333333333333334</v>
      </c>
    </row>
    <row r="30" spans="1:10" x14ac:dyDescent="0.3">
      <c r="A30" s="18" t="s">
        <v>62</v>
      </c>
      <c r="B30" s="19">
        <v>45019</v>
      </c>
      <c r="C30" s="20" t="s">
        <v>118</v>
      </c>
      <c r="D30" s="20" t="s">
        <v>119</v>
      </c>
      <c r="E30" s="20" t="s">
        <v>65</v>
      </c>
      <c r="F30" s="21" t="s">
        <v>69</v>
      </c>
      <c r="G30">
        <f t="shared" si="0"/>
        <v>8.3333333333333329E-2</v>
      </c>
      <c r="H30" t="str">
        <f>VLOOKUP(F30,'Tipo Parada Forno 04 07'!$A$2:I37,2,FALSE())</f>
        <v>NP</v>
      </c>
      <c r="I30">
        <f t="shared" si="1"/>
        <v>0</v>
      </c>
      <c r="J30">
        <f t="shared" si="2"/>
        <v>8.3333333333333329E-2</v>
      </c>
    </row>
    <row r="31" spans="1:10" x14ac:dyDescent="0.3">
      <c r="A31" s="18" t="s">
        <v>62</v>
      </c>
      <c r="B31" s="19">
        <v>45019</v>
      </c>
      <c r="C31" s="20" t="s">
        <v>119</v>
      </c>
      <c r="D31" s="20" t="s">
        <v>120</v>
      </c>
      <c r="E31" s="20" t="s">
        <v>65</v>
      </c>
      <c r="F31" s="21" t="s">
        <v>71</v>
      </c>
      <c r="G31">
        <f t="shared" si="0"/>
        <v>8.3333333333333329E-2</v>
      </c>
      <c r="H31" t="str">
        <f>VLOOKUP(F31,'Tipo Parada Forno 04 07'!$A$2:I38,2,FALSE())</f>
        <v>NP</v>
      </c>
      <c r="I31">
        <f t="shared" si="1"/>
        <v>0</v>
      </c>
      <c r="J31">
        <f t="shared" si="2"/>
        <v>8.3333333333333329E-2</v>
      </c>
    </row>
    <row r="32" spans="1:10" x14ac:dyDescent="0.3">
      <c r="A32" s="18" t="s">
        <v>62</v>
      </c>
      <c r="B32" s="19">
        <v>45019</v>
      </c>
      <c r="C32" s="20" t="s">
        <v>120</v>
      </c>
      <c r="D32" s="20" t="s">
        <v>121</v>
      </c>
      <c r="E32" s="20" t="s">
        <v>122</v>
      </c>
      <c r="F32" s="21" t="s">
        <v>105</v>
      </c>
      <c r="G32">
        <f t="shared" si="0"/>
        <v>0.25</v>
      </c>
      <c r="H32" t="str">
        <f>VLOOKUP(F32,'Tipo Parada Forno 04 07'!$A$2:I39,2,FALSE())</f>
        <v>NP</v>
      </c>
      <c r="I32">
        <f t="shared" si="1"/>
        <v>0</v>
      </c>
      <c r="J32">
        <f t="shared" si="2"/>
        <v>0.25</v>
      </c>
    </row>
    <row r="33" spans="1:10" x14ac:dyDescent="0.3">
      <c r="A33" s="18" t="s">
        <v>62</v>
      </c>
      <c r="B33" s="19">
        <v>45019</v>
      </c>
      <c r="C33" s="20" t="s">
        <v>121</v>
      </c>
      <c r="D33" s="20" t="s">
        <v>123</v>
      </c>
      <c r="E33" s="20" t="s">
        <v>124</v>
      </c>
      <c r="F33" s="21" t="s">
        <v>89</v>
      </c>
      <c r="G33">
        <f t="shared" si="0"/>
        <v>1.05</v>
      </c>
      <c r="H33" t="str">
        <f>VLOOKUP(F33,'Tipo Parada Forno 04 07'!$A$2:I40,2,FALSE())</f>
        <v>NP</v>
      </c>
      <c r="I33">
        <f t="shared" si="1"/>
        <v>0</v>
      </c>
      <c r="J33">
        <f t="shared" si="2"/>
        <v>1.05</v>
      </c>
    </row>
    <row r="34" spans="1:10" x14ac:dyDescent="0.3">
      <c r="A34" s="18" t="s">
        <v>62</v>
      </c>
      <c r="B34" s="19">
        <v>45020</v>
      </c>
      <c r="C34" s="20" t="s">
        <v>125</v>
      </c>
      <c r="D34" s="20" t="s">
        <v>91</v>
      </c>
      <c r="E34" s="20" t="s">
        <v>80</v>
      </c>
      <c r="F34" s="21" t="s">
        <v>69</v>
      </c>
      <c r="G34">
        <f t="shared" si="0"/>
        <v>0.05</v>
      </c>
      <c r="H34" t="str">
        <f>VLOOKUP(F34,'Tipo Parada Forno 04 07'!$A$2:I41,2,FALSE())</f>
        <v>NP</v>
      </c>
      <c r="I34">
        <f t="shared" si="1"/>
        <v>0</v>
      </c>
      <c r="J34">
        <f t="shared" si="2"/>
        <v>0.05</v>
      </c>
    </row>
    <row r="35" spans="1:10" x14ac:dyDescent="0.3">
      <c r="A35" s="18" t="s">
        <v>62</v>
      </c>
      <c r="B35" s="19">
        <v>45020</v>
      </c>
      <c r="C35" s="20" t="s">
        <v>91</v>
      </c>
      <c r="D35" s="20" t="s">
        <v>92</v>
      </c>
      <c r="E35" s="20" t="s">
        <v>65</v>
      </c>
      <c r="F35" s="21" t="s">
        <v>71</v>
      </c>
      <c r="G35">
        <f t="shared" si="0"/>
        <v>8.3333333333333329E-2</v>
      </c>
      <c r="H35" t="str">
        <f>VLOOKUP(F35,'Tipo Parada Forno 04 07'!$A$2:I42,2,FALSE())</f>
        <v>NP</v>
      </c>
      <c r="I35">
        <f t="shared" si="1"/>
        <v>0</v>
      </c>
      <c r="J35">
        <f t="shared" si="2"/>
        <v>8.3333333333333329E-2</v>
      </c>
    </row>
    <row r="36" spans="1:10" x14ac:dyDescent="0.3">
      <c r="A36" s="18" t="s">
        <v>62</v>
      </c>
      <c r="B36" s="19">
        <v>45020</v>
      </c>
      <c r="C36" s="20" t="s">
        <v>92</v>
      </c>
      <c r="D36" s="20" t="s">
        <v>93</v>
      </c>
      <c r="E36" s="20" t="s">
        <v>65</v>
      </c>
      <c r="F36" s="21" t="s">
        <v>74</v>
      </c>
      <c r="G36">
        <f t="shared" si="0"/>
        <v>8.3333333333333329E-2</v>
      </c>
      <c r="H36" t="str">
        <f>VLOOKUP(F36,'Tipo Parada Forno 04 07'!$A$2:I43,2,FALSE())</f>
        <v>NP</v>
      </c>
      <c r="I36">
        <f t="shared" si="1"/>
        <v>0</v>
      </c>
      <c r="J36">
        <f t="shared" si="2"/>
        <v>8.3333333333333329E-2</v>
      </c>
    </row>
    <row r="37" spans="1:10" x14ac:dyDescent="0.3">
      <c r="A37" s="18" t="s">
        <v>62</v>
      </c>
      <c r="B37" s="19">
        <v>45020</v>
      </c>
      <c r="C37" s="20" t="s">
        <v>93</v>
      </c>
      <c r="D37" s="20" t="s">
        <v>126</v>
      </c>
      <c r="E37" s="20" t="s">
        <v>97</v>
      </c>
      <c r="F37" s="21" t="s">
        <v>66</v>
      </c>
      <c r="G37">
        <f t="shared" si="0"/>
        <v>6.6666666666666666E-2</v>
      </c>
      <c r="H37" t="str">
        <f>VLOOKUP(F37,'Tipo Parada Forno 04 07'!$A$2:I44,2,FALSE())</f>
        <v>NP</v>
      </c>
      <c r="I37">
        <f t="shared" si="1"/>
        <v>0</v>
      </c>
      <c r="J37">
        <f t="shared" si="2"/>
        <v>6.6666666666666666E-2</v>
      </c>
    </row>
    <row r="38" spans="1:10" x14ac:dyDescent="0.3">
      <c r="A38" s="18" t="s">
        <v>62</v>
      </c>
      <c r="B38" s="19">
        <v>45020</v>
      </c>
      <c r="C38" s="20" t="s">
        <v>127</v>
      </c>
      <c r="D38" s="20" t="s">
        <v>128</v>
      </c>
      <c r="E38" s="20" t="s">
        <v>129</v>
      </c>
      <c r="F38" s="21" t="s">
        <v>105</v>
      </c>
      <c r="G38">
        <f t="shared" si="0"/>
        <v>0.65</v>
      </c>
      <c r="H38" t="str">
        <f>VLOOKUP(F38,'Tipo Parada Forno 04 07'!$A$2:I45,2,FALSE())</f>
        <v>NP</v>
      </c>
      <c r="I38">
        <f t="shared" si="1"/>
        <v>0</v>
      </c>
      <c r="J38">
        <f t="shared" si="2"/>
        <v>0.65</v>
      </c>
    </row>
    <row r="39" spans="1:10" x14ac:dyDescent="0.3">
      <c r="A39" s="18" t="s">
        <v>62</v>
      </c>
      <c r="B39" s="19">
        <v>45020</v>
      </c>
      <c r="C39" s="20" t="s">
        <v>130</v>
      </c>
      <c r="D39" s="20" t="s">
        <v>131</v>
      </c>
      <c r="E39" s="20" t="s">
        <v>65</v>
      </c>
      <c r="F39" s="21" t="s">
        <v>69</v>
      </c>
      <c r="G39">
        <f t="shared" si="0"/>
        <v>8.3333333333333329E-2</v>
      </c>
      <c r="H39" t="str">
        <f>VLOOKUP(F39,'Tipo Parada Forno 04 07'!$A$2:I46,2,FALSE())</f>
        <v>NP</v>
      </c>
      <c r="I39">
        <f t="shared" si="1"/>
        <v>0</v>
      </c>
      <c r="J39">
        <f t="shared" si="2"/>
        <v>8.3333333333333329E-2</v>
      </c>
    </row>
    <row r="40" spans="1:10" x14ac:dyDescent="0.3">
      <c r="A40" s="18" t="s">
        <v>62</v>
      </c>
      <c r="B40" s="19">
        <v>45020</v>
      </c>
      <c r="C40" s="20" t="s">
        <v>131</v>
      </c>
      <c r="D40" s="20" t="s">
        <v>132</v>
      </c>
      <c r="E40" s="20" t="s">
        <v>133</v>
      </c>
      <c r="F40" s="21" t="s">
        <v>74</v>
      </c>
      <c r="G40">
        <f t="shared" si="0"/>
        <v>0.2</v>
      </c>
      <c r="H40" t="str">
        <f>VLOOKUP(F40,'Tipo Parada Forno 04 07'!$A$2:I47,2,FALSE())</f>
        <v>NP</v>
      </c>
      <c r="I40">
        <f t="shared" si="1"/>
        <v>0</v>
      </c>
      <c r="J40">
        <f t="shared" si="2"/>
        <v>0.2</v>
      </c>
    </row>
    <row r="41" spans="1:10" x14ac:dyDescent="0.3">
      <c r="A41" s="18" t="s">
        <v>62</v>
      </c>
      <c r="B41" s="19">
        <v>45020</v>
      </c>
      <c r="C41" s="20" t="s">
        <v>134</v>
      </c>
      <c r="D41" s="20" t="s">
        <v>135</v>
      </c>
      <c r="E41" s="20" t="s">
        <v>85</v>
      </c>
      <c r="F41" s="21" t="s">
        <v>69</v>
      </c>
      <c r="G41">
        <f t="shared" si="0"/>
        <v>0.1</v>
      </c>
      <c r="H41" t="str">
        <f>VLOOKUP(F41,'Tipo Parada Forno 04 07'!$A$2:I48,2,FALSE())</f>
        <v>NP</v>
      </c>
      <c r="I41">
        <f t="shared" si="1"/>
        <v>0</v>
      </c>
      <c r="J41">
        <f t="shared" si="2"/>
        <v>0.1</v>
      </c>
    </row>
    <row r="42" spans="1:10" x14ac:dyDescent="0.3">
      <c r="A42" s="18" t="s">
        <v>62</v>
      </c>
      <c r="B42" s="19">
        <v>45020</v>
      </c>
      <c r="C42" s="20" t="s">
        <v>135</v>
      </c>
      <c r="D42" s="20" t="s">
        <v>136</v>
      </c>
      <c r="E42" s="20" t="s">
        <v>137</v>
      </c>
      <c r="F42" s="21" t="s">
        <v>138</v>
      </c>
      <c r="G42">
        <f t="shared" si="0"/>
        <v>0.5</v>
      </c>
      <c r="H42" t="str">
        <f>VLOOKUP(F42,'Tipo Parada Forno 04 07'!$A$2:I49,2,FALSE())</f>
        <v>NP</v>
      </c>
      <c r="I42">
        <f t="shared" si="1"/>
        <v>0</v>
      </c>
      <c r="J42">
        <f t="shared" si="2"/>
        <v>0.5</v>
      </c>
    </row>
    <row r="43" spans="1:10" x14ac:dyDescent="0.3">
      <c r="A43" s="18" t="s">
        <v>62</v>
      </c>
      <c r="B43" s="19">
        <v>45020</v>
      </c>
      <c r="C43" s="20" t="s">
        <v>136</v>
      </c>
      <c r="D43" s="20" t="s">
        <v>139</v>
      </c>
      <c r="E43" s="20" t="s">
        <v>140</v>
      </c>
      <c r="F43" s="21" t="s">
        <v>66</v>
      </c>
      <c r="G43">
        <f t="shared" si="0"/>
        <v>0.41666666666666669</v>
      </c>
      <c r="H43" t="str">
        <f>VLOOKUP(F43,'Tipo Parada Forno 04 07'!$A$2:I50,2,FALSE())</f>
        <v>NP</v>
      </c>
      <c r="I43">
        <f t="shared" si="1"/>
        <v>0</v>
      </c>
      <c r="J43">
        <f t="shared" si="2"/>
        <v>0.41666666666666669</v>
      </c>
    </row>
    <row r="44" spans="1:10" x14ac:dyDescent="0.3">
      <c r="A44" s="18" t="s">
        <v>62</v>
      </c>
      <c r="B44" s="19">
        <v>45020</v>
      </c>
      <c r="C44" s="20" t="s">
        <v>141</v>
      </c>
      <c r="D44" s="20" t="s">
        <v>142</v>
      </c>
      <c r="E44" s="20" t="s">
        <v>65</v>
      </c>
      <c r="F44" s="21" t="s">
        <v>69</v>
      </c>
      <c r="G44">
        <f t="shared" si="0"/>
        <v>8.3333333333333329E-2</v>
      </c>
      <c r="H44" t="str">
        <f>VLOOKUP(F44,'Tipo Parada Forno 04 07'!$A$2:I51,2,FALSE())</f>
        <v>NP</v>
      </c>
      <c r="I44">
        <f t="shared" si="1"/>
        <v>0</v>
      </c>
      <c r="J44">
        <f t="shared" si="2"/>
        <v>8.3333333333333329E-2</v>
      </c>
    </row>
    <row r="45" spans="1:10" x14ac:dyDescent="0.3">
      <c r="A45" s="18" t="s">
        <v>62</v>
      </c>
      <c r="B45" s="19">
        <v>45020</v>
      </c>
      <c r="C45" s="20" t="s">
        <v>142</v>
      </c>
      <c r="D45" s="20" t="s">
        <v>95</v>
      </c>
      <c r="E45" s="20" t="s">
        <v>85</v>
      </c>
      <c r="F45" s="21" t="s">
        <v>66</v>
      </c>
      <c r="G45">
        <f t="shared" si="0"/>
        <v>0.1</v>
      </c>
      <c r="H45" t="str">
        <f>VLOOKUP(F45,'Tipo Parada Forno 04 07'!$A$2:I52,2,FALSE())</f>
        <v>NP</v>
      </c>
      <c r="I45">
        <f t="shared" si="1"/>
        <v>0</v>
      </c>
      <c r="J45">
        <f t="shared" si="2"/>
        <v>0.1</v>
      </c>
    </row>
    <row r="46" spans="1:10" x14ac:dyDescent="0.3">
      <c r="A46" s="18" t="s">
        <v>62</v>
      </c>
      <c r="B46" s="19">
        <v>45020</v>
      </c>
      <c r="C46" s="20" t="s">
        <v>143</v>
      </c>
      <c r="D46" s="20" t="s">
        <v>144</v>
      </c>
      <c r="E46" s="20" t="s">
        <v>65</v>
      </c>
      <c r="F46" s="21" t="s">
        <v>69</v>
      </c>
      <c r="G46">
        <f t="shared" si="0"/>
        <v>8.3333333333333329E-2</v>
      </c>
      <c r="H46" t="str">
        <f>VLOOKUP(F46,'Tipo Parada Forno 04 07'!$A$2:I53,2,FALSE())</f>
        <v>NP</v>
      </c>
      <c r="I46">
        <f t="shared" si="1"/>
        <v>0</v>
      </c>
      <c r="J46">
        <f t="shared" si="2"/>
        <v>8.3333333333333329E-2</v>
      </c>
    </row>
    <row r="47" spans="1:10" x14ac:dyDescent="0.3">
      <c r="A47" s="18" t="s">
        <v>62</v>
      </c>
      <c r="B47" s="19">
        <v>45020</v>
      </c>
      <c r="C47" s="20" t="s">
        <v>144</v>
      </c>
      <c r="D47" s="20" t="s">
        <v>145</v>
      </c>
      <c r="E47" s="20" t="s">
        <v>97</v>
      </c>
      <c r="F47" s="21" t="s">
        <v>71</v>
      </c>
      <c r="G47">
        <f t="shared" si="0"/>
        <v>6.6666666666666666E-2</v>
      </c>
      <c r="H47" t="str">
        <f>VLOOKUP(F47,'Tipo Parada Forno 04 07'!$A$2:I54,2,FALSE())</f>
        <v>NP</v>
      </c>
      <c r="I47">
        <f t="shared" si="1"/>
        <v>0</v>
      </c>
      <c r="J47">
        <f t="shared" si="2"/>
        <v>6.6666666666666666E-2</v>
      </c>
    </row>
    <row r="48" spans="1:10" x14ac:dyDescent="0.3">
      <c r="A48" s="18" t="s">
        <v>62</v>
      </c>
      <c r="B48" s="19">
        <v>45020</v>
      </c>
      <c r="C48" s="20" t="s">
        <v>145</v>
      </c>
      <c r="D48" s="20" t="s">
        <v>146</v>
      </c>
      <c r="E48" s="20" t="s">
        <v>87</v>
      </c>
      <c r="F48" s="21" t="s">
        <v>105</v>
      </c>
      <c r="G48">
        <f t="shared" si="0"/>
        <v>0.33333333333333331</v>
      </c>
      <c r="H48" t="str">
        <f>VLOOKUP(F48,'Tipo Parada Forno 04 07'!$A$2:I55,2,FALSE())</f>
        <v>NP</v>
      </c>
      <c r="I48">
        <f t="shared" si="1"/>
        <v>0</v>
      </c>
      <c r="J48">
        <f t="shared" si="2"/>
        <v>0.33333333333333331</v>
      </c>
    </row>
    <row r="49" spans="1:10" x14ac:dyDescent="0.3">
      <c r="A49" s="18" t="s">
        <v>62</v>
      </c>
      <c r="B49" s="19">
        <v>45020</v>
      </c>
      <c r="C49" s="20" t="s">
        <v>147</v>
      </c>
      <c r="D49" s="20" t="s">
        <v>148</v>
      </c>
      <c r="E49" s="20" t="s">
        <v>149</v>
      </c>
      <c r="F49" s="21" t="s">
        <v>150</v>
      </c>
      <c r="G49">
        <f t="shared" si="0"/>
        <v>0.26666666666666666</v>
      </c>
      <c r="H49" t="str">
        <f>VLOOKUP(F49,'Tipo Parada Forno 04 07'!$A$2:I56,2,FALSE())</f>
        <v>NP</v>
      </c>
      <c r="I49">
        <f t="shared" si="1"/>
        <v>0</v>
      </c>
      <c r="J49">
        <f t="shared" si="2"/>
        <v>0.26666666666666666</v>
      </c>
    </row>
    <row r="50" spans="1:10" x14ac:dyDescent="0.3">
      <c r="A50" s="18" t="s">
        <v>62</v>
      </c>
      <c r="B50" s="19">
        <v>45020</v>
      </c>
      <c r="C50" s="20" t="s">
        <v>133</v>
      </c>
      <c r="D50" s="20" t="s">
        <v>151</v>
      </c>
      <c r="E50" s="20" t="s">
        <v>65</v>
      </c>
      <c r="F50" s="21" t="s">
        <v>69</v>
      </c>
      <c r="G50">
        <f t="shared" si="0"/>
        <v>8.3333333333333329E-2</v>
      </c>
      <c r="H50" t="str">
        <f>VLOOKUP(F50,'Tipo Parada Forno 04 07'!$A$2:I57,2,FALSE())</f>
        <v>NP</v>
      </c>
      <c r="I50">
        <f t="shared" si="1"/>
        <v>0</v>
      </c>
      <c r="J50">
        <f t="shared" si="2"/>
        <v>8.3333333333333329E-2</v>
      </c>
    </row>
    <row r="51" spans="1:10" x14ac:dyDescent="0.3">
      <c r="A51" s="18" t="s">
        <v>62</v>
      </c>
      <c r="B51" s="19">
        <v>45021</v>
      </c>
      <c r="C51" s="20" t="s">
        <v>152</v>
      </c>
      <c r="D51" s="20" t="s">
        <v>153</v>
      </c>
      <c r="E51" s="20" t="s">
        <v>80</v>
      </c>
      <c r="F51" s="21" t="s">
        <v>69</v>
      </c>
      <c r="G51">
        <f t="shared" si="0"/>
        <v>0.05</v>
      </c>
      <c r="H51" t="str">
        <f>VLOOKUP(F51,'Tipo Parada Forno 04 07'!$A$2:I58,2,FALSE())</f>
        <v>NP</v>
      </c>
      <c r="I51">
        <f t="shared" si="1"/>
        <v>0</v>
      </c>
      <c r="J51">
        <f t="shared" si="2"/>
        <v>0.05</v>
      </c>
    </row>
    <row r="52" spans="1:10" x14ac:dyDescent="0.3">
      <c r="A52" s="18" t="s">
        <v>62</v>
      </c>
      <c r="B52" s="19">
        <v>45021</v>
      </c>
      <c r="C52" s="20" t="s">
        <v>153</v>
      </c>
      <c r="D52" s="20" t="s">
        <v>154</v>
      </c>
      <c r="E52" s="20" t="s">
        <v>65</v>
      </c>
      <c r="F52" s="21" t="s">
        <v>71</v>
      </c>
      <c r="G52">
        <f t="shared" si="0"/>
        <v>8.3333333333333329E-2</v>
      </c>
      <c r="H52" t="str">
        <f>VLOOKUP(F52,'Tipo Parada Forno 04 07'!$A$2:I59,2,FALSE())</f>
        <v>NP</v>
      </c>
      <c r="I52">
        <f t="shared" si="1"/>
        <v>0</v>
      </c>
      <c r="J52">
        <f t="shared" si="2"/>
        <v>8.3333333333333329E-2</v>
      </c>
    </row>
    <row r="53" spans="1:10" x14ac:dyDescent="0.3">
      <c r="A53" s="18" t="s">
        <v>62</v>
      </c>
      <c r="B53" s="19">
        <v>45021</v>
      </c>
      <c r="C53" s="20" t="s">
        <v>154</v>
      </c>
      <c r="D53" s="20" t="s">
        <v>155</v>
      </c>
      <c r="E53" s="20" t="s">
        <v>156</v>
      </c>
      <c r="F53" s="21" t="s">
        <v>105</v>
      </c>
      <c r="G53">
        <f t="shared" si="0"/>
        <v>0.75</v>
      </c>
      <c r="H53" t="str">
        <f>VLOOKUP(F53,'Tipo Parada Forno 04 07'!$A$2:I60,2,FALSE())</f>
        <v>NP</v>
      </c>
      <c r="I53">
        <f t="shared" si="1"/>
        <v>0</v>
      </c>
      <c r="J53">
        <f t="shared" si="2"/>
        <v>0.75</v>
      </c>
    </row>
    <row r="54" spans="1:10" x14ac:dyDescent="0.3">
      <c r="A54" s="18" t="s">
        <v>62</v>
      </c>
      <c r="B54" s="19">
        <v>45021</v>
      </c>
      <c r="C54" s="20" t="s">
        <v>157</v>
      </c>
      <c r="D54" s="20" t="s">
        <v>77</v>
      </c>
      <c r="E54" s="20" t="s">
        <v>65</v>
      </c>
      <c r="F54" s="21" t="s">
        <v>69</v>
      </c>
      <c r="G54">
        <f t="shared" si="0"/>
        <v>8.3333333333333329E-2</v>
      </c>
      <c r="H54" t="str">
        <f>VLOOKUP(F54,'Tipo Parada Forno 04 07'!$A$2:I61,2,FALSE())</f>
        <v>NP</v>
      </c>
      <c r="I54">
        <f t="shared" si="1"/>
        <v>0</v>
      </c>
      <c r="J54">
        <f t="shared" si="2"/>
        <v>8.3333333333333329E-2</v>
      </c>
    </row>
    <row r="55" spans="1:10" x14ac:dyDescent="0.3">
      <c r="A55" s="18" t="s">
        <v>62</v>
      </c>
      <c r="B55" s="19">
        <v>45021</v>
      </c>
      <c r="C55" s="20" t="s">
        <v>77</v>
      </c>
      <c r="D55" s="20" t="s">
        <v>158</v>
      </c>
      <c r="E55" s="20" t="s">
        <v>97</v>
      </c>
      <c r="F55" s="21" t="s">
        <v>71</v>
      </c>
      <c r="G55">
        <f t="shared" si="0"/>
        <v>6.6666666666666666E-2</v>
      </c>
      <c r="H55" t="str">
        <f>VLOOKUP(F55,'Tipo Parada Forno 04 07'!$A$2:I62,2,FALSE())</f>
        <v>NP</v>
      </c>
      <c r="I55">
        <f t="shared" si="1"/>
        <v>0</v>
      </c>
      <c r="J55">
        <f t="shared" si="2"/>
        <v>6.6666666666666666E-2</v>
      </c>
    </row>
    <row r="56" spans="1:10" x14ac:dyDescent="0.3">
      <c r="A56" s="18" t="s">
        <v>62</v>
      </c>
      <c r="B56" s="19">
        <v>45021</v>
      </c>
      <c r="C56" s="20" t="s">
        <v>158</v>
      </c>
      <c r="D56" s="20" t="s">
        <v>135</v>
      </c>
      <c r="E56" s="20" t="s">
        <v>65</v>
      </c>
      <c r="F56" s="21" t="s">
        <v>66</v>
      </c>
      <c r="G56">
        <f t="shared" si="0"/>
        <v>8.3333333333333329E-2</v>
      </c>
      <c r="H56" t="str">
        <f>VLOOKUP(F56,'Tipo Parada Forno 04 07'!$A$2:I63,2,FALSE())</f>
        <v>NP</v>
      </c>
      <c r="I56">
        <f t="shared" si="1"/>
        <v>0</v>
      </c>
      <c r="J56">
        <f t="shared" si="2"/>
        <v>8.3333333333333329E-2</v>
      </c>
    </row>
    <row r="57" spans="1:10" x14ac:dyDescent="0.3">
      <c r="A57" s="18" t="s">
        <v>62</v>
      </c>
      <c r="B57" s="19">
        <v>45021</v>
      </c>
      <c r="C57" s="20" t="s">
        <v>135</v>
      </c>
      <c r="D57" s="20" t="s">
        <v>159</v>
      </c>
      <c r="E57" s="20" t="s">
        <v>76</v>
      </c>
      <c r="F57" s="21" t="s">
        <v>74</v>
      </c>
      <c r="G57">
        <f t="shared" si="0"/>
        <v>0.15</v>
      </c>
      <c r="H57" t="str">
        <f>VLOOKUP(F57,'Tipo Parada Forno 04 07'!$A$2:I64,2,FALSE())</f>
        <v>NP</v>
      </c>
      <c r="I57">
        <f t="shared" si="1"/>
        <v>0</v>
      </c>
      <c r="J57">
        <f t="shared" si="2"/>
        <v>0.15</v>
      </c>
    </row>
    <row r="58" spans="1:10" x14ac:dyDescent="0.3">
      <c r="A58" s="18" t="s">
        <v>62</v>
      </c>
      <c r="B58" s="19">
        <v>45021</v>
      </c>
      <c r="C58" s="20" t="s">
        <v>84</v>
      </c>
      <c r="D58" s="20" t="s">
        <v>160</v>
      </c>
      <c r="E58" s="20" t="s">
        <v>65</v>
      </c>
      <c r="F58" s="21" t="s">
        <v>69</v>
      </c>
      <c r="G58">
        <f t="shared" si="0"/>
        <v>8.3333333333333329E-2</v>
      </c>
      <c r="H58" t="str">
        <f>VLOOKUP(F58,'Tipo Parada Forno 04 07'!$A$2:I65,2,FALSE())</f>
        <v>NP</v>
      </c>
      <c r="I58">
        <f t="shared" si="1"/>
        <v>0</v>
      </c>
      <c r="J58">
        <f t="shared" si="2"/>
        <v>8.3333333333333329E-2</v>
      </c>
    </row>
    <row r="59" spans="1:10" x14ac:dyDescent="0.3">
      <c r="A59" s="18" t="s">
        <v>62</v>
      </c>
      <c r="B59" s="19">
        <v>45021</v>
      </c>
      <c r="C59" s="20" t="s">
        <v>160</v>
      </c>
      <c r="D59" s="20" t="s">
        <v>147</v>
      </c>
      <c r="E59" s="20" t="s">
        <v>97</v>
      </c>
      <c r="F59" s="21" t="s">
        <v>71</v>
      </c>
      <c r="G59">
        <f t="shared" si="0"/>
        <v>6.6666666666666666E-2</v>
      </c>
      <c r="H59" t="str">
        <f>VLOOKUP(F59,'Tipo Parada Forno 04 07'!$A$2:I66,2,FALSE())</f>
        <v>NP</v>
      </c>
      <c r="I59">
        <f t="shared" si="1"/>
        <v>0</v>
      </c>
      <c r="J59">
        <f t="shared" si="2"/>
        <v>6.6666666666666666E-2</v>
      </c>
    </row>
    <row r="60" spans="1:10" x14ac:dyDescent="0.3">
      <c r="A60" s="18" t="s">
        <v>62</v>
      </c>
      <c r="B60" s="19">
        <v>45021</v>
      </c>
      <c r="C60" s="20" t="s">
        <v>147</v>
      </c>
      <c r="D60" s="20" t="s">
        <v>88</v>
      </c>
      <c r="E60" s="20" t="s">
        <v>87</v>
      </c>
      <c r="F60" s="21" t="s">
        <v>105</v>
      </c>
      <c r="G60">
        <f t="shared" si="0"/>
        <v>0.33333333333333331</v>
      </c>
      <c r="H60" t="str">
        <f>VLOOKUP(F60,'Tipo Parada Forno 04 07'!$A$2:I67,2,FALSE())</f>
        <v>NP</v>
      </c>
      <c r="I60">
        <f t="shared" si="1"/>
        <v>0</v>
      </c>
      <c r="J60">
        <f t="shared" si="2"/>
        <v>0.33333333333333331</v>
      </c>
    </row>
    <row r="61" spans="1:10" x14ac:dyDescent="0.3">
      <c r="A61" s="18" t="s">
        <v>62</v>
      </c>
      <c r="B61" s="19">
        <v>45021</v>
      </c>
      <c r="C61" s="20" t="s">
        <v>161</v>
      </c>
      <c r="D61" s="20" t="s">
        <v>162</v>
      </c>
      <c r="E61" s="20" t="s">
        <v>87</v>
      </c>
      <c r="F61" s="21" t="s">
        <v>150</v>
      </c>
      <c r="G61">
        <f t="shared" si="0"/>
        <v>0.33333333333333331</v>
      </c>
      <c r="H61" t="str">
        <f>VLOOKUP(F61,'Tipo Parada Forno 04 07'!$A$2:I68,2,FALSE())</f>
        <v>NP</v>
      </c>
      <c r="I61">
        <f t="shared" si="1"/>
        <v>0</v>
      </c>
      <c r="J61">
        <f t="shared" si="2"/>
        <v>0.33333333333333331</v>
      </c>
    </row>
    <row r="62" spans="1:10" x14ac:dyDescent="0.3">
      <c r="A62" s="18" t="s">
        <v>62</v>
      </c>
      <c r="B62" s="19">
        <v>45022</v>
      </c>
      <c r="C62" s="20" t="s">
        <v>163</v>
      </c>
      <c r="D62" s="20" t="s">
        <v>164</v>
      </c>
      <c r="E62" s="20" t="s">
        <v>65</v>
      </c>
      <c r="F62" s="21" t="s">
        <v>69</v>
      </c>
      <c r="G62">
        <f t="shared" si="0"/>
        <v>8.3333333333333329E-2</v>
      </c>
      <c r="H62" t="str">
        <f>VLOOKUP(F62,'Tipo Parada Forno 04 07'!$A$2:I69,2,FALSE())</f>
        <v>NP</v>
      </c>
      <c r="I62">
        <f t="shared" si="1"/>
        <v>0</v>
      </c>
      <c r="J62">
        <f t="shared" si="2"/>
        <v>8.3333333333333329E-2</v>
      </c>
    </row>
    <row r="63" spans="1:10" x14ac:dyDescent="0.3">
      <c r="A63" s="18" t="s">
        <v>62</v>
      </c>
      <c r="B63" s="19">
        <v>45022</v>
      </c>
      <c r="C63" s="20" t="s">
        <v>164</v>
      </c>
      <c r="D63" s="20" t="s">
        <v>165</v>
      </c>
      <c r="E63" s="20" t="s">
        <v>65</v>
      </c>
      <c r="F63" s="21" t="s">
        <v>71</v>
      </c>
      <c r="G63">
        <f t="shared" si="0"/>
        <v>8.3333333333333329E-2</v>
      </c>
      <c r="H63" t="str">
        <f>VLOOKUP(F63,'Tipo Parada Forno 04 07'!$A$2:I70,2,FALSE())</f>
        <v>NP</v>
      </c>
      <c r="I63">
        <f t="shared" si="1"/>
        <v>0</v>
      </c>
      <c r="J63">
        <f t="shared" si="2"/>
        <v>8.3333333333333329E-2</v>
      </c>
    </row>
    <row r="64" spans="1:10" x14ac:dyDescent="0.3">
      <c r="A64" s="18" t="s">
        <v>62</v>
      </c>
      <c r="B64" s="19">
        <v>45022</v>
      </c>
      <c r="C64" s="20" t="s">
        <v>165</v>
      </c>
      <c r="D64" s="20" t="s">
        <v>166</v>
      </c>
      <c r="E64" s="20" t="s">
        <v>87</v>
      </c>
      <c r="F64" s="21" t="s">
        <v>105</v>
      </c>
      <c r="G64">
        <f t="shared" si="0"/>
        <v>0.33333333333333331</v>
      </c>
      <c r="H64" t="str">
        <f>VLOOKUP(F64,'Tipo Parada Forno 04 07'!$A$2:I71,2,FALSE())</f>
        <v>NP</v>
      </c>
      <c r="I64">
        <f t="shared" si="1"/>
        <v>0</v>
      </c>
      <c r="J64">
        <f t="shared" si="2"/>
        <v>0.33333333333333331</v>
      </c>
    </row>
    <row r="65" spans="1:10" x14ac:dyDescent="0.3">
      <c r="A65" s="18" t="s">
        <v>62</v>
      </c>
      <c r="B65" s="19">
        <v>45022</v>
      </c>
      <c r="C65" s="20" t="s">
        <v>166</v>
      </c>
      <c r="D65" s="20" t="s">
        <v>167</v>
      </c>
      <c r="E65" s="20" t="s">
        <v>168</v>
      </c>
      <c r="F65" s="21" t="s">
        <v>169</v>
      </c>
      <c r="G65">
        <f t="shared" si="0"/>
        <v>0.43333333333333335</v>
      </c>
      <c r="H65" t="str">
        <f>VLOOKUP(F65,'Tipo Parada Forno 04 07'!$A$2:I72,2,FALSE())</f>
        <v>NP</v>
      </c>
      <c r="I65">
        <f t="shared" si="1"/>
        <v>0</v>
      </c>
      <c r="J65">
        <f t="shared" si="2"/>
        <v>0.43333333333333335</v>
      </c>
    </row>
    <row r="66" spans="1:10" x14ac:dyDescent="0.3">
      <c r="A66" s="18" t="s">
        <v>62</v>
      </c>
      <c r="B66" s="19">
        <v>45022</v>
      </c>
      <c r="C66" s="20" t="s">
        <v>170</v>
      </c>
      <c r="D66" s="20" t="s">
        <v>171</v>
      </c>
      <c r="E66" s="20" t="s">
        <v>65</v>
      </c>
      <c r="F66" s="21" t="s">
        <v>66</v>
      </c>
      <c r="G66">
        <f t="shared" ref="G66:G129" si="3">VALUE(MID(E66,1,2)+VALUE(MID(E66,4,2))/60)</f>
        <v>8.3333333333333329E-2</v>
      </c>
      <c r="H66" t="str">
        <f>VLOOKUP(F66,'Tipo Parada Forno 04 07'!$A$2:I73,2,FALSE())</f>
        <v>NP</v>
      </c>
      <c r="I66">
        <f t="shared" ref="I66:I129" si="4">IF(H66="P",G66,0)</f>
        <v>0</v>
      </c>
      <c r="J66">
        <f t="shared" ref="J66:J129" si="5">IF(H66="NP",G66,0)</f>
        <v>8.3333333333333329E-2</v>
      </c>
    </row>
    <row r="67" spans="1:10" x14ac:dyDescent="0.3">
      <c r="A67" s="18" t="s">
        <v>62</v>
      </c>
      <c r="B67" s="19">
        <v>45022</v>
      </c>
      <c r="C67" s="20" t="s">
        <v>172</v>
      </c>
      <c r="D67" s="20" t="s">
        <v>116</v>
      </c>
      <c r="E67" s="20" t="s">
        <v>65</v>
      </c>
      <c r="F67" s="21" t="s">
        <v>69</v>
      </c>
      <c r="G67">
        <f t="shared" si="3"/>
        <v>8.3333333333333329E-2</v>
      </c>
      <c r="H67" t="str">
        <f>VLOOKUP(F67,'Tipo Parada Forno 04 07'!$A$2:I74,2,FALSE())</f>
        <v>NP</v>
      </c>
      <c r="I67">
        <f t="shared" si="4"/>
        <v>0</v>
      </c>
      <c r="J67">
        <f t="shared" si="5"/>
        <v>8.3333333333333329E-2</v>
      </c>
    </row>
    <row r="68" spans="1:10" x14ac:dyDescent="0.3">
      <c r="A68" s="18" t="s">
        <v>62</v>
      </c>
      <c r="B68" s="19">
        <v>45022</v>
      </c>
      <c r="C68" s="20" t="s">
        <v>116</v>
      </c>
      <c r="D68" s="20" t="s">
        <v>173</v>
      </c>
      <c r="E68" s="20" t="s">
        <v>65</v>
      </c>
      <c r="F68" s="21" t="s">
        <v>71</v>
      </c>
      <c r="G68">
        <f t="shared" si="3"/>
        <v>8.3333333333333329E-2</v>
      </c>
      <c r="H68" t="str">
        <f>VLOOKUP(F68,'Tipo Parada Forno 04 07'!$A$2:I75,2,FALSE())</f>
        <v>NP</v>
      </c>
      <c r="I68">
        <f t="shared" si="4"/>
        <v>0</v>
      </c>
      <c r="J68">
        <f t="shared" si="5"/>
        <v>8.3333333333333329E-2</v>
      </c>
    </row>
    <row r="69" spans="1:10" x14ac:dyDescent="0.3">
      <c r="A69" s="18" t="s">
        <v>62</v>
      </c>
      <c r="B69" s="19">
        <v>45022</v>
      </c>
      <c r="C69" s="20" t="s">
        <v>173</v>
      </c>
      <c r="D69" s="20" t="s">
        <v>174</v>
      </c>
      <c r="E69" s="20" t="s">
        <v>65</v>
      </c>
      <c r="F69" s="21" t="s">
        <v>66</v>
      </c>
      <c r="G69">
        <f t="shared" si="3"/>
        <v>8.3333333333333329E-2</v>
      </c>
      <c r="H69" t="str">
        <f>VLOOKUP(F69,'Tipo Parada Forno 04 07'!$A$2:I76,2,FALSE())</f>
        <v>NP</v>
      </c>
      <c r="I69">
        <f t="shared" si="4"/>
        <v>0</v>
      </c>
      <c r="J69">
        <f t="shared" si="5"/>
        <v>8.3333333333333329E-2</v>
      </c>
    </row>
    <row r="70" spans="1:10" x14ac:dyDescent="0.3">
      <c r="A70" s="18" t="s">
        <v>62</v>
      </c>
      <c r="B70" s="19">
        <v>45022</v>
      </c>
      <c r="C70" s="20" t="s">
        <v>174</v>
      </c>
      <c r="D70" s="20" t="s">
        <v>175</v>
      </c>
      <c r="E70" s="20" t="s">
        <v>176</v>
      </c>
      <c r="F70" s="21" t="s">
        <v>74</v>
      </c>
      <c r="G70">
        <f t="shared" si="3"/>
        <v>0.3</v>
      </c>
      <c r="H70" t="str">
        <f>VLOOKUP(F70,'Tipo Parada Forno 04 07'!$A$2:I77,2,FALSE())</f>
        <v>NP</v>
      </c>
      <c r="I70">
        <f t="shared" si="4"/>
        <v>0</v>
      </c>
      <c r="J70">
        <f t="shared" si="5"/>
        <v>0.3</v>
      </c>
    </row>
    <row r="71" spans="1:10" x14ac:dyDescent="0.3">
      <c r="A71" s="18" t="s">
        <v>62</v>
      </c>
      <c r="B71" s="19">
        <v>45022</v>
      </c>
      <c r="C71" s="20" t="s">
        <v>177</v>
      </c>
      <c r="D71" s="20" t="s">
        <v>178</v>
      </c>
      <c r="E71" s="20" t="s">
        <v>65</v>
      </c>
      <c r="F71" s="21" t="s">
        <v>69</v>
      </c>
      <c r="G71">
        <f t="shared" si="3"/>
        <v>8.3333333333333329E-2</v>
      </c>
      <c r="H71" t="str">
        <f>VLOOKUP(F71,'Tipo Parada Forno 04 07'!$A$2:I78,2,FALSE())</f>
        <v>NP</v>
      </c>
      <c r="I71">
        <f t="shared" si="4"/>
        <v>0</v>
      </c>
      <c r="J71">
        <f t="shared" si="5"/>
        <v>8.3333333333333329E-2</v>
      </c>
    </row>
    <row r="72" spans="1:10" x14ac:dyDescent="0.3">
      <c r="A72" s="18" t="s">
        <v>62</v>
      </c>
      <c r="B72" s="19">
        <v>45022</v>
      </c>
      <c r="C72" s="20" t="s">
        <v>178</v>
      </c>
      <c r="D72" s="20" t="s">
        <v>179</v>
      </c>
      <c r="E72" s="20" t="s">
        <v>97</v>
      </c>
      <c r="F72" s="21" t="s">
        <v>71</v>
      </c>
      <c r="G72">
        <f t="shared" si="3"/>
        <v>6.6666666666666666E-2</v>
      </c>
      <c r="H72" t="str">
        <f>VLOOKUP(F72,'Tipo Parada Forno 04 07'!$A$2:I79,2,FALSE())</f>
        <v>NP</v>
      </c>
      <c r="I72">
        <f t="shared" si="4"/>
        <v>0</v>
      </c>
      <c r="J72">
        <f t="shared" si="5"/>
        <v>6.6666666666666666E-2</v>
      </c>
    </row>
    <row r="73" spans="1:10" x14ac:dyDescent="0.3">
      <c r="A73" s="18" t="s">
        <v>62</v>
      </c>
      <c r="B73" s="19">
        <v>45022</v>
      </c>
      <c r="C73" s="20" t="s">
        <v>179</v>
      </c>
      <c r="D73" s="20" t="s">
        <v>160</v>
      </c>
      <c r="E73" s="20" t="s">
        <v>87</v>
      </c>
      <c r="F73" s="21" t="s">
        <v>105</v>
      </c>
      <c r="G73">
        <f t="shared" si="3"/>
        <v>0.33333333333333331</v>
      </c>
      <c r="H73" t="str">
        <f>VLOOKUP(F73,'Tipo Parada Forno 04 07'!$A$2:I80,2,FALSE())</f>
        <v>NP</v>
      </c>
      <c r="I73">
        <f t="shared" si="4"/>
        <v>0</v>
      </c>
      <c r="J73">
        <f t="shared" si="5"/>
        <v>0.33333333333333331</v>
      </c>
    </row>
    <row r="74" spans="1:10" x14ac:dyDescent="0.3">
      <c r="A74" s="18" t="s">
        <v>62</v>
      </c>
      <c r="B74" s="19">
        <v>45022</v>
      </c>
      <c r="C74" s="20" t="s">
        <v>160</v>
      </c>
      <c r="D74" s="20" t="s">
        <v>180</v>
      </c>
      <c r="E74" s="20" t="s">
        <v>65</v>
      </c>
      <c r="F74" s="21" t="s">
        <v>150</v>
      </c>
      <c r="G74">
        <f t="shared" si="3"/>
        <v>8.3333333333333329E-2</v>
      </c>
      <c r="H74" t="str">
        <f>VLOOKUP(F74,'Tipo Parada Forno 04 07'!$A$2:I81,2,FALSE())</f>
        <v>NP</v>
      </c>
      <c r="I74">
        <f t="shared" si="4"/>
        <v>0</v>
      </c>
      <c r="J74">
        <f t="shared" si="5"/>
        <v>8.3333333333333329E-2</v>
      </c>
    </row>
    <row r="75" spans="1:10" x14ac:dyDescent="0.3">
      <c r="A75" s="18" t="s">
        <v>62</v>
      </c>
      <c r="B75" s="19">
        <v>45022</v>
      </c>
      <c r="C75" s="20" t="s">
        <v>181</v>
      </c>
      <c r="D75" s="20" t="s">
        <v>182</v>
      </c>
      <c r="E75" s="20" t="s">
        <v>85</v>
      </c>
      <c r="F75" s="21" t="s">
        <v>69</v>
      </c>
      <c r="G75">
        <f t="shared" si="3"/>
        <v>0.1</v>
      </c>
      <c r="H75" t="str">
        <f>VLOOKUP(F75,'Tipo Parada Forno 04 07'!$A$2:I82,2,FALSE())</f>
        <v>NP</v>
      </c>
      <c r="I75">
        <f t="shared" si="4"/>
        <v>0</v>
      </c>
      <c r="J75">
        <f t="shared" si="5"/>
        <v>0.1</v>
      </c>
    </row>
    <row r="76" spans="1:10" x14ac:dyDescent="0.3">
      <c r="A76" s="18" t="s">
        <v>62</v>
      </c>
      <c r="B76" s="19">
        <v>45023</v>
      </c>
      <c r="C76" s="20" t="s">
        <v>183</v>
      </c>
      <c r="D76" s="20" t="s">
        <v>184</v>
      </c>
      <c r="E76" s="20" t="s">
        <v>65</v>
      </c>
      <c r="F76" s="21" t="s">
        <v>69</v>
      </c>
      <c r="G76">
        <f t="shared" si="3"/>
        <v>8.3333333333333329E-2</v>
      </c>
      <c r="H76" t="str">
        <f>VLOOKUP(F76,'Tipo Parada Forno 04 07'!$A$2:I83,2,FALSE())</f>
        <v>NP</v>
      </c>
      <c r="I76">
        <f t="shared" si="4"/>
        <v>0</v>
      </c>
      <c r="J76">
        <f t="shared" si="5"/>
        <v>8.3333333333333329E-2</v>
      </c>
    </row>
    <row r="77" spans="1:10" x14ac:dyDescent="0.3">
      <c r="A77" s="18" t="s">
        <v>62</v>
      </c>
      <c r="B77" s="19">
        <v>45023</v>
      </c>
      <c r="C77" s="20" t="s">
        <v>184</v>
      </c>
      <c r="D77" s="20" t="s">
        <v>185</v>
      </c>
      <c r="E77" s="20" t="s">
        <v>65</v>
      </c>
      <c r="F77" s="21" t="s">
        <v>71</v>
      </c>
      <c r="G77">
        <f t="shared" si="3"/>
        <v>8.3333333333333329E-2</v>
      </c>
      <c r="H77" t="str">
        <f>VLOOKUP(F77,'Tipo Parada Forno 04 07'!$A$2:I84,2,FALSE())</f>
        <v>NP</v>
      </c>
      <c r="I77">
        <f t="shared" si="4"/>
        <v>0</v>
      </c>
      <c r="J77">
        <f t="shared" si="5"/>
        <v>8.3333333333333329E-2</v>
      </c>
    </row>
    <row r="78" spans="1:10" x14ac:dyDescent="0.3">
      <c r="A78" s="18" t="s">
        <v>62</v>
      </c>
      <c r="B78" s="19">
        <v>45023</v>
      </c>
      <c r="C78" s="20" t="s">
        <v>185</v>
      </c>
      <c r="D78" s="20" t="s">
        <v>186</v>
      </c>
      <c r="E78" s="20" t="s">
        <v>85</v>
      </c>
      <c r="F78" s="21" t="s">
        <v>74</v>
      </c>
      <c r="G78">
        <f t="shared" si="3"/>
        <v>0.1</v>
      </c>
      <c r="H78" t="str">
        <f>VLOOKUP(F78,'Tipo Parada Forno 04 07'!$A$2:I85,2,FALSE())</f>
        <v>NP</v>
      </c>
      <c r="I78">
        <f t="shared" si="4"/>
        <v>0</v>
      </c>
      <c r="J78">
        <f t="shared" si="5"/>
        <v>0.1</v>
      </c>
    </row>
    <row r="79" spans="1:10" x14ac:dyDescent="0.3">
      <c r="A79" s="18" t="s">
        <v>62</v>
      </c>
      <c r="B79" s="19">
        <v>45023</v>
      </c>
      <c r="C79" s="20" t="s">
        <v>187</v>
      </c>
      <c r="D79" s="20" t="s">
        <v>188</v>
      </c>
      <c r="E79" s="20" t="s">
        <v>65</v>
      </c>
      <c r="F79" s="21" t="s">
        <v>69</v>
      </c>
      <c r="G79">
        <f t="shared" si="3"/>
        <v>8.3333333333333329E-2</v>
      </c>
      <c r="H79" t="str">
        <f>VLOOKUP(F79,'Tipo Parada Forno 04 07'!$A$2:I86,2,FALSE())</f>
        <v>NP</v>
      </c>
      <c r="I79">
        <f t="shared" si="4"/>
        <v>0</v>
      </c>
      <c r="J79">
        <f t="shared" si="5"/>
        <v>8.3333333333333329E-2</v>
      </c>
    </row>
    <row r="80" spans="1:10" x14ac:dyDescent="0.3">
      <c r="A80" s="18" t="s">
        <v>62</v>
      </c>
      <c r="B80" s="19">
        <v>45023</v>
      </c>
      <c r="C80" s="20" t="s">
        <v>188</v>
      </c>
      <c r="D80" s="20" t="s">
        <v>189</v>
      </c>
      <c r="E80" s="20" t="s">
        <v>65</v>
      </c>
      <c r="F80" s="21" t="s">
        <v>71</v>
      </c>
      <c r="G80">
        <f t="shared" si="3"/>
        <v>8.3333333333333329E-2</v>
      </c>
      <c r="H80" t="str">
        <f>VLOOKUP(F80,'Tipo Parada Forno 04 07'!$A$2:I87,2,FALSE())</f>
        <v>NP</v>
      </c>
      <c r="I80">
        <f t="shared" si="4"/>
        <v>0</v>
      </c>
      <c r="J80">
        <f t="shared" si="5"/>
        <v>8.3333333333333329E-2</v>
      </c>
    </row>
    <row r="81" spans="1:10" x14ac:dyDescent="0.3">
      <c r="A81" s="18" t="s">
        <v>62</v>
      </c>
      <c r="B81" s="19">
        <v>45023</v>
      </c>
      <c r="C81" s="20" t="s">
        <v>189</v>
      </c>
      <c r="D81" s="20" t="s">
        <v>190</v>
      </c>
      <c r="E81" s="20" t="s">
        <v>122</v>
      </c>
      <c r="F81" s="21" t="s">
        <v>105</v>
      </c>
      <c r="G81">
        <f t="shared" si="3"/>
        <v>0.25</v>
      </c>
      <c r="H81" t="str">
        <f>VLOOKUP(F81,'Tipo Parada Forno 04 07'!$A$2:I88,2,FALSE())</f>
        <v>NP</v>
      </c>
      <c r="I81">
        <f t="shared" si="4"/>
        <v>0</v>
      </c>
      <c r="J81">
        <f t="shared" si="5"/>
        <v>0.25</v>
      </c>
    </row>
    <row r="82" spans="1:10" x14ac:dyDescent="0.3">
      <c r="A82" s="18" t="s">
        <v>62</v>
      </c>
      <c r="B82" s="19">
        <v>45023</v>
      </c>
      <c r="C82" s="20" t="s">
        <v>190</v>
      </c>
      <c r="D82" s="20" t="s">
        <v>191</v>
      </c>
      <c r="E82" s="20" t="s">
        <v>140</v>
      </c>
      <c r="F82" s="21" t="s">
        <v>89</v>
      </c>
      <c r="G82">
        <f t="shared" si="3"/>
        <v>0.41666666666666669</v>
      </c>
      <c r="H82" t="str">
        <f>VLOOKUP(F82,'Tipo Parada Forno 04 07'!$A$2:I89,2,FALSE())</f>
        <v>NP</v>
      </c>
      <c r="I82">
        <f t="shared" si="4"/>
        <v>0</v>
      </c>
      <c r="J82">
        <f t="shared" si="5"/>
        <v>0.41666666666666669</v>
      </c>
    </row>
    <row r="83" spans="1:10" x14ac:dyDescent="0.3">
      <c r="A83" s="18" t="s">
        <v>62</v>
      </c>
      <c r="B83" s="19">
        <v>45023</v>
      </c>
      <c r="C83" s="20" t="s">
        <v>192</v>
      </c>
      <c r="D83" s="20" t="s">
        <v>193</v>
      </c>
      <c r="E83" s="20" t="s">
        <v>194</v>
      </c>
      <c r="F83" s="21" t="s">
        <v>138</v>
      </c>
      <c r="G83">
        <f t="shared" si="3"/>
        <v>0.91666666666666663</v>
      </c>
      <c r="H83" t="str">
        <f>VLOOKUP(F83,'Tipo Parada Forno 04 07'!$A$2:I90,2,FALSE())</f>
        <v>NP</v>
      </c>
      <c r="I83">
        <f t="shared" si="4"/>
        <v>0</v>
      </c>
      <c r="J83">
        <f t="shared" si="5"/>
        <v>0.91666666666666663</v>
      </c>
    </row>
    <row r="84" spans="1:10" x14ac:dyDescent="0.3">
      <c r="A84" s="18" t="s">
        <v>62</v>
      </c>
      <c r="B84" s="19">
        <v>45023</v>
      </c>
      <c r="C84" s="20" t="s">
        <v>195</v>
      </c>
      <c r="D84" s="20" t="s">
        <v>196</v>
      </c>
      <c r="E84" s="20" t="s">
        <v>151</v>
      </c>
      <c r="F84" s="21" t="s">
        <v>74</v>
      </c>
      <c r="G84">
        <f t="shared" si="3"/>
        <v>0.28333333333333333</v>
      </c>
      <c r="H84" t="str">
        <f>VLOOKUP(F84,'Tipo Parada Forno 04 07'!$A$2:I91,2,FALSE())</f>
        <v>NP</v>
      </c>
      <c r="I84">
        <f t="shared" si="4"/>
        <v>0</v>
      </c>
      <c r="J84">
        <f t="shared" si="5"/>
        <v>0.28333333333333333</v>
      </c>
    </row>
    <row r="85" spans="1:10" x14ac:dyDescent="0.3">
      <c r="A85" s="18" t="s">
        <v>62</v>
      </c>
      <c r="B85" s="19">
        <v>45023</v>
      </c>
      <c r="C85" s="20" t="s">
        <v>197</v>
      </c>
      <c r="D85" s="20" t="s">
        <v>198</v>
      </c>
      <c r="E85" s="20" t="s">
        <v>65</v>
      </c>
      <c r="F85" s="21" t="s">
        <v>69</v>
      </c>
      <c r="G85">
        <f t="shared" si="3"/>
        <v>8.3333333333333329E-2</v>
      </c>
      <c r="H85" t="str">
        <f>VLOOKUP(F85,'Tipo Parada Forno 04 07'!$A$2:I92,2,FALSE())</f>
        <v>NP</v>
      </c>
      <c r="I85">
        <f t="shared" si="4"/>
        <v>0</v>
      </c>
      <c r="J85">
        <f t="shared" si="5"/>
        <v>8.3333333333333329E-2</v>
      </c>
    </row>
    <row r="86" spans="1:10" x14ac:dyDescent="0.3">
      <c r="A86" s="18" t="s">
        <v>62</v>
      </c>
      <c r="B86" s="19">
        <v>45023</v>
      </c>
      <c r="C86" s="20" t="s">
        <v>198</v>
      </c>
      <c r="D86" s="20" t="s">
        <v>199</v>
      </c>
      <c r="E86" s="20" t="s">
        <v>80</v>
      </c>
      <c r="F86" s="21" t="s">
        <v>71</v>
      </c>
      <c r="G86">
        <f t="shared" si="3"/>
        <v>0.05</v>
      </c>
      <c r="H86" t="str">
        <f>VLOOKUP(F86,'Tipo Parada Forno 04 07'!$A$2:I93,2,FALSE())</f>
        <v>NP</v>
      </c>
      <c r="I86">
        <f t="shared" si="4"/>
        <v>0</v>
      </c>
      <c r="J86">
        <f t="shared" si="5"/>
        <v>0.05</v>
      </c>
    </row>
    <row r="87" spans="1:10" x14ac:dyDescent="0.3">
      <c r="A87" s="18" t="s">
        <v>62</v>
      </c>
      <c r="B87" s="19">
        <v>45023</v>
      </c>
      <c r="C87" s="20" t="s">
        <v>199</v>
      </c>
      <c r="D87" s="20" t="s">
        <v>200</v>
      </c>
      <c r="E87" s="20" t="s">
        <v>73</v>
      </c>
      <c r="F87" s="21" t="s">
        <v>66</v>
      </c>
      <c r="G87">
        <f t="shared" si="3"/>
        <v>0.16666666666666666</v>
      </c>
      <c r="H87" t="str">
        <f>VLOOKUP(F87,'Tipo Parada Forno 04 07'!$A$2:I94,2,FALSE())</f>
        <v>NP</v>
      </c>
      <c r="I87">
        <f t="shared" si="4"/>
        <v>0</v>
      </c>
      <c r="J87">
        <f t="shared" si="5"/>
        <v>0.16666666666666666</v>
      </c>
    </row>
    <row r="88" spans="1:10" x14ac:dyDescent="0.3">
      <c r="A88" s="18" t="s">
        <v>62</v>
      </c>
      <c r="B88" s="19">
        <v>45023</v>
      </c>
      <c r="C88" s="20" t="s">
        <v>200</v>
      </c>
      <c r="D88" s="20" t="s">
        <v>201</v>
      </c>
      <c r="E88" s="20" t="s">
        <v>110</v>
      </c>
      <c r="F88" s="21" t="s">
        <v>105</v>
      </c>
      <c r="G88">
        <f t="shared" si="3"/>
        <v>0.23333333333333334</v>
      </c>
      <c r="H88" t="str">
        <f>VLOOKUP(F88,'Tipo Parada Forno 04 07'!$A$2:I95,2,FALSE())</f>
        <v>NP</v>
      </c>
      <c r="I88">
        <f t="shared" si="4"/>
        <v>0</v>
      </c>
      <c r="J88">
        <f t="shared" si="5"/>
        <v>0.23333333333333334</v>
      </c>
    </row>
    <row r="89" spans="1:10" x14ac:dyDescent="0.3">
      <c r="A89" s="18" t="s">
        <v>62</v>
      </c>
      <c r="B89" s="19">
        <v>45024</v>
      </c>
      <c r="C89" s="20" t="s">
        <v>202</v>
      </c>
      <c r="D89" s="20" t="s">
        <v>203</v>
      </c>
      <c r="E89" s="20" t="s">
        <v>65</v>
      </c>
      <c r="F89" s="21" t="s">
        <v>69</v>
      </c>
      <c r="G89">
        <f t="shared" si="3"/>
        <v>8.3333333333333329E-2</v>
      </c>
      <c r="H89" t="str">
        <f>VLOOKUP(F89,'Tipo Parada Forno 04 07'!$A$2:I96,2,FALSE())</f>
        <v>NP</v>
      </c>
      <c r="I89">
        <f t="shared" si="4"/>
        <v>0</v>
      </c>
      <c r="J89">
        <f t="shared" si="5"/>
        <v>8.3333333333333329E-2</v>
      </c>
    </row>
    <row r="90" spans="1:10" x14ac:dyDescent="0.3">
      <c r="A90" s="18" t="s">
        <v>62</v>
      </c>
      <c r="B90" s="19">
        <v>45024</v>
      </c>
      <c r="C90" s="20" t="s">
        <v>203</v>
      </c>
      <c r="D90" s="20" t="s">
        <v>204</v>
      </c>
      <c r="E90" s="20" t="s">
        <v>80</v>
      </c>
      <c r="F90" s="21" t="s">
        <v>71</v>
      </c>
      <c r="G90">
        <f t="shared" si="3"/>
        <v>0.05</v>
      </c>
      <c r="H90" t="str">
        <f>VLOOKUP(F90,'Tipo Parada Forno 04 07'!$A$2:I97,2,FALSE())</f>
        <v>NP</v>
      </c>
      <c r="I90">
        <f t="shared" si="4"/>
        <v>0</v>
      </c>
      <c r="J90">
        <f t="shared" si="5"/>
        <v>0.05</v>
      </c>
    </row>
    <row r="91" spans="1:10" x14ac:dyDescent="0.3">
      <c r="A91" s="18" t="s">
        <v>62</v>
      </c>
      <c r="B91" s="19">
        <v>45024</v>
      </c>
      <c r="C91" s="20" t="s">
        <v>205</v>
      </c>
      <c r="D91" s="20" t="s">
        <v>206</v>
      </c>
      <c r="E91" s="20" t="s">
        <v>76</v>
      </c>
      <c r="F91" s="21" t="s">
        <v>74</v>
      </c>
      <c r="G91">
        <f t="shared" si="3"/>
        <v>0.15</v>
      </c>
      <c r="H91" t="str">
        <f>VLOOKUP(F91,'Tipo Parada Forno 04 07'!$A$2:I98,2,FALSE())</f>
        <v>NP</v>
      </c>
      <c r="I91">
        <f t="shared" si="4"/>
        <v>0</v>
      </c>
      <c r="J91">
        <f t="shared" si="5"/>
        <v>0.15</v>
      </c>
    </row>
    <row r="92" spans="1:10" x14ac:dyDescent="0.3">
      <c r="A92" s="18" t="s">
        <v>62</v>
      </c>
      <c r="B92" s="19">
        <v>45024</v>
      </c>
      <c r="C92" s="20" t="s">
        <v>207</v>
      </c>
      <c r="D92" s="20" t="s">
        <v>208</v>
      </c>
      <c r="E92" s="20" t="s">
        <v>65</v>
      </c>
      <c r="F92" s="21" t="s">
        <v>69</v>
      </c>
      <c r="G92">
        <f t="shared" si="3"/>
        <v>8.3333333333333329E-2</v>
      </c>
      <c r="H92" t="str">
        <f>VLOOKUP(F92,'Tipo Parada Forno 04 07'!$A$2:I99,2,FALSE())</f>
        <v>NP</v>
      </c>
      <c r="I92">
        <f t="shared" si="4"/>
        <v>0</v>
      </c>
      <c r="J92">
        <f t="shared" si="5"/>
        <v>8.3333333333333329E-2</v>
      </c>
    </row>
    <row r="93" spans="1:10" x14ac:dyDescent="0.3">
      <c r="A93" s="18" t="s">
        <v>62</v>
      </c>
      <c r="B93" s="19">
        <v>45024</v>
      </c>
      <c r="C93" s="20" t="s">
        <v>209</v>
      </c>
      <c r="D93" s="20" t="s">
        <v>210</v>
      </c>
      <c r="E93" s="20" t="s">
        <v>65</v>
      </c>
      <c r="F93" s="21" t="s">
        <v>69</v>
      </c>
      <c r="G93">
        <f t="shared" si="3"/>
        <v>8.3333333333333329E-2</v>
      </c>
      <c r="H93" t="str">
        <f>VLOOKUP(F93,'Tipo Parada Forno 04 07'!$A$2:I100,2,FALSE())</f>
        <v>NP</v>
      </c>
      <c r="I93">
        <f t="shared" si="4"/>
        <v>0</v>
      </c>
      <c r="J93">
        <f t="shared" si="5"/>
        <v>8.3333333333333329E-2</v>
      </c>
    </row>
    <row r="94" spans="1:10" x14ac:dyDescent="0.3">
      <c r="A94" s="18" t="s">
        <v>62</v>
      </c>
      <c r="B94" s="19">
        <v>45024</v>
      </c>
      <c r="C94" s="20" t="s">
        <v>210</v>
      </c>
      <c r="D94" s="20" t="s">
        <v>211</v>
      </c>
      <c r="E94" s="20" t="s">
        <v>85</v>
      </c>
      <c r="F94" s="21" t="s">
        <v>74</v>
      </c>
      <c r="G94">
        <f t="shared" si="3"/>
        <v>0.1</v>
      </c>
      <c r="H94" t="str">
        <f>VLOOKUP(F94,'Tipo Parada Forno 04 07'!$A$2:I101,2,FALSE())</f>
        <v>NP</v>
      </c>
      <c r="I94">
        <f t="shared" si="4"/>
        <v>0</v>
      </c>
      <c r="J94">
        <f t="shared" si="5"/>
        <v>0.1</v>
      </c>
    </row>
    <row r="95" spans="1:10" x14ac:dyDescent="0.3">
      <c r="A95" s="18" t="s">
        <v>62</v>
      </c>
      <c r="B95" s="19">
        <v>45024</v>
      </c>
      <c r="C95" s="20" t="s">
        <v>212</v>
      </c>
      <c r="D95" s="20" t="s">
        <v>213</v>
      </c>
      <c r="E95" s="20" t="s">
        <v>65</v>
      </c>
      <c r="F95" s="21" t="s">
        <v>69</v>
      </c>
      <c r="G95">
        <f t="shared" si="3"/>
        <v>8.3333333333333329E-2</v>
      </c>
      <c r="H95" t="str">
        <f>VLOOKUP(F95,'Tipo Parada Forno 04 07'!$A$2:I102,2,FALSE())</f>
        <v>NP</v>
      </c>
      <c r="I95">
        <f t="shared" si="4"/>
        <v>0</v>
      </c>
      <c r="J95">
        <f t="shared" si="5"/>
        <v>8.3333333333333329E-2</v>
      </c>
    </row>
    <row r="96" spans="1:10" x14ac:dyDescent="0.3">
      <c r="A96" s="18" t="s">
        <v>62</v>
      </c>
      <c r="B96" s="19">
        <v>45024</v>
      </c>
      <c r="C96" s="20" t="s">
        <v>213</v>
      </c>
      <c r="D96" s="20" t="s">
        <v>214</v>
      </c>
      <c r="E96" s="20" t="s">
        <v>85</v>
      </c>
      <c r="F96" s="21" t="s">
        <v>71</v>
      </c>
      <c r="G96">
        <f t="shared" si="3"/>
        <v>0.1</v>
      </c>
      <c r="H96" t="str">
        <f>VLOOKUP(F96,'Tipo Parada Forno 04 07'!$A$2:I103,2,FALSE())</f>
        <v>NP</v>
      </c>
      <c r="I96">
        <f t="shared" si="4"/>
        <v>0</v>
      </c>
      <c r="J96">
        <f t="shared" si="5"/>
        <v>0.1</v>
      </c>
    </row>
    <row r="97" spans="1:10" x14ac:dyDescent="0.3">
      <c r="A97" s="18" t="s">
        <v>62</v>
      </c>
      <c r="B97" s="19">
        <v>45024</v>
      </c>
      <c r="C97" s="20" t="s">
        <v>214</v>
      </c>
      <c r="D97" s="20" t="s">
        <v>215</v>
      </c>
      <c r="E97" s="20" t="s">
        <v>140</v>
      </c>
      <c r="F97" s="21" t="s">
        <v>105</v>
      </c>
      <c r="G97">
        <f t="shared" si="3"/>
        <v>0.41666666666666669</v>
      </c>
      <c r="H97" t="str">
        <f>VLOOKUP(F97,'Tipo Parada Forno 04 07'!$A$2:I104,2,FALSE())</f>
        <v>NP</v>
      </c>
      <c r="I97">
        <f t="shared" si="4"/>
        <v>0</v>
      </c>
      <c r="J97">
        <f t="shared" si="5"/>
        <v>0.41666666666666669</v>
      </c>
    </row>
    <row r="98" spans="1:10" x14ac:dyDescent="0.3">
      <c r="A98" s="18" t="s">
        <v>62</v>
      </c>
      <c r="B98" s="19">
        <v>45024</v>
      </c>
      <c r="C98" s="20" t="s">
        <v>216</v>
      </c>
      <c r="D98" s="20" t="s">
        <v>217</v>
      </c>
      <c r="E98" s="20" t="s">
        <v>87</v>
      </c>
      <c r="F98" s="21" t="s">
        <v>74</v>
      </c>
      <c r="G98">
        <f t="shared" si="3"/>
        <v>0.33333333333333331</v>
      </c>
      <c r="H98" t="str">
        <f>VLOOKUP(F98,'Tipo Parada Forno 04 07'!$A$2:I105,2,FALSE())</f>
        <v>NP</v>
      </c>
      <c r="I98">
        <f t="shared" si="4"/>
        <v>0</v>
      </c>
      <c r="J98">
        <f t="shared" si="5"/>
        <v>0.33333333333333331</v>
      </c>
    </row>
    <row r="99" spans="1:10" x14ac:dyDescent="0.3">
      <c r="A99" s="18" t="s">
        <v>62</v>
      </c>
      <c r="B99" s="19">
        <v>45024</v>
      </c>
      <c r="C99" s="20" t="s">
        <v>218</v>
      </c>
      <c r="D99" s="20" t="s">
        <v>219</v>
      </c>
      <c r="E99" s="20" t="s">
        <v>65</v>
      </c>
      <c r="F99" s="21" t="s">
        <v>69</v>
      </c>
      <c r="G99">
        <f t="shared" si="3"/>
        <v>8.3333333333333329E-2</v>
      </c>
      <c r="H99" t="str">
        <f>VLOOKUP(F99,'Tipo Parada Forno 04 07'!$A$2:I106,2,FALSE())</f>
        <v>NP</v>
      </c>
      <c r="I99">
        <f t="shared" si="4"/>
        <v>0</v>
      </c>
      <c r="J99">
        <f t="shared" si="5"/>
        <v>8.3333333333333329E-2</v>
      </c>
    </row>
    <row r="100" spans="1:10" x14ac:dyDescent="0.3">
      <c r="A100" s="18" t="s">
        <v>62</v>
      </c>
      <c r="B100" s="19">
        <v>45024</v>
      </c>
      <c r="C100" s="20" t="s">
        <v>219</v>
      </c>
      <c r="D100" s="20" t="s">
        <v>220</v>
      </c>
      <c r="E100" s="20" t="s">
        <v>65</v>
      </c>
      <c r="F100" s="21" t="s">
        <v>71</v>
      </c>
      <c r="G100">
        <f t="shared" si="3"/>
        <v>8.3333333333333329E-2</v>
      </c>
      <c r="H100" t="str">
        <f>VLOOKUP(F100,'Tipo Parada Forno 04 07'!$A$2:I107,2,FALSE())</f>
        <v>NP</v>
      </c>
      <c r="I100">
        <f t="shared" si="4"/>
        <v>0</v>
      </c>
      <c r="J100">
        <f t="shared" si="5"/>
        <v>8.3333333333333329E-2</v>
      </c>
    </row>
    <row r="101" spans="1:10" x14ac:dyDescent="0.3">
      <c r="A101" s="18" t="s">
        <v>62</v>
      </c>
      <c r="B101" s="19">
        <v>45024</v>
      </c>
      <c r="C101" s="20" t="s">
        <v>220</v>
      </c>
      <c r="D101" s="20" t="s">
        <v>180</v>
      </c>
      <c r="E101" s="20" t="s">
        <v>221</v>
      </c>
      <c r="F101" s="21" t="s">
        <v>66</v>
      </c>
      <c r="G101">
        <f t="shared" si="3"/>
        <v>0.11666666666666667</v>
      </c>
      <c r="H101" t="str">
        <f>VLOOKUP(F101,'Tipo Parada Forno 04 07'!$A$2:I108,2,FALSE())</f>
        <v>NP</v>
      </c>
      <c r="I101">
        <f t="shared" si="4"/>
        <v>0</v>
      </c>
      <c r="J101">
        <f t="shared" si="5"/>
        <v>0.11666666666666667</v>
      </c>
    </row>
    <row r="102" spans="1:10" x14ac:dyDescent="0.3">
      <c r="A102" s="18" t="s">
        <v>62</v>
      </c>
      <c r="B102" s="19">
        <v>45024</v>
      </c>
      <c r="C102" s="20" t="s">
        <v>180</v>
      </c>
      <c r="D102" s="20" t="s">
        <v>148</v>
      </c>
      <c r="E102" s="20" t="s">
        <v>122</v>
      </c>
      <c r="F102" s="21" t="s">
        <v>105</v>
      </c>
      <c r="G102">
        <f t="shared" si="3"/>
        <v>0.25</v>
      </c>
      <c r="H102" t="str">
        <f>VLOOKUP(F102,'Tipo Parada Forno 04 07'!$A$2:I109,2,FALSE())</f>
        <v>NP</v>
      </c>
      <c r="I102">
        <f t="shared" si="4"/>
        <v>0</v>
      </c>
      <c r="J102">
        <f t="shared" si="5"/>
        <v>0.25</v>
      </c>
    </row>
    <row r="103" spans="1:10" x14ac:dyDescent="0.3">
      <c r="A103" s="18" t="s">
        <v>62</v>
      </c>
      <c r="B103" s="19">
        <v>45024</v>
      </c>
      <c r="C103" s="20" t="s">
        <v>148</v>
      </c>
      <c r="D103" s="20" t="s">
        <v>88</v>
      </c>
      <c r="E103" s="20" t="s">
        <v>97</v>
      </c>
      <c r="F103" s="21" t="s">
        <v>89</v>
      </c>
      <c r="G103">
        <f t="shared" si="3"/>
        <v>6.6666666666666666E-2</v>
      </c>
      <c r="H103" t="str">
        <f>VLOOKUP(F103,'Tipo Parada Forno 04 07'!$A$2:I110,2,FALSE())</f>
        <v>NP</v>
      </c>
      <c r="I103">
        <f t="shared" si="4"/>
        <v>0</v>
      </c>
      <c r="J103">
        <f t="shared" si="5"/>
        <v>6.6666666666666666E-2</v>
      </c>
    </row>
    <row r="104" spans="1:10" x14ac:dyDescent="0.3">
      <c r="A104" s="18" t="s">
        <v>62</v>
      </c>
      <c r="B104" s="19">
        <v>45025</v>
      </c>
      <c r="C104" s="20" t="s">
        <v>222</v>
      </c>
      <c r="D104" s="20" t="s">
        <v>223</v>
      </c>
      <c r="E104" s="20" t="s">
        <v>65</v>
      </c>
      <c r="F104" s="21" t="s">
        <v>69</v>
      </c>
      <c r="G104">
        <f t="shared" si="3"/>
        <v>8.3333333333333329E-2</v>
      </c>
      <c r="H104" t="str">
        <f>VLOOKUP(F104,'Tipo Parada Forno 04 07'!$A$2:I111,2,FALSE())</f>
        <v>NP</v>
      </c>
      <c r="I104">
        <f t="shared" si="4"/>
        <v>0</v>
      </c>
      <c r="J104">
        <f t="shared" si="5"/>
        <v>8.3333333333333329E-2</v>
      </c>
    </row>
    <row r="105" spans="1:10" x14ac:dyDescent="0.3">
      <c r="A105" s="18" t="s">
        <v>62</v>
      </c>
      <c r="B105" s="19">
        <v>45025</v>
      </c>
      <c r="C105" s="20" t="s">
        <v>224</v>
      </c>
      <c r="D105" s="20" t="s">
        <v>225</v>
      </c>
      <c r="E105" s="20" t="s">
        <v>65</v>
      </c>
      <c r="F105" s="21" t="s">
        <v>69</v>
      </c>
      <c r="G105">
        <f t="shared" si="3"/>
        <v>8.3333333333333329E-2</v>
      </c>
      <c r="H105" t="str">
        <f>VLOOKUP(F105,'Tipo Parada Forno 04 07'!$A$2:I112,2,FALSE())</f>
        <v>NP</v>
      </c>
      <c r="I105">
        <f t="shared" si="4"/>
        <v>0</v>
      </c>
      <c r="J105">
        <f t="shared" si="5"/>
        <v>8.3333333333333329E-2</v>
      </c>
    </row>
    <row r="106" spans="1:10" x14ac:dyDescent="0.3">
      <c r="A106" s="18" t="s">
        <v>62</v>
      </c>
      <c r="B106" s="19">
        <v>45025</v>
      </c>
      <c r="C106" s="20" t="s">
        <v>225</v>
      </c>
      <c r="D106" s="20" t="s">
        <v>226</v>
      </c>
      <c r="E106" s="20" t="s">
        <v>97</v>
      </c>
      <c r="F106" s="21" t="s">
        <v>71</v>
      </c>
      <c r="G106">
        <f t="shared" si="3"/>
        <v>6.6666666666666666E-2</v>
      </c>
      <c r="H106" t="str">
        <f>VLOOKUP(F106,'Tipo Parada Forno 04 07'!$A$2:I113,2,FALSE())</f>
        <v>NP</v>
      </c>
      <c r="I106">
        <f t="shared" si="4"/>
        <v>0</v>
      </c>
      <c r="J106">
        <f t="shared" si="5"/>
        <v>6.6666666666666666E-2</v>
      </c>
    </row>
    <row r="107" spans="1:10" x14ac:dyDescent="0.3">
      <c r="A107" s="18" t="s">
        <v>62</v>
      </c>
      <c r="B107" s="19">
        <v>45025</v>
      </c>
      <c r="C107" s="20" t="s">
        <v>226</v>
      </c>
      <c r="D107" s="20" t="s">
        <v>227</v>
      </c>
      <c r="E107" s="20" t="s">
        <v>228</v>
      </c>
      <c r="F107" s="21" t="s">
        <v>74</v>
      </c>
      <c r="G107">
        <f t="shared" si="3"/>
        <v>0.13333333333333333</v>
      </c>
      <c r="H107" t="str">
        <f>VLOOKUP(F107,'Tipo Parada Forno 04 07'!$A$2:I114,2,FALSE())</f>
        <v>NP</v>
      </c>
      <c r="I107">
        <f t="shared" si="4"/>
        <v>0</v>
      </c>
      <c r="J107">
        <f t="shared" si="5"/>
        <v>0.13333333333333333</v>
      </c>
    </row>
    <row r="108" spans="1:10" x14ac:dyDescent="0.3">
      <c r="A108" s="18" t="s">
        <v>62</v>
      </c>
      <c r="B108" s="19">
        <v>45025</v>
      </c>
      <c r="C108" s="20" t="s">
        <v>229</v>
      </c>
      <c r="D108" s="20" t="s">
        <v>230</v>
      </c>
      <c r="E108" s="20" t="s">
        <v>65</v>
      </c>
      <c r="F108" s="21" t="s">
        <v>69</v>
      </c>
      <c r="G108">
        <f t="shared" si="3"/>
        <v>8.3333333333333329E-2</v>
      </c>
      <c r="H108" t="str">
        <f>VLOOKUP(F108,'Tipo Parada Forno 04 07'!$A$2:I115,2,FALSE())</f>
        <v>NP</v>
      </c>
      <c r="I108">
        <f t="shared" si="4"/>
        <v>0</v>
      </c>
      <c r="J108">
        <f t="shared" si="5"/>
        <v>8.3333333333333329E-2</v>
      </c>
    </row>
    <row r="109" spans="1:10" x14ac:dyDescent="0.3">
      <c r="A109" s="18" t="s">
        <v>62</v>
      </c>
      <c r="B109" s="19">
        <v>45025</v>
      </c>
      <c r="C109" s="20" t="s">
        <v>230</v>
      </c>
      <c r="D109" s="20" t="s">
        <v>231</v>
      </c>
      <c r="E109" s="20" t="s">
        <v>65</v>
      </c>
      <c r="F109" s="21" t="s">
        <v>71</v>
      </c>
      <c r="G109">
        <f t="shared" si="3"/>
        <v>8.3333333333333329E-2</v>
      </c>
      <c r="H109" t="str">
        <f>VLOOKUP(F109,'Tipo Parada Forno 04 07'!$A$2:I116,2,FALSE())</f>
        <v>NP</v>
      </c>
      <c r="I109">
        <f t="shared" si="4"/>
        <v>0</v>
      </c>
      <c r="J109">
        <f t="shared" si="5"/>
        <v>8.3333333333333329E-2</v>
      </c>
    </row>
    <row r="110" spans="1:10" x14ac:dyDescent="0.3">
      <c r="A110" s="18" t="s">
        <v>62</v>
      </c>
      <c r="B110" s="19">
        <v>45025</v>
      </c>
      <c r="C110" s="20" t="s">
        <v>231</v>
      </c>
      <c r="D110" s="20" t="s">
        <v>232</v>
      </c>
      <c r="E110" s="20" t="s">
        <v>140</v>
      </c>
      <c r="F110" s="21" t="s">
        <v>105</v>
      </c>
      <c r="G110">
        <f t="shared" si="3"/>
        <v>0.41666666666666669</v>
      </c>
      <c r="H110" t="str">
        <f>VLOOKUP(F110,'Tipo Parada Forno 04 07'!$A$2:I117,2,FALSE())</f>
        <v>NP</v>
      </c>
      <c r="I110">
        <f t="shared" si="4"/>
        <v>0</v>
      </c>
      <c r="J110">
        <f t="shared" si="5"/>
        <v>0.41666666666666669</v>
      </c>
    </row>
    <row r="111" spans="1:10" x14ac:dyDescent="0.3">
      <c r="A111" s="18" t="s">
        <v>62</v>
      </c>
      <c r="B111" s="19">
        <v>45025</v>
      </c>
      <c r="C111" s="20" t="s">
        <v>233</v>
      </c>
      <c r="D111" s="20" t="s">
        <v>234</v>
      </c>
      <c r="E111" s="20" t="s">
        <v>176</v>
      </c>
      <c r="F111" s="21" t="s">
        <v>74</v>
      </c>
      <c r="G111">
        <f t="shared" si="3"/>
        <v>0.3</v>
      </c>
      <c r="H111" t="str">
        <f>VLOOKUP(F111,'Tipo Parada Forno 04 07'!$A$2:I118,2,FALSE())</f>
        <v>NP</v>
      </c>
      <c r="I111">
        <f t="shared" si="4"/>
        <v>0</v>
      </c>
      <c r="J111">
        <f t="shared" si="5"/>
        <v>0.3</v>
      </c>
    </row>
    <row r="112" spans="1:10" x14ac:dyDescent="0.3">
      <c r="A112" s="18" t="s">
        <v>62</v>
      </c>
      <c r="B112" s="19">
        <v>45025</v>
      </c>
      <c r="C112" s="20" t="s">
        <v>235</v>
      </c>
      <c r="D112" s="20" t="s">
        <v>236</v>
      </c>
      <c r="E112" s="20" t="s">
        <v>65</v>
      </c>
      <c r="F112" s="21" t="s">
        <v>69</v>
      </c>
      <c r="G112">
        <f t="shared" si="3"/>
        <v>8.3333333333333329E-2</v>
      </c>
      <c r="H112" t="str">
        <f>VLOOKUP(F112,'Tipo Parada Forno 04 07'!$A$2:I119,2,FALSE())</f>
        <v>NP</v>
      </c>
      <c r="I112">
        <f t="shared" si="4"/>
        <v>0</v>
      </c>
      <c r="J112">
        <f t="shared" si="5"/>
        <v>8.3333333333333329E-2</v>
      </c>
    </row>
    <row r="113" spans="1:10" x14ac:dyDescent="0.3">
      <c r="A113" s="18" t="s">
        <v>62</v>
      </c>
      <c r="B113" s="19">
        <v>45025</v>
      </c>
      <c r="C113" s="20" t="s">
        <v>236</v>
      </c>
      <c r="D113" s="20" t="s">
        <v>237</v>
      </c>
      <c r="E113" s="20" t="s">
        <v>65</v>
      </c>
      <c r="F113" s="21" t="s">
        <v>71</v>
      </c>
      <c r="G113">
        <f t="shared" si="3"/>
        <v>8.3333333333333329E-2</v>
      </c>
      <c r="H113" t="str">
        <f>VLOOKUP(F113,'Tipo Parada Forno 04 07'!$A$2:I120,2,FALSE())</f>
        <v>NP</v>
      </c>
      <c r="I113">
        <f t="shared" si="4"/>
        <v>0</v>
      </c>
      <c r="J113">
        <f t="shared" si="5"/>
        <v>8.3333333333333329E-2</v>
      </c>
    </row>
    <row r="114" spans="1:10" x14ac:dyDescent="0.3">
      <c r="A114" s="18" t="s">
        <v>62</v>
      </c>
      <c r="B114" s="19">
        <v>45025</v>
      </c>
      <c r="C114" s="20" t="s">
        <v>237</v>
      </c>
      <c r="D114" s="20" t="s">
        <v>238</v>
      </c>
      <c r="E114" s="20" t="s">
        <v>65</v>
      </c>
      <c r="F114" s="21" t="s">
        <v>66</v>
      </c>
      <c r="G114">
        <f t="shared" si="3"/>
        <v>8.3333333333333329E-2</v>
      </c>
      <c r="H114" t="str">
        <f>VLOOKUP(F114,'Tipo Parada Forno 04 07'!$A$2:I121,2,FALSE())</f>
        <v>NP</v>
      </c>
      <c r="I114">
        <f t="shared" si="4"/>
        <v>0</v>
      </c>
      <c r="J114">
        <f t="shared" si="5"/>
        <v>8.3333333333333329E-2</v>
      </c>
    </row>
    <row r="115" spans="1:10" x14ac:dyDescent="0.3">
      <c r="A115" s="18" t="s">
        <v>62</v>
      </c>
      <c r="B115" s="19">
        <v>45025</v>
      </c>
      <c r="C115" s="20" t="s">
        <v>238</v>
      </c>
      <c r="D115" s="20" t="s">
        <v>110</v>
      </c>
      <c r="E115" s="20" t="s">
        <v>104</v>
      </c>
      <c r="F115" s="21" t="s">
        <v>105</v>
      </c>
      <c r="G115">
        <f t="shared" si="3"/>
        <v>0.48333333333333334</v>
      </c>
      <c r="H115" t="str">
        <f>VLOOKUP(F115,'Tipo Parada Forno 04 07'!$A$2:I122,2,FALSE())</f>
        <v>NP</v>
      </c>
      <c r="I115">
        <f t="shared" si="4"/>
        <v>0</v>
      </c>
      <c r="J115">
        <f t="shared" si="5"/>
        <v>0.48333333333333334</v>
      </c>
    </row>
    <row r="116" spans="1:10" x14ac:dyDescent="0.3">
      <c r="A116" s="18" t="s">
        <v>62</v>
      </c>
      <c r="B116" s="19">
        <v>45026</v>
      </c>
      <c r="C116" s="20" t="s">
        <v>239</v>
      </c>
      <c r="D116" s="20" t="s">
        <v>240</v>
      </c>
      <c r="E116" s="20" t="s">
        <v>65</v>
      </c>
      <c r="F116" s="21" t="s">
        <v>69</v>
      </c>
      <c r="G116">
        <f t="shared" si="3"/>
        <v>8.3333333333333329E-2</v>
      </c>
      <c r="H116" t="str">
        <f>VLOOKUP(F116,'Tipo Parada Forno 04 07'!$A$2:I123,2,FALSE())</f>
        <v>NP</v>
      </c>
      <c r="I116">
        <f t="shared" si="4"/>
        <v>0</v>
      </c>
      <c r="J116">
        <f t="shared" si="5"/>
        <v>8.3333333333333329E-2</v>
      </c>
    </row>
    <row r="117" spans="1:10" x14ac:dyDescent="0.3">
      <c r="A117" s="18" t="s">
        <v>62</v>
      </c>
      <c r="B117" s="19">
        <v>45026</v>
      </c>
      <c r="C117" s="20" t="s">
        <v>240</v>
      </c>
      <c r="D117" s="20" t="s">
        <v>241</v>
      </c>
      <c r="E117" s="20" t="s">
        <v>65</v>
      </c>
      <c r="F117" s="21" t="s">
        <v>71</v>
      </c>
      <c r="G117">
        <f t="shared" si="3"/>
        <v>8.3333333333333329E-2</v>
      </c>
      <c r="H117" t="str">
        <f>VLOOKUP(F117,'Tipo Parada Forno 04 07'!$A$2:I124,2,FALSE())</f>
        <v>NP</v>
      </c>
      <c r="I117">
        <f t="shared" si="4"/>
        <v>0</v>
      </c>
      <c r="J117">
        <f t="shared" si="5"/>
        <v>8.3333333333333329E-2</v>
      </c>
    </row>
    <row r="118" spans="1:10" x14ac:dyDescent="0.3">
      <c r="A118" s="18" t="s">
        <v>62</v>
      </c>
      <c r="B118" s="19">
        <v>45026</v>
      </c>
      <c r="C118" s="20" t="s">
        <v>241</v>
      </c>
      <c r="D118" s="20" t="s">
        <v>108</v>
      </c>
      <c r="E118" s="20" t="s">
        <v>99</v>
      </c>
      <c r="F118" s="21" t="s">
        <v>74</v>
      </c>
      <c r="G118">
        <f t="shared" si="3"/>
        <v>0.21666666666666667</v>
      </c>
      <c r="H118" t="str">
        <f>VLOOKUP(F118,'Tipo Parada Forno 04 07'!$A$2:I125,2,FALSE())</f>
        <v>NP</v>
      </c>
      <c r="I118">
        <f t="shared" si="4"/>
        <v>0</v>
      </c>
      <c r="J118">
        <f t="shared" si="5"/>
        <v>0.21666666666666667</v>
      </c>
    </row>
    <row r="119" spans="1:10" x14ac:dyDescent="0.3">
      <c r="A119" s="18" t="s">
        <v>62</v>
      </c>
      <c r="B119" s="19">
        <v>45026</v>
      </c>
      <c r="C119" s="20" t="s">
        <v>242</v>
      </c>
      <c r="D119" s="20" t="s">
        <v>243</v>
      </c>
      <c r="E119" s="20" t="s">
        <v>221</v>
      </c>
      <c r="F119" s="21" t="s">
        <v>150</v>
      </c>
      <c r="G119">
        <f t="shared" si="3"/>
        <v>0.11666666666666667</v>
      </c>
      <c r="H119" t="str">
        <f>VLOOKUP(F119,'Tipo Parada Forno 04 07'!$A$2:I126,2,FALSE())</f>
        <v>NP</v>
      </c>
      <c r="I119">
        <f t="shared" si="4"/>
        <v>0</v>
      </c>
      <c r="J119">
        <f t="shared" si="5"/>
        <v>0.11666666666666667</v>
      </c>
    </row>
    <row r="120" spans="1:10" x14ac:dyDescent="0.3">
      <c r="A120" s="18" t="s">
        <v>62</v>
      </c>
      <c r="B120" s="19">
        <v>45026</v>
      </c>
      <c r="C120" s="20" t="s">
        <v>244</v>
      </c>
      <c r="D120" s="20" t="s">
        <v>245</v>
      </c>
      <c r="E120" s="20" t="s">
        <v>246</v>
      </c>
      <c r="F120" s="21" t="s">
        <v>138</v>
      </c>
      <c r="G120">
        <f t="shared" si="3"/>
        <v>0.83333333333333337</v>
      </c>
      <c r="H120" t="str">
        <f>VLOOKUP(F120,'Tipo Parada Forno 04 07'!$A$2:I127,2,FALSE())</f>
        <v>NP</v>
      </c>
      <c r="I120">
        <f t="shared" si="4"/>
        <v>0</v>
      </c>
      <c r="J120">
        <f t="shared" si="5"/>
        <v>0.83333333333333337</v>
      </c>
    </row>
    <row r="121" spans="1:10" x14ac:dyDescent="0.3">
      <c r="A121" s="18" t="s">
        <v>62</v>
      </c>
      <c r="B121" s="19">
        <v>45026</v>
      </c>
      <c r="C121" s="20" t="s">
        <v>245</v>
      </c>
      <c r="D121" s="20" t="s">
        <v>111</v>
      </c>
      <c r="E121" s="20" t="s">
        <v>247</v>
      </c>
      <c r="F121" s="21" t="s">
        <v>248</v>
      </c>
      <c r="G121">
        <f t="shared" si="3"/>
        <v>0.4</v>
      </c>
      <c r="H121" t="str">
        <f>VLOOKUP(F121,'Tipo Parada Forno 04 07'!$A$2:I128,2,FALSE())</f>
        <v>NP</v>
      </c>
      <c r="I121">
        <f t="shared" si="4"/>
        <v>0</v>
      </c>
      <c r="J121">
        <f t="shared" si="5"/>
        <v>0.4</v>
      </c>
    </row>
    <row r="122" spans="1:10" x14ac:dyDescent="0.3">
      <c r="A122" s="18" t="s">
        <v>62</v>
      </c>
      <c r="B122" s="19">
        <v>45026</v>
      </c>
      <c r="C122" s="20" t="s">
        <v>111</v>
      </c>
      <c r="D122" s="20" t="s">
        <v>249</v>
      </c>
      <c r="E122" s="20" t="s">
        <v>140</v>
      </c>
      <c r="F122" s="21" t="s">
        <v>105</v>
      </c>
      <c r="G122">
        <f t="shared" si="3"/>
        <v>0.41666666666666669</v>
      </c>
      <c r="H122" t="str">
        <f>VLOOKUP(F122,'Tipo Parada Forno 04 07'!$A$2:I129,2,FALSE())</f>
        <v>NP</v>
      </c>
      <c r="I122">
        <f t="shared" si="4"/>
        <v>0</v>
      </c>
      <c r="J122">
        <f t="shared" si="5"/>
        <v>0.41666666666666669</v>
      </c>
    </row>
    <row r="123" spans="1:10" x14ac:dyDescent="0.3">
      <c r="A123" s="18" t="s">
        <v>62</v>
      </c>
      <c r="B123" s="19">
        <v>45026</v>
      </c>
      <c r="C123" s="20" t="s">
        <v>250</v>
      </c>
      <c r="D123" s="20" t="s">
        <v>251</v>
      </c>
      <c r="E123" s="20" t="s">
        <v>252</v>
      </c>
      <c r="F123" s="21" t="s">
        <v>253</v>
      </c>
      <c r="G123">
        <f t="shared" si="3"/>
        <v>1.8333333333333335</v>
      </c>
      <c r="H123" t="str">
        <f>VLOOKUP(F123,'Tipo Parada Forno 04 07'!$A$2:I130,2,FALSE())</f>
        <v>P</v>
      </c>
      <c r="I123">
        <f t="shared" si="4"/>
        <v>1.8333333333333335</v>
      </c>
      <c r="J123">
        <f t="shared" si="5"/>
        <v>0</v>
      </c>
    </row>
    <row r="124" spans="1:10" x14ac:dyDescent="0.3">
      <c r="A124" s="18" t="s">
        <v>62</v>
      </c>
      <c r="B124" s="19">
        <v>45026</v>
      </c>
      <c r="C124" s="20" t="s">
        <v>251</v>
      </c>
      <c r="D124" s="20" t="s">
        <v>254</v>
      </c>
      <c r="E124" s="20" t="s">
        <v>255</v>
      </c>
      <c r="F124" s="21" t="s">
        <v>253</v>
      </c>
      <c r="G124">
        <f t="shared" si="3"/>
        <v>1.5</v>
      </c>
      <c r="H124" t="str">
        <f>VLOOKUP(F124,'Tipo Parada Forno 04 07'!$A$2:I131,2,FALSE())</f>
        <v>P</v>
      </c>
      <c r="I124">
        <f t="shared" si="4"/>
        <v>1.5</v>
      </c>
      <c r="J124">
        <f t="shared" si="5"/>
        <v>0</v>
      </c>
    </row>
    <row r="125" spans="1:10" x14ac:dyDescent="0.3">
      <c r="A125" s="18" t="s">
        <v>62</v>
      </c>
      <c r="B125" s="19">
        <v>45027</v>
      </c>
      <c r="C125" s="20" t="s">
        <v>256</v>
      </c>
      <c r="D125" s="20" t="s">
        <v>257</v>
      </c>
      <c r="E125" s="20" t="s">
        <v>65</v>
      </c>
      <c r="F125" s="21" t="s">
        <v>69</v>
      </c>
      <c r="G125">
        <f t="shared" si="3"/>
        <v>8.3333333333333329E-2</v>
      </c>
      <c r="H125" t="str">
        <f>VLOOKUP(F125,'Tipo Parada Forno 04 07'!$A$2:I132,2,FALSE())</f>
        <v>NP</v>
      </c>
      <c r="I125">
        <f t="shared" si="4"/>
        <v>0</v>
      </c>
      <c r="J125">
        <f t="shared" si="5"/>
        <v>8.3333333333333329E-2</v>
      </c>
    </row>
    <row r="126" spans="1:10" x14ac:dyDescent="0.3">
      <c r="A126" s="18" t="s">
        <v>62</v>
      </c>
      <c r="B126" s="19">
        <v>45027</v>
      </c>
      <c r="C126" s="20" t="s">
        <v>257</v>
      </c>
      <c r="D126" s="20" t="s">
        <v>258</v>
      </c>
      <c r="E126" s="20" t="s">
        <v>97</v>
      </c>
      <c r="F126" s="21" t="s">
        <v>71</v>
      </c>
      <c r="G126">
        <f t="shared" si="3"/>
        <v>6.6666666666666666E-2</v>
      </c>
      <c r="H126" t="str">
        <f>VLOOKUP(F126,'Tipo Parada Forno 04 07'!$A$2:I133,2,FALSE())</f>
        <v>NP</v>
      </c>
      <c r="I126">
        <f t="shared" si="4"/>
        <v>0</v>
      </c>
      <c r="J126">
        <f t="shared" si="5"/>
        <v>6.6666666666666666E-2</v>
      </c>
    </row>
    <row r="127" spans="1:10" x14ac:dyDescent="0.3">
      <c r="A127" s="18" t="s">
        <v>62</v>
      </c>
      <c r="B127" s="19">
        <v>45027</v>
      </c>
      <c r="C127" s="20" t="s">
        <v>125</v>
      </c>
      <c r="D127" s="20" t="s">
        <v>93</v>
      </c>
      <c r="E127" s="20" t="s">
        <v>99</v>
      </c>
      <c r="F127" s="21" t="s">
        <v>74</v>
      </c>
      <c r="G127">
        <f t="shared" si="3"/>
        <v>0.21666666666666667</v>
      </c>
      <c r="H127" t="str">
        <f>VLOOKUP(F127,'Tipo Parada Forno 04 07'!$A$2:I134,2,FALSE())</f>
        <v>NP</v>
      </c>
      <c r="I127">
        <f t="shared" si="4"/>
        <v>0</v>
      </c>
      <c r="J127">
        <f t="shared" si="5"/>
        <v>0.21666666666666667</v>
      </c>
    </row>
    <row r="128" spans="1:10" x14ac:dyDescent="0.3">
      <c r="A128" s="18" t="s">
        <v>62</v>
      </c>
      <c r="B128" s="19">
        <v>45027</v>
      </c>
      <c r="C128" s="20" t="s">
        <v>259</v>
      </c>
      <c r="D128" s="20" t="s">
        <v>260</v>
      </c>
      <c r="E128" s="20" t="s">
        <v>65</v>
      </c>
      <c r="F128" s="21" t="s">
        <v>69</v>
      </c>
      <c r="G128">
        <f t="shared" si="3"/>
        <v>8.3333333333333329E-2</v>
      </c>
      <c r="H128" t="str">
        <f>VLOOKUP(F128,'Tipo Parada Forno 04 07'!$A$2:I135,2,FALSE())</f>
        <v>NP</v>
      </c>
      <c r="I128">
        <f t="shared" si="4"/>
        <v>0</v>
      </c>
      <c r="J128">
        <f t="shared" si="5"/>
        <v>8.3333333333333329E-2</v>
      </c>
    </row>
    <row r="129" spans="1:10" x14ac:dyDescent="0.3">
      <c r="A129" s="18" t="s">
        <v>62</v>
      </c>
      <c r="B129" s="19">
        <v>45027</v>
      </c>
      <c r="C129" s="20" t="s">
        <v>261</v>
      </c>
      <c r="D129" s="20" t="s">
        <v>190</v>
      </c>
      <c r="E129" s="20" t="s">
        <v>65</v>
      </c>
      <c r="F129" s="21" t="s">
        <v>69</v>
      </c>
      <c r="G129">
        <f t="shared" si="3"/>
        <v>8.3333333333333329E-2</v>
      </c>
      <c r="H129" t="str">
        <f>VLOOKUP(F129,'Tipo Parada Forno 04 07'!$A$2:I136,2,FALSE())</f>
        <v>NP</v>
      </c>
      <c r="I129">
        <f t="shared" si="4"/>
        <v>0</v>
      </c>
      <c r="J129">
        <f t="shared" si="5"/>
        <v>8.3333333333333329E-2</v>
      </c>
    </row>
    <row r="130" spans="1:10" x14ac:dyDescent="0.3">
      <c r="A130" s="18" t="s">
        <v>62</v>
      </c>
      <c r="B130" s="19">
        <v>45027</v>
      </c>
      <c r="C130" s="20" t="s">
        <v>190</v>
      </c>
      <c r="D130" s="20" t="s">
        <v>262</v>
      </c>
      <c r="E130" s="20" t="s">
        <v>65</v>
      </c>
      <c r="F130" s="21" t="s">
        <v>71</v>
      </c>
      <c r="G130">
        <f t="shared" ref="G130:G193" si="6">VALUE(MID(E130,1,2)+VALUE(MID(E130,4,2))/60)</f>
        <v>8.3333333333333329E-2</v>
      </c>
      <c r="H130" t="str">
        <f>VLOOKUP(F130,'Tipo Parada Forno 04 07'!$A$2:I137,2,FALSE())</f>
        <v>NP</v>
      </c>
      <c r="I130">
        <f t="shared" ref="I130:I193" si="7">IF(H130="P",G130,0)</f>
        <v>0</v>
      </c>
      <c r="J130">
        <f t="shared" ref="J130:J193" si="8">IF(H130="NP",G130,0)</f>
        <v>8.3333333333333329E-2</v>
      </c>
    </row>
    <row r="131" spans="1:10" x14ac:dyDescent="0.3">
      <c r="A131" s="18" t="s">
        <v>62</v>
      </c>
      <c r="B131" s="19">
        <v>45027</v>
      </c>
      <c r="C131" s="20" t="s">
        <v>262</v>
      </c>
      <c r="D131" s="20" t="s">
        <v>263</v>
      </c>
      <c r="E131" s="20" t="s">
        <v>122</v>
      </c>
      <c r="F131" s="21" t="s">
        <v>105</v>
      </c>
      <c r="G131">
        <f t="shared" si="6"/>
        <v>0.25</v>
      </c>
      <c r="H131" t="str">
        <f>VLOOKUP(F131,'Tipo Parada Forno 04 07'!$A$2:I138,2,FALSE())</f>
        <v>NP</v>
      </c>
      <c r="I131">
        <f t="shared" si="7"/>
        <v>0</v>
      </c>
      <c r="J131">
        <f t="shared" si="8"/>
        <v>0.25</v>
      </c>
    </row>
    <row r="132" spans="1:10" x14ac:dyDescent="0.3">
      <c r="A132" s="18" t="s">
        <v>62</v>
      </c>
      <c r="B132" s="19">
        <v>45027</v>
      </c>
      <c r="C132" s="20" t="s">
        <v>263</v>
      </c>
      <c r="D132" s="20" t="s">
        <v>163</v>
      </c>
      <c r="E132" s="20" t="s">
        <v>264</v>
      </c>
      <c r="F132" s="21" t="s">
        <v>89</v>
      </c>
      <c r="G132">
        <f t="shared" si="6"/>
        <v>0.66666666666666663</v>
      </c>
      <c r="H132" t="str">
        <f>VLOOKUP(F132,'Tipo Parada Forno 04 07'!$A$2:I139,2,FALSE())</f>
        <v>NP</v>
      </c>
      <c r="I132">
        <f t="shared" si="7"/>
        <v>0</v>
      </c>
      <c r="J132">
        <f t="shared" si="8"/>
        <v>0.66666666666666663</v>
      </c>
    </row>
    <row r="133" spans="1:10" x14ac:dyDescent="0.3">
      <c r="A133" s="18" t="s">
        <v>62</v>
      </c>
      <c r="B133" s="19">
        <v>45027</v>
      </c>
      <c r="C133" s="20" t="s">
        <v>265</v>
      </c>
      <c r="D133" s="20" t="s">
        <v>266</v>
      </c>
      <c r="E133" s="20" t="s">
        <v>85</v>
      </c>
      <c r="F133" s="21" t="s">
        <v>66</v>
      </c>
      <c r="G133">
        <f t="shared" si="6"/>
        <v>0.1</v>
      </c>
      <c r="H133" t="str">
        <f>VLOOKUP(F133,'Tipo Parada Forno 04 07'!$A$2:I140,2,FALSE())</f>
        <v>NP</v>
      </c>
      <c r="I133">
        <f t="shared" si="7"/>
        <v>0</v>
      </c>
      <c r="J133">
        <f t="shared" si="8"/>
        <v>0.1</v>
      </c>
    </row>
    <row r="134" spans="1:10" x14ac:dyDescent="0.3">
      <c r="A134" s="18" t="s">
        <v>62</v>
      </c>
      <c r="B134" s="19">
        <v>45027</v>
      </c>
      <c r="C134" s="20" t="s">
        <v>267</v>
      </c>
      <c r="D134" s="20" t="s">
        <v>251</v>
      </c>
      <c r="E134" s="20" t="s">
        <v>268</v>
      </c>
      <c r="F134" s="21" t="s">
        <v>253</v>
      </c>
      <c r="G134">
        <f t="shared" si="6"/>
        <v>1.4</v>
      </c>
      <c r="H134" t="str">
        <f>VLOOKUP(F134,'Tipo Parada Forno 04 07'!$A$2:I141,2,FALSE())</f>
        <v>P</v>
      </c>
      <c r="I134">
        <f t="shared" si="7"/>
        <v>1.4</v>
      </c>
      <c r="J134">
        <f t="shared" si="8"/>
        <v>0</v>
      </c>
    </row>
    <row r="135" spans="1:10" x14ac:dyDescent="0.3">
      <c r="A135" s="18" t="s">
        <v>62</v>
      </c>
      <c r="B135" s="19">
        <v>45027</v>
      </c>
      <c r="C135" s="20" t="s">
        <v>251</v>
      </c>
      <c r="D135" s="20" t="s">
        <v>269</v>
      </c>
      <c r="E135" s="20" t="s">
        <v>270</v>
      </c>
      <c r="F135" s="21" t="s">
        <v>253</v>
      </c>
      <c r="G135">
        <f t="shared" si="6"/>
        <v>1.55</v>
      </c>
      <c r="H135" t="str">
        <f>VLOOKUP(F135,'Tipo Parada Forno 04 07'!$A$2:I142,2,FALSE())</f>
        <v>P</v>
      </c>
      <c r="I135">
        <f t="shared" si="7"/>
        <v>1.55</v>
      </c>
      <c r="J135">
        <f t="shared" si="8"/>
        <v>0</v>
      </c>
    </row>
    <row r="136" spans="1:10" x14ac:dyDescent="0.3">
      <c r="A136" s="18" t="s">
        <v>62</v>
      </c>
      <c r="B136" s="19">
        <v>45028</v>
      </c>
      <c r="C136" s="20" t="s">
        <v>271</v>
      </c>
      <c r="D136" s="20" t="s">
        <v>272</v>
      </c>
      <c r="E136" s="20" t="s">
        <v>76</v>
      </c>
      <c r="F136" s="21" t="s">
        <v>69</v>
      </c>
      <c r="G136">
        <f t="shared" si="6"/>
        <v>0.15</v>
      </c>
      <c r="H136" t="str">
        <f>VLOOKUP(F136,'Tipo Parada Forno 04 07'!$A$2:I143,2,FALSE())</f>
        <v>NP</v>
      </c>
      <c r="I136">
        <f t="shared" si="7"/>
        <v>0</v>
      </c>
      <c r="J136">
        <f t="shared" si="8"/>
        <v>0.15</v>
      </c>
    </row>
    <row r="137" spans="1:10" x14ac:dyDescent="0.3">
      <c r="A137" s="18" t="s">
        <v>62</v>
      </c>
      <c r="B137" s="19">
        <v>45028</v>
      </c>
      <c r="C137" s="20" t="s">
        <v>273</v>
      </c>
      <c r="D137" s="20" t="s">
        <v>274</v>
      </c>
      <c r="E137" s="20" t="s">
        <v>65</v>
      </c>
      <c r="F137" s="21" t="s">
        <v>69</v>
      </c>
      <c r="G137">
        <f t="shared" si="6"/>
        <v>8.3333333333333329E-2</v>
      </c>
      <c r="H137" t="str">
        <f>VLOOKUP(F137,'Tipo Parada Forno 04 07'!$A$2:I144,2,FALSE())</f>
        <v>NP</v>
      </c>
      <c r="I137">
        <f t="shared" si="7"/>
        <v>0</v>
      </c>
      <c r="J137">
        <f t="shared" si="8"/>
        <v>8.3333333333333329E-2</v>
      </c>
    </row>
    <row r="138" spans="1:10" x14ac:dyDescent="0.3">
      <c r="A138" s="18" t="s">
        <v>62</v>
      </c>
      <c r="B138" s="19">
        <v>45028</v>
      </c>
      <c r="C138" s="20" t="s">
        <v>274</v>
      </c>
      <c r="D138" s="20" t="s">
        <v>92</v>
      </c>
      <c r="E138" s="20" t="s">
        <v>97</v>
      </c>
      <c r="F138" s="21" t="s">
        <v>71</v>
      </c>
      <c r="G138">
        <f t="shared" si="6"/>
        <v>6.6666666666666666E-2</v>
      </c>
      <c r="H138" t="str">
        <f>VLOOKUP(F138,'Tipo Parada Forno 04 07'!$A$2:I145,2,FALSE())</f>
        <v>NP</v>
      </c>
      <c r="I138">
        <f t="shared" si="7"/>
        <v>0</v>
      </c>
      <c r="J138">
        <f t="shared" si="8"/>
        <v>6.6666666666666666E-2</v>
      </c>
    </row>
    <row r="139" spans="1:10" x14ac:dyDescent="0.3">
      <c r="A139" s="18" t="s">
        <v>62</v>
      </c>
      <c r="B139" s="19">
        <v>45028</v>
      </c>
      <c r="C139" s="20" t="s">
        <v>92</v>
      </c>
      <c r="D139" s="20" t="s">
        <v>93</v>
      </c>
      <c r="E139" s="20" t="s">
        <v>65</v>
      </c>
      <c r="F139" s="21" t="s">
        <v>66</v>
      </c>
      <c r="G139">
        <f t="shared" si="6"/>
        <v>8.3333333333333329E-2</v>
      </c>
      <c r="H139" t="str">
        <f>VLOOKUP(F139,'Tipo Parada Forno 04 07'!$A$2:I146,2,FALSE())</f>
        <v>NP</v>
      </c>
      <c r="I139">
        <f t="shared" si="7"/>
        <v>0</v>
      </c>
      <c r="J139">
        <f t="shared" si="8"/>
        <v>8.3333333333333329E-2</v>
      </c>
    </row>
    <row r="140" spans="1:10" x14ac:dyDescent="0.3">
      <c r="A140" s="18" t="s">
        <v>62</v>
      </c>
      <c r="B140" s="19">
        <v>45028</v>
      </c>
      <c r="C140" s="20" t="s">
        <v>93</v>
      </c>
      <c r="D140" s="20" t="s">
        <v>275</v>
      </c>
      <c r="E140" s="20" t="s">
        <v>110</v>
      </c>
      <c r="F140" s="21" t="s">
        <v>74</v>
      </c>
      <c r="G140">
        <f t="shared" si="6"/>
        <v>0.23333333333333334</v>
      </c>
      <c r="H140" t="str">
        <f>VLOOKUP(F140,'Tipo Parada Forno 04 07'!$A$2:I147,2,FALSE())</f>
        <v>NP</v>
      </c>
      <c r="I140">
        <f t="shared" si="7"/>
        <v>0</v>
      </c>
      <c r="J140">
        <f t="shared" si="8"/>
        <v>0.23333333333333334</v>
      </c>
    </row>
    <row r="141" spans="1:10" x14ac:dyDescent="0.3">
      <c r="A141" s="18" t="s">
        <v>62</v>
      </c>
      <c r="B141" s="19">
        <v>45028</v>
      </c>
      <c r="C141" s="20" t="s">
        <v>276</v>
      </c>
      <c r="D141" s="20" t="s">
        <v>277</v>
      </c>
      <c r="E141" s="20" t="s">
        <v>65</v>
      </c>
      <c r="F141" s="21" t="s">
        <v>69</v>
      </c>
      <c r="G141">
        <f t="shared" si="6"/>
        <v>8.3333333333333329E-2</v>
      </c>
      <c r="H141" t="str">
        <f>VLOOKUP(F141,'Tipo Parada Forno 04 07'!$A$2:I148,2,FALSE())</f>
        <v>NP</v>
      </c>
      <c r="I141">
        <f t="shared" si="7"/>
        <v>0</v>
      </c>
      <c r="J141">
        <f t="shared" si="8"/>
        <v>8.3333333333333329E-2</v>
      </c>
    </row>
    <row r="142" spans="1:10" x14ac:dyDescent="0.3">
      <c r="A142" s="18" t="s">
        <v>62</v>
      </c>
      <c r="B142" s="19">
        <v>45028</v>
      </c>
      <c r="C142" s="20" t="s">
        <v>277</v>
      </c>
      <c r="D142" s="20" t="s">
        <v>278</v>
      </c>
      <c r="E142" s="20" t="s">
        <v>97</v>
      </c>
      <c r="F142" s="21" t="s">
        <v>71</v>
      </c>
      <c r="G142">
        <f t="shared" si="6"/>
        <v>6.6666666666666666E-2</v>
      </c>
      <c r="H142" t="str">
        <f>VLOOKUP(F142,'Tipo Parada Forno 04 07'!$A$2:I149,2,FALSE())</f>
        <v>NP</v>
      </c>
      <c r="I142">
        <f t="shared" si="7"/>
        <v>0</v>
      </c>
      <c r="J142">
        <f t="shared" si="8"/>
        <v>6.6666666666666666E-2</v>
      </c>
    </row>
    <row r="143" spans="1:10" x14ac:dyDescent="0.3">
      <c r="A143" s="18" t="s">
        <v>62</v>
      </c>
      <c r="B143" s="19">
        <v>45028</v>
      </c>
      <c r="C143" s="20" t="s">
        <v>278</v>
      </c>
      <c r="D143" s="20" t="s">
        <v>279</v>
      </c>
      <c r="E143" s="20" t="s">
        <v>87</v>
      </c>
      <c r="F143" s="21" t="s">
        <v>105</v>
      </c>
      <c r="G143">
        <f t="shared" si="6"/>
        <v>0.33333333333333331</v>
      </c>
      <c r="H143" t="str">
        <f>VLOOKUP(F143,'Tipo Parada Forno 04 07'!$A$2:I150,2,FALSE())</f>
        <v>NP</v>
      </c>
      <c r="I143">
        <f t="shared" si="7"/>
        <v>0</v>
      </c>
      <c r="J143">
        <f t="shared" si="8"/>
        <v>0.33333333333333331</v>
      </c>
    </row>
    <row r="144" spans="1:10" x14ac:dyDescent="0.3">
      <c r="A144" s="18" t="s">
        <v>62</v>
      </c>
      <c r="B144" s="19">
        <v>45028</v>
      </c>
      <c r="C144" s="20" t="s">
        <v>279</v>
      </c>
      <c r="D144" s="20" t="s">
        <v>280</v>
      </c>
      <c r="E144" s="20" t="s">
        <v>65</v>
      </c>
      <c r="F144" s="21" t="s">
        <v>89</v>
      </c>
      <c r="G144">
        <f t="shared" si="6"/>
        <v>8.3333333333333329E-2</v>
      </c>
      <c r="H144" t="str">
        <f>VLOOKUP(F144,'Tipo Parada Forno 04 07'!$A$2:I151,2,FALSE())</f>
        <v>NP</v>
      </c>
      <c r="I144">
        <f t="shared" si="7"/>
        <v>0</v>
      </c>
      <c r="J144">
        <f t="shared" si="8"/>
        <v>8.3333333333333329E-2</v>
      </c>
    </row>
    <row r="145" spans="1:10" x14ac:dyDescent="0.3">
      <c r="A145" s="18" t="s">
        <v>62</v>
      </c>
      <c r="B145" s="19">
        <v>45028</v>
      </c>
      <c r="C145" s="20" t="s">
        <v>281</v>
      </c>
      <c r="D145" s="20" t="s">
        <v>282</v>
      </c>
      <c r="E145" s="20" t="s">
        <v>221</v>
      </c>
      <c r="F145" s="21" t="s">
        <v>74</v>
      </c>
      <c r="G145">
        <f t="shared" si="6"/>
        <v>0.11666666666666667</v>
      </c>
      <c r="H145" t="str">
        <f>VLOOKUP(F145,'Tipo Parada Forno 04 07'!$A$2:I152,2,FALSE())</f>
        <v>NP</v>
      </c>
      <c r="I145">
        <f t="shared" si="7"/>
        <v>0</v>
      </c>
      <c r="J145">
        <f t="shared" si="8"/>
        <v>0.11666666666666667</v>
      </c>
    </row>
    <row r="146" spans="1:10" x14ac:dyDescent="0.3">
      <c r="A146" s="18" t="s">
        <v>62</v>
      </c>
      <c r="B146" s="19">
        <v>45028</v>
      </c>
      <c r="C146" s="20" t="s">
        <v>283</v>
      </c>
      <c r="D146" s="20" t="s">
        <v>284</v>
      </c>
      <c r="E146" s="20" t="s">
        <v>285</v>
      </c>
      <c r="F146" s="21" t="s">
        <v>253</v>
      </c>
      <c r="G146">
        <f t="shared" si="6"/>
        <v>3.5333333333333332</v>
      </c>
      <c r="H146" t="str">
        <f>VLOOKUP(F146,'Tipo Parada Forno 04 07'!$A$2:I153,2,FALSE())</f>
        <v>P</v>
      </c>
      <c r="I146">
        <f t="shared" si="7"/>
        <v>3.5333333333333332</v>
      </c>
      <c r="J146">
        <f t="shared" si="8"/>
        <v>0</v>
      </c>
    </row>
    <row r="147" spans="1:10" x14ac:dyDescent="0.3">
      <c r="A147" s="18" t="s">
        <v>62</v>
      </c>
      <c r="B147" s="19">
        <v>45028</v>
      </c>
      <c r="C147" s="20" t="s">
        <v>286</v>
      </c>
      <c r="D147" s="20" t="s">
        <v>284</v>
      </c>
      <c r="E147" s="20" t="s">
        <v>287</v>
      </c>
      <c r="F147" s="21" t="s">
        <v>253</v>
      </c>
      <c r="G147">
        <f t="shared" si="6"/>
        <v>3.7</v>
      </c>
      <c r="H147" t="str">
        <f>VLOOKUP(F147,'Tipo Parada Forno 04 07'!$A$2:I154,2,FALSE())</f>
        <v>P</v>
      </c>
      <c r="I147">
        <f t="shared" si="7"/>
        <v>3.7</v>
      </c>
      <c r="J147">
        <f t="shared" si="8"/>
        <v>0</v>
      </c>
    </row>
    <row r="148" spans="1:10" x14ac:dyDescent="0.3">
      <c r="A148" s="18" t="s">
        <v>62</v>
      </c>
      <c r="B148" s="19">
        <v>45029</v>
      </c>
      <c r="C148" s="20" t="s">
        <v>288</v>
      </c>
      <c r="D148" s="20" t="s">
        <v>289</v>
      </c>
      <c r="E148" s="20" t="s">
        <v>65</v>
      </c>
      <c r="F148" s="21" t="s">
        <v>69</v>
      </c>
      <c r="G148">
        <f t="shared" si="6"/>
        <v>8.3333333333333329E-2</v>
      </c>
      <c r="H148" t="str">
        <f>VLOOKUP(F148,'Tipo Parada Forno 04 07'!$A$2:I155,2,FALSE())</f>
        <v>NP</v>
      </c>
      <c r="I148">
        <f t="shared" si="7"/>
        <v>0</v>
      </c>
      <c r="J148">
        <f t="shared" si="8"/>
        <v>8.3333333333333329E-2</v>
      </c>
    </row>
    <row r="149" spans="1:10" x14ac:dyDescent="0.3">
      <c r="A149" s="18" t="s">
        <v>62</v>
      </c>
      <c r="B149" s="19">
        <v>45029</v>
      </c>
      <c r="C149" s="20" t="s">
        <v>289</v>
      </c>
      <c r="D149" s="20" t="s">
        <v>290</v>
      </c>
      <c r="E149" s="20" t="s">
        <v>65</v>
      </c>
      <c r="F149" s="21" t="s">
        <v>71</v>
      </c>
      <c r="G149">
        <f t="shared" si="6"/>
        <v>8.3333333333333329E-2</v>
      </c>
      <c r="H149" t="str">
        <f>VLOOKUP(F149,'Tipo Parada Forno 04 07'!$A$2:I156,2,FALSE())</f>
        <v>NP</v>
      </c>
      <c r="I149">
        <f t="shared" si="7"/>
        <v>0</v>
      </c>
      <c r="J149">
        <f t="shared" si="8"/>
        <v>8.3333333333333329E-2</v>
      </c>
    </row>
    <row r="150" spans="1:10" x14ac:dyDescent="0.3">
      <c r="A150" s="18" t="s">
        <v>62</v>
      </c>
      <c r="B150" s="19">
        <v>45029</v>
      </c>
      <c r="C150" s="20" t="s">
        <v>290</v>
      </c>
      <c r="D150" s="20" t="s">
        <v>291</v>
      </c>
      <c r="E150" s="20" t="s">
        <v>292</v>
      </c>
      <c r="F150" s="21" t="s">
        <v>74</v>
      </c>
      <c r="G150">
        <f t="shared" si="6"/>
        <v>0.18333333333333332</v>
      </c>
      <c r="H150" t="str">
        <f>VLOOKUP(F150,'Tipo Parada Forno 04 07'!$A$2:I157,2,FALSE())</f>
        <v>NP</v>
      </c>
      <c r="I150">
        <f t="shared" si="7"/>
        <v>0</v>
      </c>
      <c r="J150">
        <f t="shared" si="8"/>
        <v>0.18333333333333332</v>
      </c>
    </row>
    <row r="151" spans="1:10" x14ac:dyDescent="0.3">
      <c r="A151" s="18" t="s">
        <v>62</v>
      </c>
      <c r="B151" s="19">
        <v>45029</v>
      </c>
      <c r="C151" s="20" t="s">
        <v>163</v>
      </c>
      <c r="D151" s="20" t="s">
        <v>164</v>
      </c>
      <c r="E151" s="20" t="s">
        <v>65</v>
      </c>
      <c r="F151" s="21" t="s">
        <v>69</v>
      </c>
      <c r="G151">
        <f t="shared" si="6"/>
        <v>8.3333333333333329E-2</v>
      </c>
      <c r="H151" t="str">
        <f>VLOOKUP(F151,'Tipo Parada Forno 04 07'!$A$2:I158,2,FALSE())</f>
        <v>NP</v>
      </c>
      <c r="I151">
        <f t="shared" si="7"/>
        <v>0</v>
      </c>
      <c r="J151">
        <f t="shared" si="8"/>
        <v>8.3333333333333329E-2</v>
      </c>
    </row>
    <row r="152" spans="1:10" x14ac:dyDescent="0.3">
      <c r="A152" s="18" t="s">
        <v>62</v>
      </c>
      <c r="B152" s="19">
        <v>45029</v>
      </c>
      <c r="C152" s="20" t="s">
        <v>164</v>
      </c>
      <c r="D152" s="20" t="s">
        <v>293</v>
      </c>
      <c r="E152" s="20" t="s">
        <v>80</v>
      </c>
      <c r="F152" s="21" t="s">
        <v>71</v>
      </c>
      <c r="G152">
        <f t="shared" si="6"/>
        <v>0.05</v>
      </c>
      <c r="H152" t="str">
        <f>VLOOKUP(F152,'Tipo Parada Forno 04 07'!$A$2:I159,2,FALSE())</f>
        <v>NP</v>
      </c>
      <c r="I152">
        <f t="shared" si="7"/>
        <v>0</v>
      </c>
      <c r="J152">
        <f t="shared" si="8"/>
        <v>0.05</v>
      </c>
    </row>
    <row r="153" spans="1:10" x14ac:dyDescent="0.3">
      <c r="A153" s="18" t="s">
        <v>62</v>
      </c>
      <c r="B153" s="19">
        <v>45029</v>
      </c>
      <c r="C153" s="20" t="s">
        <v>293</v>
      </c>
      <c r="D153" s="20" t="s">
        <v>294</v>
      </c>
      <c r="E153" s="20" t="s">
        <v>87</v>
      </c>
      <c r="F153" s="21" t="s">
        <v>105</v>
      </c>
      <c r="G153">
        <f t="shared" si="6"/>
        <v>0.33333333333333331</v>
      </c>
      <c r="H153" t="str">
        <f>VLOOKUP(F153,'Tipo Parada Forno 04 07'!$A$2:I160,2,FALSE())</f>
        <v>NP</v>
      </c>
      <c r="I153">
        <f t="shared" si="7"/>
        <v>0</v>
      </c>
      <c r="J153">
        <f t="shared" si="8"/>
        <v>0.33333333333333331</v>
      </c>
    </row>
    <row r="154" spans="1:10" x14ac:dyDescent="0.3">
      <c r="A154" s="18" t="s">
        <v>62</v>
      </c>
      <c r="B154" s="19">
        <v>45029</v>
      </c>
      <c r="C154" s="20" t="s">
        <v>295</v>
      </c>
      <c r="D154" s="20" t="s">
        <v>229</v>
      </c>
      <c r="E154" s="20" t="s">
        <v>149</v>
      </c>
      <c r="F154" s="21" t="s">
        <v>169</v>
      </c>
      <c r="G154">
        <f t="shared" si="6"/>
        <v>0.26666666666666666</v>
      </c>
      <c r="H154" t="str">
        <f>VLOOKUP(F154,'Tipo Parada Forno 04 07'!$A$2:I161,2,FALSE())</f>
        <v>NP</v>
      </c>
      <c r="I154">
        <f t="shared" si="7"/>
        <v>0</v>
      </c>
      <c r="J154">
        <f t="shared" si="8"/>
        <v>0.26666666666666666</v>
      </c>
    </row>
    <row r="155" spans="1:10" x14ac:dyDescent="0.3">
      <c r="A155" s="18" t="s">
        <v>62</v>
      </c>
      <c r="B155" s="19">
        <v>45029</v>
      </c>
      <c r="C155" s="20" t="s">
        <v>216</v>
      </c>
      <c r="D155" s="20" t="s">
        <v>217</v>
      </c>
      <c r="E155" s="20" t="s">
        <v>87</v>
      </c>
      <c r="F155" s="21" t="s">
        <v>74</v>
      </c>
      <c r="G155">
        <f t="shared" si="6"/>
        <v>0.33333333333333331</v>
      </c>
      <c r="H155" t="str">
        <f>VLOOKUP(F155,'Tipo Parada Forno 04 07'!$A$2:I162,2,FALSE())</f>
        <v>NP</v>
      </c>
      <c r="I155">
        <f t="shared" si="7"/>
        <v>0</v>
      </c>
      <c r="J155">
        <f t="shared" si="8"/>
        <v>0.33333333333333331</v>
      </c>
    </row>
    <row r="156" spans="1:10" x14ac:dyDescent="0.3">
      <c r="A156" s="18" t="s">
        <v>62</v>
      </c>
      <c r="B156" s="19">
        <v>45030</v>
      </c>
      <c r="C156" s="20" t="s">
        <v>296</v>
      </c>
      <c r="D156" s="20" t="s">
        <v>297</v>
      </c>
      <c r="E156" s="20" t="s">
        <v>85</v>
      </c>
      <c r="F156" s="21" t="s">
        <v>69</v>
      </c>
      <c r="G156">
        <f t="shared" si="6"/>
        <v>0.1</v>
      </c>
      <c r="H156" t="str">
        <f>VLOOKUP(F156,'Tipo Parada Forno 04 07'!$A$2:I163,2,FALSE())</f>
        <v>NP</v>
      </c>
      <c r="I156">
        <f t="shared" si="7"/>
        <v>0</v>
      </c>
      <c r="J156">
        <f t="shared" si="8"/>
        <v>0.1</v>
      </c>
    </row>
    <row r="157" spans="1:10" x14ac:dyDescent="0.3">
      <c r="A157" s="18" t="s">
        <v>62</v>
      </c>
      <c r="B157" s="19">
        <v>45030</v>
      </c>
      <c r="C157" s="20" t="s">
        <v>297</v>
      </c>
      <c r="D157" s="20" t="s">
        <v>298</v>
      </c>
      <c r="E157" s="20" t="s">
        <v>65</v>
      </c>
      <c r="F157" s="21" t="s">
        <v>71</v>
      </c>
      <c r="G157">
        <f t="shared" si="6"/>
        <v>8.3333333333333329E-2</v>
      </c>
      <c r="H157" t="str">
        <f>VLOOKUP(F157,'Tipo Parada Forno 04 07'!$A$2:I164,2,FALSE())</f>
        <v>NP</v>
      </c>
      <c r="I157">
        <f t="shared" si="7"/>
        <v>0</v>
      </c>
      <c r="J157">
        <f t="shared" si="8"/>
        <v>8.3333333333333329E-2</v>
      </c>
    </row>
    <row r="158" spans="1:10" x14ac:dyDescent="0.3">
      <c r="A158" s="18" t="s">
        <v>62</v>
      </c>
      <c r="B158" s="19">
        <v>45030</v>
      </c>
      <c r="C158" s="20" t="s">
        <v>298</v>
      </c>
      <c r="D158" s="20" t="s">
        <v>232</v>
      </c>
      <c r="E158" s="20" t="s">
        <v>299</v>
      </c>
      <c r="F158" s="21" t="s">
        <v>105</v>
      </c>
      <c r="G158">
        <f t="shared" si="6"/>
        <v>0.36666666666666664</v>
      </c>
      <c r="H158" t="str">
        <f>VLOOKUP(F158,'Tipo Parada Forno 04 07'!$A$2:I165,2,FALSE())</f>
        <v>NP</v>
      </c>
      <c r="I158">
        <f t="shared" si="7"/>
        <v>0</v>
      </c>
      <c r="J158">
        <f t="shared" si="8"/>
        <v>0.36666666666666664</v>
      </c>
    </row>
    <row r="159" spans="1:10" x14ac:dyDescent="0.3">
      <c r="A159" s="18" t="s">
        <v>62</v>
      </c>
      <c r="B159" s="19">
        <v>45030</v>
      </c>
      <c r="C159" s="20" t="s">
        <v>300</v>
      </c>
      <c r="D159" s="20" t="s">
        <v>301</v>
      </c>
      <c r="E159" s="20" t="s">
        <v>65</v>
      </c>
      <c r="F159" s="21" t="s">
        <v>74</v>
      </c>
      <c r="G159">
        <f t="shared" si="6"/>
        <v>8.3333333333333329E-2</v>
      </c>
      <c r="H159" t="str">
        <f>VLOOKUP(F159,'Tipo Parada Forno 04 07'!$A$2:I166,2,FALSE())</f>
        <v>NP</v>
      </c>
      <c r="I159">
        <f t="shared" si="7"/>
        <v>0</v>
      </c>
      <c r="J159">
        <f t="shared" si="8"/>
        <v>8.3333333333333329E-2</v>
      </c>
    </row>
    <row r="160" spans="1:10" x14ac:dyDescent="0.3">
      <c r="A160" s="18" t="s">
        <v>62</v>
      </c>
      <c r="B160" s="19">
        <v>45030</v>
      </c>
      <c r="C160" s="20" t="s">
        <v>250</v>
      </c>
      <c r="D160" s="20" t="s">
        <v>302</v>
      </c>
      <c r="E160" s="20" t="s">
        <v>303</v>
      </c>
      <c r="F160" s="21" t="s">
        <v>74</v>
      </c>
      <c r="G160">
        <f t="shared" si="6"/>
        <v>0.35</v>
      </c>
      <c r="H160" t="str">
        <f>VLOOKUP(F160,'Tipo Parada Forno 04 07'!$A$2:I167,2,FALSE())</f>
        <v>NP</v>
      </c>
      <c r="I160">
        <f t="shared" si="7"/>
        <v>0</v>
      </c>
      <c r="J160">
        <f t="shared" si="8"/>
        <v>0.35</v>
      </c>
    </row>
    <row r="161" spans="1:10" x14ac:dyDescent="0.3">
      <c r="A161" s="18" t="s">
        <v>62</v>
      </c>
      <c r="B161" s="19">
        <v>45030</v>
      </c>
      <c r="C161" s="20" t="s">
        <v>304</v>
      </c>
      <c r="D161" s="20" t="s">
        <v>305</v>
      </c>
      <c r="E161" s="20" t="s">
        <v>113</v>
      </c>
      <c r="F161" s="21" t="s">
        <v>105</v>
      </c>
      <c r="G161">
        <f t="shared" si="6"/>
        <v>0.58333333333333337</v>
      </c>
      <c r="H161" t="str">
        <f>VLOOKUP(F161,'Tipo Parada Forno 04 07'!$A$2:I168,2,FALSE())</f>
        <v>NP</v>
      </c>
      <c r="I161">
        <f t="shared" si="7"/>
        <v>0</v>
      </c>
      <c r="J161">
        <f t="shared" si="8"/>
        <v>0.58333333333333337</v>
      </c>
    </row>
    <row r="162" spans="1:10" x14ac:dyDescent="0.3">
      <c r="A162" s="18" t="s">
        <v>62</v>
      </c>
      <c r="B162" s="19">
        <v>45031</v>
      </c>
      <c r="C162" s="20" t="s">
        <v>306</v>
      </c>
      <c r="D162" s="20" t="s">
        <v>224</v>
      </c>
      <c r="E162" s="20" t="s">
        <v>87</v>
      </c>
      <c r="F162" s="21" t="s">
        <v>74</v>
      </c>
      <c r="G162">
        <f t="shared" si="6"/>
        <v>0.33333333333333331</v>
      </c>
      <c r="H162" t="str">
        <f>VLOOKUP(F162,'Tipo Parada Forno 04 07'!$A$2:I169,2,FALSE())</f>
        <v>NP</v>
      </c>
      <c r="I162">
        <f t="shared" si="7"/>
        <v>0</v>
      </c>
      <c r="J162">
        <f t="shared" si="8"/>
        <v>0.33333333333333331</v>
      </c>
    </row>
    <row r="163" spans="1:10" x14ac:dyDescent="0.3">
      <c r="A163" s="18" t="s">
        <v>62</v>
      </c>
      <c r="B163" s="19">
        <v>45031</v>
      </c>
      <c r="C163" s="20" t="s">
        <v>307</v>
      </c>
      <c r="D163" s="20" t="s">
        <v>75</v>
      </c>
      <c r="E163" s="20" t="s">
        <v>303</v>
      </c>
      <c r="F163" s="21" t="s">
        <v>74</v>
      </c>
      <c r="G163">
        <f t="shared" si="6"/>
        <v>0.35</v>
      </c>
      <c r="H163" t="str">
        <f>VLOOKUP(F163,'Tipo Parada Forno 04 07'!$A$2:I170,2,FALSE())</f>
        <v>NP</v>
      </c>
      <c r="I163">
        <f t="shared" si="7"/>
        <v>0</v>
      </c>
      <c r="J163">
        <f t="shared" si="8"/>
        <v>0.35</v>
      </c>
    </row>
    <row r="164" spans="1:10" x14ac:dyDescent="0.3">
      <c r="A164" s="18" t="s">
        <v>62</v>
      </c>
      <c r="B164" s="19">
        <v>45031</v>
      </c>
      <c r="C164" s="20" t="s">
        <v>308</v>
      </c>
      <c r="D164" s="20" t="s">
        <v>309</v>
      </c>
      <c r="E164" s="20" t="s">
        <v>65</v>
      </c>
      <c r="F164" s="21" t="s">
        <v>69</v>
      </c>
      <c r="G164">
        <f t="shared" si="6"/>
        <v>8.3333333333333329E-2</v>
      </c>
      <c r="H164" t="str">
        <f>VLOOKUP(F164,'Tipo Parada Forno 04 07'!$A$2:I171,2,FALSE())</f>
        <v>NP</v>
      </c>
      <c r="I164">
        <f t="shared" si="7"/>
        <v>0</v>
      </c>
      <c r="J164">
        <f t="shared" si="8"/>
        <v>8.3333333333333329E-2</v>
      </c>
    </row>
    <row r="165" spans="1:10" x14ac:dyDescent="0.3">
      <c r="A165" s="18" t="s">
        <v>62</v>
      </c>
      <c r="B165" s="19">
        <v>45031</v>
      </c>
      <c r="C165" s="20" t="s">
        <v>309</v>
      </c>
      <c r="D165" s="20" t="s">
        <v>310</v>
      </c>
      <c r="E165" s="20" t="s">
        <v>80</v>
      </c>
      <c r="F165" s="21" t="s">
        <v>71</v>
      </c>
      <c r="G165">
        <f t="shared" si="6"/>
        <v>0.05</v>
      </c>
      <c r="H165" t="str">
        <f>VLOOKUP(F165,'Tipo Parada Forno 04 07'!$A$2:I172,2,FALSE())</f>
        <v>NP</v>
      </c>
      <c r="I165">
        <f t="shared" si="7"/>
        <v>0</v>
      </c>
      <c r="J165">
        <f t="shared" si="8"/>
        <v>0.05</v>
      </c>
    </row>
    <row r="166" spans="1:10" x14ac:dyDescent="0.3">
      <c r="A166" s="18" t="s">
        <v>62</v>
      </c>
      <c r="B166" s="19">
        <v>45031</v>
      </c>
      <c r="C166" s="20" t="s">
        <v>310</v>
      </c>
      <c r="D166" s="20" t="s">
        <v>311</v>
      </c>
      <c r="E166" s="20" t="s">
        <v>122</v>
      </c>
      <c r="F166" s="21" t="s">
        <v>66</v>
      </c>
      <c r="G166">
        <f t="shared" si="6"/>
        <v>0.25</v>
      </c>
      <c r="H166" t="str">
        <f>VLOOKUP(F166,'Tipo Parada Forno 04 07'!$A$2:I173,2,FALSE())</f>
        <v>NP</v>
      </c>
      <c r="I166">
        <f t="shared" si="7"/>
        <v>0</v>
      </c>
      <c r="J166">
        <f t="shared" si="8"/>
        <v>0.25</v>
      </c>
    </row>
    <row r="167" spans="1:10" x14ac:dyDescent="0.3">
      <c r="A167" s="18" t="s">
        <v>62</v>
      </c>
      <c r="B167" s="19">
        <v>45031</v>
      </c>
      <c r="C167" s="20" t="s">
        <v>311</v>
      </c>
      <c r="D167" s="20" t="s">
        <v>189</v>
      </c>
      <c r="E167" s="20" t="s">
        <v>122</v>
      </c>
      <c r="F167" s="21" t="s">
        <v>105</v>
      </c>
      <c r="G167">
        <f t="shared" si="6"/>
        <v>0.25</v>
      </c>
      <c r="H167" t="str">
        <f>VLOOKUP(F167,'Tipo Parada Forno 04 07'!$A$2:I174,2,FALSE())</f>
        <v>NP</v>
      </c>
      <c r="I167">
        <f t="shared" si="7"/>
        <v>0</v>
      </c>
      <c r="J167">
        <f t="shared" si="8"/>
        <v>0.25</v>
      </c>
    </row>
    <row r="168" spans="1:10" x14ac:dyDescent="0.3">
      <c r="A168" s="18" t="s">
        <v>62</v>
      </c>
      <c r="B168" s="19">
        <v>45031</v>
      </c>
      <c r="C168" s="20" t="s">
        <v>189</v>
      </c>
      <c r="D168" s="20" t="s">
        <v>312</v>
      </c>
      <c r="E168" s="20" t="s">
        <v>129</v>
      </c>
      <c r="F168" s="21" t="s">
        <v>150</v>
      </c>
      <c r="G168">
        <f t="shared" si="6"/>
        <v>0.65</v>
      </c>
      <c r="H168" t="str">
        <f>VLOOKUP(F168,'Tipo Parada Forno 04 07'!$A$2:I175,2,FALSE())</f>
        <v>NP</v>
      </c>
      <c r="I168">
        <f t="shared" si="7"/>
        <v>0</v>
      </c>
      <c r="J168">
        <f t="shared" si="8"/>
        <v>0.65</v>
      </c>
    </row>
    <row r="169" spans="1:10" x14ac:dyDescent="0.3">
      <c r="A169" s="18" t="s">
        <v>62</v>
      </c>
      <c r="B169" s="19">
        <v>45031</v>
      </c>
      <c r="C169" s="20" t="s">
        <v>174</v>
      </c>
      <c r="D169" s="20" t="s">
        <v>313</v>
      </c>
      <c r="E169" s="20" t="s">
        <v>65</v>
      </c>
      <c r="F169" s="21" t="s">
        <v>69</v>
      </c>
      <c r="G169">
        <f t="shared" si="6"/>
        <v>8.3333333333333329E-2</v>
      </c>
      <c r="H169" t="str">
        <f>VLOOKUP(F169,'Tipo Parada Forno 04 07'!$A$2:I176,2,FALSE())</f>
        <v>NP</v>
      </c>
      <c r="I169">
        <f t="shared" si="7"/>
        <v>0</v>
      </c>
      <c r="J169">
        <f t="shared" si="8"/>
        <v>8.3333333333333329E-2</v>
      </c>
    </row>
    <row r="170" spans="1:10" x14ac:dyDescent="0.3">
      <c r="A170" s="18" t="s">
        <v>62</v>
      </c>
      <c r="B170" s="19">
        <v>45031</v>
      </c>
      <c r="C170" s="20" t="s">
        <v>313</v>
      </c>
      <c r="D170" s="20" t="s">
        <v>314</v>
      </c>
      <c r="E170" s="20" t="s">
        <v>65</v>
      </c>
      <c r="F170" s="21" t="s">
        <v>71</v>
      </c>
      <c r="G170">
        <f t="shared" si="6"/>
        <v>8.3333333333333329E-2</v>
      </c>
      <c r="H170" t="str">
        <f>VLOOKUP(F170,'Tipo Parada Forno 04 07'!$A$2:I177,2,FALSE())</f>
        <v>NP</v>
      </c>
      <c r="I170">
        <f t="shared" si="7"/>
        <v>0</v>
      </c>
      <c r="J170">
        <f t="shared" si="8"/>
        <v>8.3333333333333329E-2</v>
      </c>
    </row>
    <row r="171" spans="1:10" x14ac:dyDescent="0.3">
      <c r="A171" s="18" t="s">
        <v>62</v>
      </c>
      <c r="B171" s="19">
        <v>45031</v>
      </c>
      <c r="C171" s="20" t="s">
        <v>314</v>
      </c>
      <c r="D171" s="20" t="s">
        <v>315</v>
      </c>
      <c r="E171" s="20" t="s">
        <v>73</v>
      </c>
      <c r="F171" s="21" t="s">
        <v>74</v>
      </c>
      <c r="G171">
        <f t="shared" si="6"/>
        <v>0.16666666666666666</v>
      </c>
      <c r="H171" t="str">
        <f>VLOOKUP(F171,'Tipo Parada Forno 04 07'!$A$2:I178,2,FALSE())</f>
        <v>NP</v>
      </c>
      <c r="I171">
        <f t="shared" si="7"/>
        <v>0</v>
      </c>
      <c r="J171">
        <f t="shared" si="8"/>
        <v>0.16666666666666666</v>
      </c>
    </row>
    <row r="172" spans="1:10" x14ac:dyDescent="0.3">
      <c r="A172" s="18" t="s">
        <v>62</v>
      </c>
      <c r="B172" s="19">
        <v>45031</v>
      </c>
      <c r="C172" s="20" t="s">
        <v>148</v>
      </c>
      <c r="D172" s="20" t="s">
        <v>161</v>
      </c>
      <c r="E172" s="20" t="s">
        <v>65</v>
      </c>
      <c r="F172" s="21" t="s">
        <v>69</v>
      </c>
      <c r="G172">
        <f t="shared" si="6"/>
        <v>8.3333333333333329E-2</v>
      </c>
      <c r="H172" t="str">
        <f>VLOOKUP(F172,'Tipo Parada Forno 04 07'!$A$2:I179,2,FALSE())</f>
        <v>NP</v>
      </c>
      <c r="I172">
        <f t="shared" si="7"/>
        <v>0</v>
      </c>
      <c r="J172">
        <f t="shared" si="8"/>
        <v>8.3333333333333329E-2</v>
      </c>
    </row>
    <row r="173" spans="1:10" x14ac:dyDescent="0.3">
      <c r="A173" s="18" t="s">
        <v>62</v>
      </c>
      <c r="B173" s="19">
        <v>45031</v>
      </c>
      <c r="C173" s="20" t="s">
        <v>161</v>
      </c>
      <c r="D173" s="20" t="s">
        <v>304</v>
      </c>
      <c r="E173" s="20" t="s">
        <v>65</v>
      </c>
      <c r="F173" s="21" t="s">
        <v>71</v>
      </c>
      <c r="G173">
        <f t="shared" si="6"/>
        <v>8.3333333333333329E-2</v>
      </c>
      <c r="H173" t="str">
        <f>VLOOKUP(F173,'Tipo Parada Forno 04 07'!$A$2:I180,2,FALSE())</f>
        <v>NP</v>
      </c>
      <c r="I173">
        <f t="shared" si="7"/>
        <v>0</v>
      </c>
      <c r="J173">
        <f t="shared" si="8"/>
        <v>8.3333333333333329E-2</v>
      </c>
    </row>
    <row r="174" spans="1:10" x14ac:dyDescent="0.3">
      <c r="A174" s="18" t="s">
        <v>62</v>
      </c>
      <c r="B174" s="19">
        <v>45031</v>
      </c>
      <c r="C174" s="20" t="s">
        <v>304</v>
      </c>
      <c r="D174" s="20" t="s">
        <v>316</v>
      </c>
      <c r="E174" s="20" t="s">
        <v>317</v>
      </c>
      <c r="F174" s="21" t="s">
        <v>105</v>
      </c>
      <c r="G174">
        <f t="shared" si="6"/>
        <v>0.46666666666666667</v>
      </c>
      <c r="H174" t="str">
        <f>VLOOKUP(F174,'Tipo Parada Forno 04 07'!$A$2:I181,2,FALSE())</f>
        <v>NP</v>
      </c>
      <c r="I174">
        <f t="shared" si="7"/>
        <v>0</v>
      </c>
      <c r="J174">
        <f t="shared" si="8"/>
        <v>0.46666666666666667</v>
      </c>
    </row>
    <row r="175" spans="1:10" x14ac:dyDescent="0.3">
      <c r="A175" s="18" t="s">
        <v>62</v>
      </c>
      <c r="B175" s="19">
        <v>45032</v>
      </c>
      <c r="C175" s="20" t="s">
        <v>318</v>
      </c>
      <c r="D175" s="20" t="s">
        <v>319</v>
      </c>
      <c r="E175" s="20" t="s">
        <v>149</v>
      </c>
      <c r="F175" s="21" t="s">
        <v>74</v>
      </c>
      <c r="G175">
        <f t="shared" si="6"/>
        <v>0.26666666666666666</v>
      </c>
      <c r="H175" t="str">
        <f>VLOOKUP(F175,'Tipo Parada Forno 04 07'!$A$2:I182,2,FALSE())</f>
        <v>NP</v>
      </c>
      <c r="I175">
        <f t="shared" si="7"/>
        <v>0</v>
      </c>
      <c r="J175">
        <f t="shared" si="8"/>
        <v>0.26666666666666666</v>
      </c>
    </row>
    <row r="176" spans="1:10" x14ac:dyDescent="0.3">
      <c r="A176" s="18" t="s">
        <v>62</v>
      </c>
      <c r="B176" s="19">
        <v>45032</v>
      </c>
      <c r="C176" s="20" t="s">
        <v>320</v>
      </c>
      <c r="D176" s="20" t="s">
        <v>321</v>
      </c>
      <c r="E176" s="20" t="s">
        <v>65</v>
      </c>
      <c r="F176" s="21" t="s">
        <v>69</v>
      </c>
      <c r="G176">
        <f t="shared" si="6"/>
        <v>8.3333333333333329E-2</v>
      </c>
      <c r="H176" t="str">
        <f>VLOOKUP(F176,'Tipo Parada Forno 04 07'!$A$2:I183,2,FALSE())</f>
        <v>NP</v>
      </c>
      <c r="I176">
        <f t="shared" si="7"/>
        <v>0</v>
      </c>
      <c r="J176">
        <f t="shared" si="8"/>
        <v>8.3333333333333329E-2</v>
      </c>
    </row>
    <row r="177" spans="1:10" x14ac:dyDescent="0.3">
      <c r="A177" s="18" t="s">
        <v>62</v>
      </c>
      <c r="B177" s="19">
        <v>45032</v>
      </c>
      <c r="C177" s="20" t="s">
        <v>321</v>
      </c>
      <c r="D177" s="20" t="s">
        <v>322</v>
      </c>
      <c r="E177" s="20" t="s">
        <v>65</v>
      </c>
      <c r="F177" s="21" t="s">
        <v>71</v>
      </c>
      <c r="G177">
        <f t="shared" si="6"/>
        <v>8.3333333333333329E-2</v>
      </c>
      <c r="H177" t="str">
        <f>VLOOKUP(F177,'Tipo Parada Forno 04 07'!$A$2:I184,2,FALSE())</f>
        <v>NP</v>
      </c>
      <c r="I177">
        <f t="shared" si="7"/>
        <v>0</v>
      </c>
      <c r="J177">
        <f t="shared" si="8"/>
        <v>8.3333333333333329E-2</v>
      </c>
    </row>
    <row r="178" spans="1:10" x14ac:dyDescent="0.3">
      <c r="A178" s="18" t="s">
        <v>62</v>
      </c>
      <c r="B178" s="19">
        <v>45032</v>
      </c>
      <c r="C178" s="20" t="s">
        <v>322</v>
      </c>
      <c r="D178" s="20" t="s">
        <v>261</v>
      </c>
      <c r="E178" s="20" t="s">
        <v>221</v>
      </c>
      <c r="F178" s="21" t="s">
        <v>66</v>
      </c>
      <c r="G178">
        <f t="shared" si="6"/>
        <v>0.11666666666666667</v>
      </c>
      <c r="H178" t="str">
        <f>VLOOKUP(F178,'Tipo Parada Forno 04 07'!$A$2:I185,2,FALSE())</f>
        <v>NP</v>
      </c>
      <c r="I178">
        <f t="shared" si="7"/>
        <v>0</v>
      </c>
      <c r="J178">
        <f t="shared" si="8"/>
        <v>0.11666666666666667</v>
      </c>
    </row>
    <row r="179" spans="1:10" x14ac:dyDescent="0.3">
      <c r="A179" s="18" t="s">
        <v>62</v>
      </c>
      <c r="B179" s="19">
        <v>45032</v>
      </c>
      <c r="C179" s="20" t="s">
        <v>261</v>
      </c>
      <c r="D179" s="20" t="s">
        <v>262</v>
      </c>
      <c r="E179" s="20" t="s">
        <v>73</v>
      </c>
      <c r="F179" s="21" t="s">
        <v>105</v>
      </c>
      <c r="G179">
        <f t="shared" si="6"/>
        <v>0.16666666666666666</v>
      </c>
      <c r="H179" t="str">
        <f>VLOOKUP(F179,'Tipo Parada Forno 04 07'!$A$2:I186,2,FALSE())</f>
        <v>NP</v>
      </c>
      <c r="I179">
        <f t="shared" si="7"/>
        <v>0</v>
      </c>
      <c r="J179">
        <f t="shared" si="8"/>
        <v>0.16666666666666666</v>
      </c>
    </row>
    <row r="180" spans="1:10" x14ac:dyDescent="0.3">
      <c r="A180" s="18" t="s">
        <v>62</v>
      </c>
      <c r="B180" s="19">
        <v>45032</v>
      </c>
      <c r="C180" s="20" t="s">
        <v>262</v>
      </c>
      <c r="D180" s="20" t="s">
        <v>191</v>
      </c>
      <c r="E180" s="20" t="s">
        <v>87</v>
      </c>
      <c r="F180" s="21" t="s">
        <v>323</v>
      </c>
      <c r="G180">
        <f t="shared" si="6"/>
        <v>0.33333333333333331</v>
      </c>
      <c r="H180" t="str">
        <f>VLOOKUP(F180,'Tipo Parada Forno 04 07'!$A$2:I187,2,FALSE())</f>
        <v>NP</v>
      </c>
      <c r="I180">
        <f t="shared" si="7"/>
        <v>0</v>
      </c>
      <c r="J180">
        <f t="shared" si="8"/>
        <v>0.33333333333333331</v>
      </c>
    </row>
    <row r="181" spans="1:10" x14ac:dyDescent="0.3">
      <c r="A181" s="18" t="s">
        <v>62</v>
      </c>
      <c r="B181" s="19">
        <v>45032</v>
      </c>
      <c r="C181" s="20" t="s">
        <v>324</v>
      </c>
      <c r="D181" s="20" t="s">
        <v>325</v>
      </c>
      <c r="E181" s="20" t="s">
        <v>176</v>
      </c>
      <c r="F181" s="21" t="s">
        <v>74</v>
      </c>
      <c r="G181">
        <f t="shared" si="6"/>
        <v>0.3</v>
      </c>
      <c r="H181" t="str">
        <f>VLOOKUP(F181,'Tipo Parada Forno 04 07'!$A$2:I188,2,FALSE())</f>
        <v>NP</v>
      </c>
      <c r="I181">
        <f t="shared" si="7"/>
        <v>0</v>
      </c>
      <c r="J181">
        <f t="shared" si="8"/>
        <v>0.3</v>
      </c>
    </row>
    <row r="182" spans="1:10" x14ac:dyDescent="0.3">
      <c r="A182" s="18" t="s">
        <v>62</v>
      </c>
      <c r="B182" s="19">
        <v>45032</v>
      </c>
      <c r="C182" s="20" t="s">
        <v>326</v>
      </c>
      <c r="D182" s="20" t="s">
        <v>327</v>
      </c>
      <c r="E182" s="20" t="s">
        <v>65</v>
      </c>
      <c r="F182" s="21" t="s">
        <v>69</v>
      </c>
      <c r="G182">
        <f t="shared" si="6"/>
        <v>8.3333333333333329E-2</v>
      </c>
      <c r="H182" t="str">
        <f>VLOOKUP(F182,'Tipo Parada Forno 04 07'!$A$2:I189,2,FALSE())</f>
        <v>NP</v>
      </c>
      <c r="I182">
        <f t="shared" si="7"/>
        <v>0</v>
      </c>
      <c r="J182">
        <f t="shared" si="8"/>
        <v>8.3333333333333329E-2</v>
      </c>
    </row>
    <row r="183" spans="1:10" x14ac:dyDescent="0.3">
      <c r="A183" s="18" t="s">
        <v>62</v>
      </c>
      <c r="B183" s="19">
        <v>45032</v>
      </c>
      <c r="C183" s="20" t="s">
        <v>328</v>
      </c>
      <c r="D183" s="20" t="s">
        <v>329</v>
      </c>
      <c r="E183" s="20" t="s">
        <v>65</v>
      </c>
      <c r="F183" s="21" t="s">
        <v>71</v>
      </c>
      <c r="G183">
        <f t="shared" si="6"/>
        <v>8.3333333333333329E-2</v>
      </c>
      <c r="H183" t="str">
        <f>VLOOKUP(F183,'Tipo Parada Forno 04 07'!$A$2:I190,2,FALSE())</f>
        <v>NP</v>
      </c>
      <c r="I183">
        <f t="shared" si="7"/>
        <v>0</v>
      </c>
      <c r="J183">
        <f t="shared" si="8"/>
        <v>8.3333333333333329E-2</v>
      </c>
    </row>
    <row r="184" spans="1:10" x14ac:dyDescent="0.3">
      <c r="A184" s="18" t="s">
        <v>62</v>
      </c>
      <c r="B184" s="19">
        <v>45032</v>
      </c>
      <c r="C184" s="20" t="s">
        <v>329</v>
      </c>
      <c r="D184" s="20" t="s">
        <v>330</v>
      </c>
      <c r="E184" s="20" t="s">
        <v>317</v>
      </c>
      <c r="F184" s="21" t="s">
        <v>105</v>
      </c>
      <c r="G184">
        <f t="shared" si="6"/>
        <v>0.46666666666666667</v>
      </c>
      <c r="H184" t="str">
        <f>VLOOKUP(F184,'Tipo Parada Forno 04 07'!$A$2:I191,2,FALSE())</f>
        <v>NP</v>
      </c>
      <c r="I184">
        <f t="shared" si="7"/>
        <v>0</v>
      </c>
      <c r="J184">
        <f t="shared" si="8"/>
        <v>0.46666666666666667</v>
      </c>
    </row>
    <row r="185" spans="1:10" x14ac:dyDescent="0.3">
      <c r="A185" s="18" t="s">
        <v>62</v>
      </c>
      <c r="B185" s="19">
        <v>45033</v>
      </c>
      <c r="C185" s="20" t="s">
        <v>331</v>
      </c>
      <c r="D185" s="20" t="s">
        <v>332</v>
      </c>
      <c r="E185" s="20" t="s">
        <v>176</v>
      </c>
      <c r="F185" s="21" t="s">
        <v>74</v>
      </c>
      <c r="G185">
        <f t="shared" si="6"/>
        <v>0.3</v>
      </c>
      <c r="H185" t="str">
        <f>VLOOKUP(F185,'Tipo Parada Forno 04 07'!$A$2:I192,2,FALSE())</f>
        <v>NP</v>
      </c>
      <c r="I185">
        <f t="shared" si="7"/>
        <v>0</v>
      </c>
      <c r="J185">
        <f t="shared" si="8"/>
        <v>0.3</v>
      </c>
    </row>
    <row r="186" spans="1:10" x14ac:dyDescent="0.3">
      <c r="A186" s="18" t="s">
        <v>62</v>
      </c>
      <c r="B186" s="19">
        <v>45033</v>
      </c>
      <c r="C186" s="20" t="s">
        <v>333</v>
      </c>
      <c r="D186" s="20" t="s">
        <v>334</v>
      </c>
      <c r="E186" s="20" t="s">
        <v>335</v>
      </c>
      <c r="F186" s="21" t="s">
        <v>169</v>
      </c>
      <c r="G186">
        <f t="shared" si="6"/>
        <v>1.5666666666666667</v>
      </c>
      <c r="H186" t="str">
        <f>VLOOKUP(F186,'Tipo Parada Forno 04 07'!$A$2:I193,2,FALSE())</f>
        <v>NP</v>
      </c>
      <c r="I186">
        <f t="shared" si="7"/>
        <v>0</v>
      </c>
      <c r="J186">
        <f t="shared" si="8"/>
        <v>1.5666666666666667</v>
      </c>
    </row>
    <row r="187" spans="1:10" x14ac:dyDescent="0.3">
      <c r="A187" s="18" t="s">
        <v>62</v>
      </c>
      <c r="B187" s="19">
        <v>45033</v>
      </c>
      <c r="C187" s="20" t="s">
        <v>336</v>
      </c>
      <c r="D187" s="20" t="s">
        <v>337</v>
      </c>
      <c r="E187" s="20" t="s">
        <v>228</v>
      </c>
      <c r="F187" s="21" t="s">
        <v>69</v>
      </c>
      <c r="G187">
        <f t="shared" si="6"/>
        <v>0.13333333333333333</v>
      </c>
      <c r="H187" t="str">
        <f>VLOOKUP(F187,'Tipo Parada Forno 04 07'!$A$2:I194,2,FALSE())</f>
        <v>NP</v>
      </c>
      <c r="I187">
        <f t="shared" si="7"/>
        <v>0</v>
      </c>
      <c r="J187">
        <f t="shared" si="8"/>
        <v>0.13333333333333333</v>
      </c>
    </row>
    <row r="188" spans="1:10" x14ac:dyDescent="0.3">
      <c r="A188" s="18" t="s">
        <v>62</v>
      </c>
      <c r="B188" s="19">
        <v>45033</v>
      </c>
      <c r="C188" s="20" t="s">
        <v>338</v>
      </c>
      <c r="D188" s="20" t="s">
        <v>339</v>
      </c>
      <c r="E188" s="20" t="s">
        <v>65</v>
      </c>
      <c r="F188" s="21" t="s">
        <v>69</v>
      </c>
      <c r="G188">
        <f t="shared" si="6"/>
        <v>8.3333333333333329E-2</v>
      </c>
      <c r="H188" t="str">
        <f>VLOOKUP(F188,'Tipo Parada Forno 04 07'!$A$2:I195,2,FALSE())</f>
        <v>NP</v>
      </c>
      <c r="I188">
        <f t="shared" si="7"/>
        <v>0</v>
      </c>
      <c r="J188">
        <f t="shared" si="8"/>
        <v>8.3333333333333329E-2</v>
      </c>
    </row>
    <row r="189" spans="1:10" x14ac:dyDescent="0.3">
      <c r="A189" s="18" t="s">
        <v>62</v>
      </c>
      <c r="B189" s="19">
        <v>45033</v>
      </c>
      <c r="C189" s="20" t="s">
        <v>339</v>
      </c>
      <c r="D189" s="20" t="s">
        <v>340</v>
      </c>
      <c r="E189" s="20" t="s">
        <v>65</v>
      </c>
      <c r="F189" s="21" t="s">
        <v>71</v>
      </c>
      <c r="G189">
        <f t="shared" si="6"/>
        <v>8.3333333333333329E-2</v>
      </c>
      <c r="H189" t="str">
        <f>VLOOKUP(F189,'Tipo Parada Forno 04 07'!$A$2:I196,2,FALSE())</f>
        <v>NP</v>
      </c>
      <c r="I189">
        <f t="shared" si="7"/>
        <v>0</v>
      </c>
      <c r="J189">
        <f t="shared" si="8"/>
        <v>8.3333333333333329E-2</v>
      </c>
    </row>
    <row r="190" spans="1:10" x14ac:dyDescent="0.3">
      <c r="A190" s="18" t="s">
        <v>62</v>
      </c>
      <c r="B190" s="19">
        <v>45033</v>
      </c>
      <c r="C190" s="20" t="s">
        <v>340</v>
      </c>
      <c r="D190" s="20" t="s">
        <v>341</v>
      </c>
      <c r="E190" s="20" t="s">
        <v>133</v>
      </c>
      <c r="F190" s="21" t="s">
        <v>66</v>
      </c>
      <c r="G190">
        <f t="shared" si="6"/>
        <v>0.2</v>
      </c>
      <c r="H190" t="str">
        <f>VLOOKUP(F190,'Tipo Parada Forno 04 07'!$A$2:I197,2,FALSE())</f>
        <v>NP</v>
      </c>
      <c r="I190">
        <f t="shared" si="7"/>
        <v>0</v>
      </c>
      <c r="J190">
        <f t="shared" si="8"/>
        <v>0.2</v>
      </c>
    </row>
    <row r="191" spans="1:10" x14ac:dyDescent="0.3">
      <c r="A191" s="18" t="s">
        <v>62</v>
      </c>
      <c r="B191" s="19">
        <v>45033</v>
      </c>
      <c r="C191" s="20" t="s">
        <v>341</v>
      </c>
      <c r="D191" s="20" t="s">
        <v>295</v>
      </c>
      <c r="E191" s="20" t="s">
        <v>110</v>
      </c>
      <c r="F191" s="21" t="s">
        <v>105</v>
      </c>
      <c r="G191">
        <f t="shared" si="6"/>
        <v>0.23333333333333334</v>
      </c>
      <c r="H191" t="str">
        <f>VLOOKUP(F191,'Tipo Parada Forno 04 07'!$A$2:I198,2,FALSE())</f>
        <v>NP</v>
      </c>
      <c r="I191">
        <f t="shared" si="7"/>
        <v>0</v>
      </c>
      <c r="J191">
        <f t="shared" si="8"/>
        <v>0.23333333333333334</v>
      </c>
    </row>
    <row r="192" spans="1:10" x14ac:dyDescent="0.3">
      <c r="A192" s="18" t="s">
        <v>62</v>
      </c>
      <c r="B192" s="19">
        <v>45033</v>
      </c>
      <c r="C192" s="20" t="s">
        <v>333</v>
      </c>
      <c r="D192" s="20" t="s">
        <v>342</v>
      </c>
      <c r="E192" s="20" t="s">
        <v>97</v>
      </c>
      <c r="F192" s="21" t="s">
        <v>69</v>
      </c>
      <c r="G192">
        <f t="shared" si="6"/>
        <v>6.6666666666666666E-2</v>
      </c>
      <c r="H192" t="str">
        <f>VLOOKUP(F192,'Tipo Parada Forno 04 07'!$A$2:I199,2,FALSE())</f>
        <v>NP</v>
      </c>
      <c r="I192">
        <f t="shared" si="7"/>
        <v>0</v>
      </c>
      <c r="J192">
        <f t="shared" si="8"/>
        <v>6.6666666666666666E-2</v>
      </c>
    </row>
    <row r="193" spans="1:10" x14ac:dyDescent="0.3">
      <c r="A193" s="18" t="s">
        <v>62</v>
      </c>
      <c r="B193" s="19">
        <v>45033</v>
      </c>
      <c r="C193" s="20" t="s">
        <v>342</v>
      </c>
      <c r="D193" s="20" t="s">
        <v>343</v>
      </c>
      <c r="E193" s="20" t="s">
        <v>344</v>
      </c>
      <c r="F193" s="21" t="s">
        <v>169</v>
      </c>
      <c r="G193">
        <f t="shared" si="6"/>
        <v>1.25</v>
      </c>
      <c r="H193" t="str">
        <f>VLOOKUP(F193,'Tipo Parada Forno 04 07'!$A$2:I200,2,FALSE())</f>
        <v>NP</v>
      </c>
      <c r="I193">
        <f t="shared" si="7"/>
        <v>0</v>
      </c>
      <c r="J193">
        <f t="shared" si="8"/>
        <v>1.25</v>
      </c>
    </row>
    <row r="194" spans="1:10" x14ac:dyDescent="0.3">
      <c r="A194" s="18" t="s">
        <v>62</v>
      </c>
      <c r="B194" s="19">
        <v>45033</v>
      </c>
      <c r="C194" s="20" t="s">
        <v>345</v>
      </c>
      <c r="D194" s="20" t="s">
        <v>305</v>
      </c>
      <c r="E194" s="20" t="s">
        <v>65</v>
      </c>
      <c r="F194" s="21" t="s">
        <v>69</v>
      </c>
      <c r="G194">
        <f t="shared" ref="G194:G257" si="9">VALUE(MID(E194,1,2)+VALUE(MID(E194,4,2))/60)</f>
        <v>8.3333333333333329E-2</v>
      </c>
      <c r="H194" t="str">
        <f>VLOOKUP(F194,'Tipo Parada Forno 04 07'!$A$2:I201,2,FALSE())</f>
        <v>NP</v>
      </c>
      <c r="I194">
        <f t="shared" ref="I194:I257" si="10">IF(H194="P",G194,0)</f>
        <v>0</v>
      </c>
      <c r="J194">
        <f t="shared" ref="J194:J257" si="11">IF(H194="NP",G194,0)</f>
        <v>8.3333333333333329E-2</v>
      </c>
    </row>
    <row r="195" spans="1:10" x14ac:dyDescent="0.3">
      <c r="A195" s="18" t="s">
        <v>62</v>
      </c>
      <c r="B195" s="19">
        <v>45033</v>
      </c>
      <c r="C195" s="20" t="s">
        <v>305</v>
      </c>
      <c r="D195" s="20" t="s">
        <v>346</v>
      </c>
      <c r="E195" s="20" t="s">
        <v>65</v>
      </c>
      <c r="F195" s="21" t="s">
        <v>71</v>
      </c>
      <c r="G195">
        <f t="shared" si="9"/>
        <v>8.3333333333333329E-2</v>
      </c>
      <c r="H195" t="str">
        <f>VLOOKUP(F195,'Tipo Parada Forno 04 07'!$A$2:I202,2,FALSE())</f>
        <v>NP</v>
      </c>
      <c r="I195">
        <f t="shared" si="10"/>
        <v>0</v>
      </c>
      <c r="J195">
        <f t="shared" si="11"/>
        <v>8.3333333333333329E-2</v>
      </c>
    </row>
    <row r="196" spans="1:10" x14ac:dyDescent="0.3">
      <c r="A196" s="18" t="s">
        <v>62</v>
      </c>
      <c r="B196" s="19">
        <v>45033</v>
      </c>
      <c r="C196" s="20" t="s">
        <v>346</v>
      </c>
      <c r="D196" s="20" t="s">
        <v>347</v>
      </c>
      <c r="E196" s="20" t="s">
        <v>168</v>
      </c>
      <c r="F196" s="21" t="s">
        <v>105</v>
      </c>
      <c r="G196">
        <f t="shared" si="9"/>
        <v>0.43333333333333335</v>
      </c>
      <c r="H196" t="str">
        <f>VLOOKUP(F196,'Tipo Parada Forno 04 07'!$A$2:I203,2,FALSE())</f>
        <v>NP</v>
      </c>
      <c r="I196">
        <f t="shared" si="10"/>
        <v>0</v>
      </c>
      <c r="J196">
        <f t="shared" si="11"/>
        <v>0.43333333333333335</v>
      </c>
    </row>
    <row r="197" spans="1:10" x14ac:dyDescent="0.3">
      <c r="A197" s="18" t="s">
        <v>62</v>
      </c>
      <c r="B197" s="19">
        <v>45034</v>
      </c>
      <c r="C197" s="20" t="s">
        <v>348</v>
      </c>
      <c r="D197" s="20" t="s">
        <v>349</v>
      </c>
      <c r="E197" s="20" t="s">
        <v>176</v>
      </c>
      <c r="F197" s="21" t="s">
        <v>74</v>
      </c>
      <c r="G197">
        <f t="shared" si="9"/>
        <v>0.3</v>
      </c>
      <c r="H197" t="str">
        <f>VLOOKUP(F197,'Tipo Parada Forno 04 07'!$A$2:I204,2,FALSE())</f>
        <v>NP</v>
      </c>
      <c r="I197">
        <f t="shared" si="10"/>
        <v>0</v>
      </c>
      <c r="J197">
        <f t="shared" si="11"/>
        <v>0.3</v>
      </c>
    </row>
    <row r="198" spans="1:10" x14ac:dyDescent="0.3">
      <c r="A198" s="18" t="s">
        <v>62</v>
      </c>
      <c r="B198" s="19">
        <v>45034</v>
      </c>
      <c r="C198" s="20" t="s">
        <v>350</v>
      </c>
      <c r="D198" s="20" t="s">
        <v>351</v>
      </c>
      <c r="E198" s="20" t="s">
        <v>65</v>
      </c>
      <c r="F198" s="21" t="s">
        <v>69</v>
      </c>
      <c r="G198">
        <f t="shared" si="9"/>
        <v>8.3333333333333329E-2</v>
      </c>
      <c r="H198" t="str">
        <f>VLOOKUP(F198,'Tipo Parada Forno 04 07'!$A$2:I205,2,FALSE())</f>
        <v>NP</v>
      </c>
      <c r="I198">
        <f t="shared" si="10"/>
        <v>0</v>
      </c>
      <c r="J198">
        <f t="shared" si="11"/>
        <v>8.3333333333333329E-2</v>
      </c>
    </row>
    <row r="199" spans="1:10" x14ac:dyDescent="0.3">
      <c r="A199" s="18" t="s">
        <v>62</v>
      </c>
      <c r="B199" s="19">
        <v>45034</v>
      </c>
      <c r="C199" s="20" t="s">
        <v>351</v>
      </c>
      <c r="D199" s="20" t="s">
        <v>352</v>
      </c>
      <c r="E199" s="20" t="s">
        <v>65</v>
      </c>
      <c r="F199" s="21" t="s">
        <v>71</v>
      </c>
      <c r="G199">
        <f t="shared" si="9"/>
        <v>8.3333333333333329E-2</v>
      </c>
      <c r="H199" t="str">
        <f>VLOOKUP(F199,'Tipo Parada Forno 04 07'!$A$2:I206,2,FALSE())</f>
        <v>NP</v>
      </c>
      <c r="I199">
        <f t="shared" si="10"/>
        <v>0</v>
      </c>
      <c r="J199">
        <f t="shared" si="11"/>
        <v>8.3333333333333329E-2</v>
      </c>
    </row>
    <row r="200" spans="1:10" x14ac:dyDescent="0.3">
      <c r="A200" s="18" t="s">
        <v>62</v>
      </c>
      <c r="B200" s="19">
        <v>45034</v>
      </c>
      <c r="C200" s="20" t="s">
        <v>352</v>
      </c>
      <c r="D200" s="20" t="s">
        <v>353</v>
      </c>
      <c r="E200" s="20" t="s">
        <v>228</v>
      </c>
      <c r="F200" s="21" t="s">
        <v>66</v>
      </c>
      <c r="G200">
        <f t="shared" si="9"/>
        <v>0.13333333333333333</v>
      </c>
      <c r="H200" t="str">
        <f>VLOOKUP(F200,'Tipo Parada Forno 04 07'!$A$2:I207,2,FALSE())</f>
        <v>NP</v>
      </c>
      <c r="I200">
        <f t="shared" si="10"/>
        <v>0</v>
      </c>
      <c r="J200">
        <f t="shared" si="11"/>
        <v>0.13333333333333333</v>
      </c>
    </row>
    <row r="201" spans="1:10" x14ac:dyDescent="0.3">
      <c r="A201" s="18" t="s">
        <v>62</v>
      </c>
      <c r="B201" s="19">
        <v>45034</v>
      </c>
      <c r="C201" s="20" t="s">
        <v>353</v>
      </c>
      <c r="D201" s="20" t="s">
        <v>354</v>
      </c>
      <c r="E201" s="20" t="s">
        <v>355</v>
      </c>
      <c r="F201" s="21" t="s">
        <v>105</v>
      </c>
      <c r="G201">
        <f t="shared" si="9"/>
        <v>0.31666666666666665</v>
      </c>
      <c r="H201" t="str">
        <f>VLOOKUP(F201,'Tipo Parada Forno 04 07'!$A$2:I208,2,FALSE())</f>
        <v>NP</v>
      </c>
      <c r="I201">
        <f t="shared" si="10"/>
        <v>0</v>
      </c>
      <c r="J201">
        <f t="shared" si="11"/>
        <v>0.31666666666666665</v>
      </c>
    </row>
    <row r="202" spans="1:10" x14ac:dyDescent="0.3">
      <c r="A202" s="18" t="s">
        <v>62</v>
      </c>
      <c r="B202" s="19">
        <v>45034</v>
      </c>
      <c r="C202" s="20" t="s">
        <v>356</v>
      </c>
      <c r="D202" s="20" t="s">
        <v>81</v>
      </c>
      <c r="E202" s="20" t="s">
        <v>151</v>
      </c>
      <c r="F202" s="21" t="s">
        <v>74</v>
      </c>
      <c r="G202">
        <f t="shared" si="9"/>
        <v>0.28333333333333333</v>
      </c>
      <c r="H202" t="str">
        <f>VLOOKUP(F202,'Tipo Parada Forno 04 07'!$A$2:I209,2,FALSE())</f>
        <v>NP</v>
      </c>
      <c r="I202">
        <f t="shared" si="10"/>
        <v>0</v>
      </c>
      <c r="J202">
        <f t="shared" si="11"/>
        <v>0.28333333333333333</v>
      </c>
    </row>
    <row r="203" spans="1:10" x14ac:dyDescent="0.3">
      <c r="A203" s="18" t="s">
        <v>62</v>
      </c>
      <c r="B203" s="19">
        <v>45034</v>
      </c>
      <c r="C203" s="20" t="s">
        <v>357</v>
      </c>
      <c r="D203" s="20" t="s">
        <v>199</v>
      </c>
      <c r="E203" s="20" t="s">
        <v>185</v>
      </c>
      <c r="F203" s="21" t="s">
        <v>253</v>
      </c>
      <c r="G203">
        <f t="shared" si="9"/>
        <v>3.8166666666666664</v>
      </c>
      <c r="H203" t="str">
        <f>VLOOKUP(F203,'Tipo Parada Forno 04 07'!$A$2:I210,2,FALSE())</f>
        <v>P</v>
      </c>
      <c r="I203">
        <f t="shared" si="10"/>
        <v>3.8166666666666664</v>
      </c>
      <c r="J203">
        <f t="shared" si="11"/>
        <v>0</v>
      </c>
    </row>
    <row r="204" spans="1:10" x14ac:dyDescent="0.3">
      <c r="A204" s="18" t="s">
        <v>62</v>
      </c>
      <c r="B204" s="19">
        <v>45034</v>
      </c>
      <c r="C204" s="20" t="s">
        <v>358</v>
      </c>
      <c r="D204" s="20" t="s">
        <v>359</v>
      </c>
      <c r="E204" s="20" t="s">
        <v>99</v>
      </c>
      <c r="F204" s="21" t="s">
        <v>74</v>
      </c>
      <c r="G204">
        <f t="shared" si="9"/>
        <v>0.21666666666666667</v>
      </c>
      <c r="H204" t="str">
        <f>VLOOKUP(F204,'Tipo Parada Forno 04 07'!$A$2:I211,2,FALSE())</f>
        <v>NP</v>
      </c>
      <c r="I204">
        <f t="shared" si="10"/>
        <v>0</v>
      </c>
      <c r="J204">
        <f t="shared" si="11"/>
        <v>0.21666666666666667</v>
      </c>
    </row>
    <row r="205" spans="1:10" x14ac:dyDescent="0.3">
      <c r="A205" s="18" t="s">
        <v>62</v>
      </c>
      <c r="B205" s="19">
        <v>45035</v>
      </c>
      <c r="C205" s="20" t="s">
        <v>360</v>
      </c>
      <c r="D205" s="20" t="s">
        <v>68</v>
      </c>
      <c r="E205" s="20" t="s">
        <v>80</v>
      </c>
      <c r="F205" s="21" t="s">
        <v>69</v>
      </c>
      <c r="G205">
        <f t="shared" si="9"/>
        <v>0.05</v>
      </c>
      <c r="H205" t="str">
        <f>VLOOKUP(F205,'Tipo Parada Forno 04 07'!$A$2:I212,2,FALSE())</f>
        <v>NP</v>
      </c>
      <c r="I205">
        <f t="shared" si="10"/>
        <v>0</v>
      </c>
      <c r="J205">
        <f t="shared" si="11"/>
        <v>0.05</v>
      </c>
    </row>
    <row r="206" spans="1:10" x14ac:dyDescent="0.3">
      <c r="A206" s="18" t="s">
        <v>62</v>
      </c>
      <c r="B206" s="19">
        <v>45035</v>
      </c>
      <c r="C206" s="20" t="s">
        <v>68</v>
      </c>
      <c r="D206" s="20" t="s">
        <v>70</v>
      </c>
      <c r="E206" s="20" t="s">
        <v>65</v>
      </c>
      <c r="F206" s="21" t="s">
        <v>71</v>
      </c>
      <c r="G206">
        <f t="shared" si="9"/>
        <v>8.3333333333333329E-2</v>
      </c>
      <c r="H206" t="str">
        <f>VLOOKUP(F206,'Tipo Parada Forno 04 07'!$A$2:I213,2,FALSE())</f>
        <v>NP</v>
      </c>
      <c r="I206">
        <f t="shared" si="10"/>
        <v>0</v>
      </c>
      <c r="J206">
        <f t="shared" si="11"/>
        <v>8.3333333333333329E-2</v>
      </c>
    </row>
    <row r="207" spans="1:10" x14ac:dyDescent="0.3">
      <c r="A207" s="18" t="s">
        <v>62</v>
      </c>
      <c r="B207" s="19">
        <v>45035</v>
      </c>
      <c r="C207" s="20" t="s">
        <v>70</v>
      </c>
      <c r="D207" s="20" t="s">
        <v>361</v>
      </c>
      <c r="E207" s="20" t="s">
        <v>122</v>
      </c>
      <c r="F207" s="21" t="s">
        <v>105</v>
      </c>
      <c r="G207">
        <f t="shared" si="9"/>
        <v>0.25</v>
      </c>
      <c r="H207" t="str">
        <f>VLOOKUP(F207,'Tipo Parada Forno 04 07'!$A$2:I214,2,FALSE())</f>
        <v>NP</v>
      </c>
      <c r="I207">
        <f t="shared" si="10"/>
        <v>0</v>
      </c>
      <c r="J207">
        <f t="shared" si="11"/>
        <v>0.25</v>
      </c>
    </row>
    <row r="208" spans="1:10" x14ac:dyDescent="0.3">
      <c r="A208" s="18" t="s">
        <v>62</v>
      </c>
      <c r="B208" s="19">
        <v>45035</v>
      </c>
      <c r="C208" s="20" t="s">
        <v>170</v>
      </c>
      <c r="D208" s="20" t="s">
        <v>362</v>
      </c>
      <c r="E208" s="20" t="s">
        <v>363</v>
      </c>
      <c r="F208" s="21" t="s">
        <v>105</v>
      </c>
      <c r="G208">
        <f t="shared" si="9"/>
        <v>0.71666666666666667</v>
      </c>
      <c r="H208" t="str">
        <f>VLOOKUP(F208,'Tipo Parada Forno 04 07'!$A$2:I215,2,FALSE())</f>
        <v>NP</v>
      </c>
      <c r="I208">
        <f t="shared" si="10"/>
        <v>0</v>
      </c>
      <c r="J208">
        <f t="shared" si="11"/>
        <v>0.71666666666666667</v>
      </c>
    </row>
    <row r="209" spans="1:10" x14ac:dyDescent="0.3">
      <c r="A209" s="18" t="s">
        <v>62</v>
      </c>
      <c r="B209" s="19">
        <v>45035</v>
      </c>
      <c r="C209" s="20" t="s">
        <v>364</v>
      </c>
      <c r="D209" s="20" t="s">
        <v>365</v>
      </c>
      <c r="E209" s="20" t="s">
        <v>366</v>
      </c>
      <c r="F209" s="21" t="s">
        <v>253</v>
      </c>
      <c r="G209">
        <f t="shared" si="9"/>
        <v>3.15</v>
      </c>
      <c r="H209" t="str">
        <f>VLOOKUP(F209,'Tipo Parada Forno 04 07'!$A$2:I216,2,FALSE())</f>
        <v>P</v>
      </c>
      <c r="I209">
        <f t="shared" si="10"/>
        <v>3.15</v>
      </c>
      <c r="J209">
        <f t="shared" si="11"/>
        <v>0</v>
      </c>
    </row>
    <row r="210" spans="1:10" x14ac:dyDescent="0.3">
      <c r="A210" s="18" t="s">
        <v>62</v>
      </c>
      <c r="B210" s="19">
        <v>45036</v>
      </c>
      <c r="C210" s="20" t="s">
        <v>367</v>
      </c>
      <c r="D210" s="20" t="s">
        <v>202</v>
      </c>
      <c r="E210" s="20" t="s">
        <v>65</v>
      </c>
      <c r="F210" s="21" t="s">
        <v>69</v>
      </c>
      <c r="G210">
        <f t="shared" si="9"/>
        <v>8.3333333333333329E-2</v>
      </c>
      <c r="H210" t="str">
        <f>VLOOKUP(F210,'Tipo Parada Forno 04 07'!$A$2:I217,2,FALSE())</f>
        <v>NP</v>
      </c>
      <c r="I210">
        <f t="shared" si="10"/>
        <v>0</v>
      </c>
      <c r="J210">
        <f t="shared" si="11"/>
        <v>8.3333333333333329E-2</v>
      </c>
    </row>
    <row r="211" spans="1:10" x14ac:dyDescent="0.3">
      <c r="A211" s="18" t="s">
        <v>62</v>
      </c>
      <c r="B211" s="19">
        <v>45036</v>
      </c>
      <c r="C211" s="20" t="s">
        <v>202</v>
      </c>
      <c r="D211" s="20" t="s">
        <v>203</v>
      </c>
      <c r="E211" s="20" t="s">
        <v>65</v>
      </c>
      <c r="F211" s="21" t="s">
        <v>71</v>
      </c>
      <c r="G211">
        <f t="shared" si="9"/>
        <v>8.3333333333333329E-2</v>
      </c>
      <c r="H211" t="str">
        <f>VLOOKUP(F211,'Tipo Parada Forno 04 07'!$A$2:I218,2,FALSE())</f>
        <v>NP</v>
      </c>
      <c r="I211">
        <f t="shared" si="10"/>
        <v>0</v>
      </c>
      <c r="J211">
        <f t="shared" si="11"/>
        <v>8.3333333333333329E-2</v>
      </c>
    </row>
    <row r="212" spans="1:10" x14ac:dyDescent="0.3">
      <c r="A212" s="18" t="s">
        <v>62</v>
      </c>
      <c r="B212" s="19">
        <v>45036</v>
      </c>
      <c r="C212" s="20" t="s">
        <v>203</v>
      </c>
      <c r="D212" s="20" t="s">
        <v>63</v>
      </c>
      <c r="E212" s="20" t="s">
        <v>176</v>
      </c>
      <c r="F212" s="21" t="s">
        <v>105</v>
      </c>
      <c r="G212">
        <f t="shared" si="9"/>
        <v>0.3</v>
      </c>
      <c r="H212" t="str">
        <f>VLOOKUP(F212,'Tipo Parada Forno 04 07'!$A$2:I219,2,FALSE())</f>
        <v>NP</v>
      </c>
      <c r="I212">
        <f t="shared" si="10"/>
        <v>0</v>
      </c>
      <c r="J212">
        <f t="shared" si="11"/>
        <v>0.3</v>
      </c>
    </row>
    <row r="213" spans="1:10" x14ac:dyDescent="0.3">
      <c r="A213" s="18" t="s">
        <v>62</v>
      </c>
      <c r="B213" s="19">
        <v>45036</v>
      </c>
      <c r="C213" s="20" t="s">
        <v>241</v>
      </c>
      <c r="D213" s="20" t="s">
        <v>368</v>
      </c>
      <c r="E213" s="20" t="s">
        <v>85</v>
      </c>
      <c r="F213" s="21" t="s">
        <v>69</v>
      </c>
      <c r="G213">
        <f t="shared" si="9"/>
        <v>0.1</v>
      </c>
      <c r="H213" t="str">
        <f>VLOOKUP(F213,'Tipo Parada Forno 04 07'!$A$2:I220,2,FALSE())</f>
        <v>NP</v>
      </c>
      <c r="I213">
        <f t="shared" si="10"/>
        <v>0</v>
      </c>
      <c r="J213">
        <f t="shared" si="11"/>
        <v>0.1</v>
      </c>
    </row>
    <row r="214" spans="1:10" x14ac:dyDescent="0.3">
      <c r="A214" s="18" t="s">
        <v>62</v>
      </c>
      <c r="B214" s="19">
        <v>45036</v>
      </c>
      <c r="C214" s="20" t="s">
        <v>369</v>
      </c>
      <c r="D214" s="20" t="s">
        <v>370</v>
      </c>
      <c r="E214" s="20" t="s">
        <v>80</v>
      </c>
      <c r="F214" s="21" t="s">
        <v>69</v>
      </c>
      <c r="G214">
        <f t="shared" si="9"/>
        <v>0.05</v>
      </c>
      <c r="H214" t="str">
        <f>VLOOKUP(F214,'Tipo Parada Forno 04 07'!$A$2:I222,2,FALSE())</f>
        <v>NP</v>
      </c>
      <c r="I214">
        <f t="shared" si="10"/>
        <v>0</v>
      </c>
      <c r="J214">
        <f t="shared" si="11"/>
        <v>0.05</v>
      </c>
    </row>
    <row r="215" spans="1:10" x14ac:dyDescent="0.3">
      <c r="A215" s="18" t="s">
        <v>62</v>
      </c>
      <c r="B215" s="19">
        <v>45036</v>
      </c>
      <c r="C215" s="20" t="s">
        <v>370</v>
      </c>
      <c r="D215" s="20" t="s">
        <v>325</v>
      </c>
      <c r="E215" s="20" t="s">
        <v>65</v>
      </c>
      <c r="F215" s="21" t="s">
        <v>71</v>
      </c>
      <c r="G215">
        <f t="shared" si="9"/>
        <v>8.3333333333333329E-2</v>
      </c>
      <c r="H215" t="str">
        <f>VLOOKUP(F215,'Tipo Parada Forno 04 07'!$A$2:I223,2,FALSE())</f>
        <v>NP</v>
      </c>
      <c r="I215">
        <f t="shared" si="10"/>
        <v>0</v>
      </c>
      <c r="J215">
        <f t="shared" si="11"/>
        <v>8.3333333333333329E-2</v>
      </c>
    </row>
    <row r="216" spans="1:10" x14ac:dyDescent="0.3">
      <c r="A216" s="18" t="s">
        <v>62</v>
      </c>
      <c r="B216" s="19">
        <v>45036</v>
      </c>
      <c r="C216" s="20" t="s">
        <v>325</v>
      </c>
      <c r="D216" s="20" t="s">
        <v>371</v>
      </c>
      <c r="E216" s="20" t="s">
        <v>65</v>
      </c>
      <c r="F216" s="21" t="s">
        <v>74</v>
      </c>
      <c r="G216">
        <f t="shared" si="9"/>
        <v>8.3333333333333329E-2</v>
      </c>
      <c r="H216" t="str">
        <f>VLOOKUP(F216,'Tipo Parada Forno 04 07'!$A$2:I224,2,FALSE())</f>
        <v>NP</v>
      </c>
      <c r="I216">
        <f t="shared" si="10"/>
        <v>0</v>
      </c>
      <c r="J216">
        <f t="shared" si="11"/>
        <v>8.3333333333333329E-2</v>
      </c>
    </row>
    <row r="217" spans="1:10" x14ac:dyDescent="0.3">
      <c r="A217" s="18" t="s">
        <v>62</v>
      </c>
      <c r="B217" s="19">
        <v>45036</v>
      </c>
      <c r="C217" s="20" t="s">
        <v>371</v>
      </c>
      <c r="D217" s="20" t="s">
        <v>372</v>
      </c>
      <c r="E217" s="20" t="s">
        <v>76</v>
      </c>
      <c r="F217" s="21" t="s">
        <v>66</v>
      </c>
      <c r="G217">
        <f t="shared" si="9"/>
        <v>0.15</v>
      </c>
      <c r="H217" t="str">
        <f>VLOOKUP(F217,'Tipo Parada Forno 04 07'!$A$2:I225,2,FALSE())</f>
        <v>NP</v>
      </c>
      <c r="I217">
        <f t="shared" si="10"/>
        <v>0</v>
      </c>
      <c r="J217">
        <f t="shared" si="11"/>
        <v>0.15</v>
      </c>
    </row>
    <row r="218" spans="1:10" x14ac:dyDescent="0.3">
      <c r="A218" s="18" t="s">
        <v>62</v>
      </c>
      <c r="B218" s="19">
        <v>45036</v>
      </c>
      <c r="C218" s="20" t="s">
        <v>179</v>
      </c>
      <c r="D218" s="20" t="s">
        <v>101</v>
      </c>
      <c r="E218" s="20" t="s">
        <v>65</v>
      </c>
      <c r="F218" s="21" t="s">
        <v>69</v>
      </c>
      <c r="G218">
        <f t="shared" si="9"/>
        <v>8.3333333333333329E-2</v>
      </c>
      <c r="H218" t="str">
        <f>VLOOKUP(F218,'Tipo Parada Forno 04 07'!$A$2:I226,2,FALSE())</f>
        <v>NP</v>
      </c>
      <c r="I218">
        <f t="shared" si="10"/>
        <v>0</v>
      </c>
      <c r="J218">
        <f t="shared" si="11"/>
        <v>8.3333333333333329E-2</v>
      </c>
    </row>
    <row r="219" spans="1:10" x14ac:dyDescent="0.3">
      <c r="A219" s="18" t="s">
        <v>62</v>
      </c>
      <c r="B219" s="19">
        <v>45036</v>
      </c>
      <c r="C219" s="20" t="s">
        <v>101</v>
      </c>
      <c r="D219" s="20" t="s">
        <v>102</v>
      </c>
      <c r="E219" s="20" t="s">
        <v>65</v>
      </c>
      <c r="F219" s="21" t="s">
        <v>71</v>
      </c>
      <c r="G219">
        <f t="shared" si="9"/>
        <v>8.3333333333333329E-2</v>
      </c>
      <c r="H219" t="str">
        <f>VLOOKUP(F219,'Tipo Parada Forno 04 07'!$A$2:I227,2,FALSE())</f>
        <v>NP</v>
      </c>
      <c r="I219">
        <f t="shared" si="10"/>
        <v>0</v>
      </c>
      <c r="J219">
        <f t="shared" si="11"/>
        <v>8.3333333333333329E-2</v>
      </c>
    </row>
    <row r="220" spans="1:10" x14ac:dyDescent="0.3">
      <c r="A220" s="18" t="s">
        <v>62</v>
      </c>
      <c r="B220" s="19">
        <v>45036</v>
      </c>
      <c r="C220" s="20" t="s">
        <v>102</v>
      </c>
      <c r="D220" s="20" t="s">
        <v>86</v>
      </c>
      <c r="E220" s="20" t="s">
        <v>140</v>
      </c>
      <c r="F220" s="21" t="s">
        <v>105</v>
      </c>
      <c r="G220">
        <f t="shared" si="9"/>
        <v>0.41666666666666669</v>
      </c>
      <c r="H220" t="str">
        <f>VLOOKUP(F220,'Tipo Parada Forno 04 07'!$A$2:I228,2,FALSE())</f>
        <v>NP</v>
      </c>
      <c r="I220">
        <f t="shared" si="10"/>
        <v>0</v>
      </c>
      <c r="J220">
        <f t="shared" si="11"/>
        <v>0.41666666666666669</v>
      </c>
    </row>
    <row r="221" spans="1:10" x14ac:dyDescent="0.3">
      <c r="A221" s="18" t="s">
        <v>62</v>
      </c>
      <c r="B221" s="19">
        <v>45037</v>
      </c>
      <c r="C221" s="20" t="s">
        <v>373</v>
      </c>
      <c r="D221" s="20" t="s">
        <v>374</v>
      </c>
      <c r="E221" s="20" t="s">
        <v>65</v>
      </c>
      <c r="F221" s="21" t="s">
        <v>69</v>
      </c>
      <c r="G221">
        <f t="shared" si="9"/>
        <v>8.3333333333333329E-2</v>
      </c>
      <c r="H221" t="str">
        <f>VLOOKUP(F221,'Tipo Parada Forno 04 07'!$A$2:I229,2,FALSE())</f>
        <v>NP</v>
      </c>
      <c r="I221">
        <f t="shared" si="10"/>
        <v>0</v>
      </c>
      <c r="J221">
        <f t="shared" si="11"/>
        <v>8.3333333333333329E-2</v>
      </c>
    </row>
    <row r="222" spans="1:10" x14ac:dyDescent="0.3">
      <c r="A222" s="18" t="s">
        <v>62</v>
      </c>
      <c r="B222" s="19">
        <v>45037</v>
      </c>
      <c r="C222" s="20" t="s">
        <v>375</v>
      </c>
      <c r="D222" s="20" t="s">
        <v>376</v>
      </c>
      <c r="E222" s="20" t="s">
        <v>80</v>
      </c>
      <c r="F222" s="21" t="s">
        <v>69</v>
      </c>
      <c r="G222">
        <f t="shared" si="9"/>
        <v>0.05</v>
      </c>
      <c r="H222" t="str">
        <f>VLOOKUP(F222,'Tipo Parada Forno 04 07'!$A$2:I230,2,FALSE())</f>
        <v>NP</v>
      </c>
      <c r="I222">
        <f t="shared" si="10"/>
        <v>0</v>
      </c>
      <c r="J222">
        <f t="shared" si="11"/>
        <v>0.05</v>
      </c>
    </row>
    <row r="223" spans="1:10" x14ac:dyDescent="0.3">
      <c r="A223" s="18" t="s">
        <v>62</v>
      </c>
      <c r="B223" s="19">
        <v>45037</v>
      </c>
      <c r="C223" s="20" t="s">
        <v>376</v>
      </c>
      <c r="D223" s="20" t="s">
        <v>377</v>
      </c>
      <c r="E223" s="20" t="s">
        <v>65</v>
      </c>
      <c r="F223" s="21" t="s">
        <v>71</v>
      </c>
      <c r="G223">
        <f t="shared" si="9"/>
        <v>8.3333333333333329E-2</v>
      </c>
      <c r="H223" t="str">
        <f>VLOOKUP(F223,'Tipo Parada Forno 04 07'!$A$2:I231,2,FALSE())</f>
        <v>NP</v>
      </c>
      <c r="I223">
        <f t="shared" si="10"/>
        <v>0</v>
      </c>
      <c r="J223">
        <f t="shared" si="11"/>
        <v>8.3333333333333329E-2</v>
      </c>
    </row>
    <row r="224" spans="1:10" x14ac:dyDescent="0.3">
      <c r="A224" s="18" t="s">
        <v>62</v>
      </c>
      <c r="B224" s="19">
        <v>45037</v>
      </c>
      <c r="C224" s="20" t="s">
        <v>377</v>
      </c>
      <c r="D224" s="20" t="s">
        <v>378</v>
      </c>
      <c r="E224" s="20" t="s">
        <v>110</v>
      </c>
      <c r="F224" s="21" t="s">
        <v>74</v>
      </c>
      <c r="G224">
        <f t="shared" si="9"/>
        <v>0.23333333333333334</v>
      </c>
      <c r="H224" t="str">
        <f>VLOOKUP(F224,'Tipo Parada Forno 04 07'!$A$2:I232,2,FALSE())</f>
        <v>NP</v>
      </c>
      <c r="I224">
        <f t="shared" si="10"/>
        <v>0</v>
      </c>
      <c r="J224">
        <f t="shared" si="11"/>
        <v>0.23333333333333334</v>
      </c>
    </row>
    <row r="225" spans="1:10" x14ac:dyDescent="0.3">
      <c r="A225" s="18" t="s">
        <v>62</v>
      </c>
      <c r="B225" s="19">
        <v>45037</v>
      </c>
      <c r="C225" s="20" t="s">
        <v>379</v>
      </c>
      <c r="D225" s="20" t="s">
        <v>232</v>
      </c>
      <c r="E225" s="20" t="s">
        <v>363</v>
      </c>
      <c r="F225" s="21" t="s">
        <v>105</v>
      </c>
      <c r="G225">
        <f t="shared" si="9"/>
        <v>0.71666666666666667</v>
      </c>
      <c r="H225" t="str">
        <f>VLOOKUP(F225,'Tipo Parada Forno 04 07'!$A$2:I233,2,FALSE())</f>
        <v>NP</v>
      </c>
      <c r="I225">
        <f t="shared" si="10"/>
        <v>0</v>
      </c>
      <c r="J225">
        <f t="shared" si="11"/>
        <v>0.71666666666666667</v>
      </c>
    </row>
    <row r="226" spans="1:10" x14ac:dyDescent="0.3">
      <c r="A226" s="18" t="s">
        <v>62</v>
      </c>
      <c r="B226" s="19">
        <v>45037</v>
      </c>
      <c r="C226" s="20" t="s">
        <v>380</v>
      </c>
      <c r="D226" s="20" t="s">
        <v>381</v>
      </c>
      <c r="E226" s="20" t="s">
        <v>65</v>
      </c>
      <c r="F226" s="21" t="s">
        <v>69</v>
      </c>
      <c r="G226">
        <f t="shared" si="9"/>
        <v>8.3333333333333329E-2</v>
      </c>
      <c r="H226" t="str">
        <f>VLOOKUP(F226,'Tipo Parada Forno 04 07'!$A$2:I234,2,FALSE())</f>
        <v>NP</v>
      </c>
      <c r="I226">
        <f t="shared" si="10"/>
        <v>0</v>
      </c>
      <c r="J226">
        <f t="shared" si="11"/>
        <v>8.3333333333333329E-2</v>
      </c>
    </row>
    <row r="227" spans="1:10" x14ac:dyDescent="0.3">
      <c r="A227" s="18" t="s">
        <v>62</v>
      </c>
      <c r="B227" s="19">
        <v>45037</v>
      </c>
      <c r="C227" s="20" t="s">
        <v>381</v>
      </c>
      <c r="D227" s="20" t="s">
        <v>382</v>
      </c>
      <c r="E227" s="20" t="s">
        <v>80</v>
      </c>
      <c r="F227" s="21" t="s">
        <v>71</v>
      </c>
      <c r="G227">
        <f t="shared" si="9"/>
        <v>0.05</v>
      </c>
      <c r="H227" t="str">
        <f>VLOOKUP(F227,'Tipo Parada Forno 04 07'!$A$2:I235,2,FALSE())</f>
        <v>NP</v>
      </c>
      <c r="I227">
        <f t="shared" si="10"/>
        <v>0</v>
      </c>
      <c r="J227">
        <f t="shared" si="11"/>
        <v>0.05</v>
      </c>
    </row>
    <row r="228" spans="1:10" x14ac:dyDescent="0.3">
      <c r="A228" s="18" t="s">
        <v>62</v>
      </c>
      <c r="B228" s="19">
        <v>45037</v>
      </c>
      <c r="C228" s="20" t="s">
        <v>382</v>
      </c>
      <c r="D228" s="20" t="s">
        <v>383</v>
      </c>
      <c r="E228" s="20" t="s">
        <v>65</v>
      </c>
      <c r="F228" s="21" t="s">
        <v>66</v>
      </c>
      <c r="G228">
        <f t="shared" si="9"/>
        <v>8.3333333333333329E-2</v>
      </c>
      <c r="H228" t="str">
        <f>VLOOKUP(F228,'Tipo Parada Forno 04 07'!$A$2:I236,2,FALSE())</f>
        <v>NP</v>
      </c>
      <c r="I228">
        <f t="shared" si="10"/>
        <v>0</v>
      </c>
      <c r="J228">
        <f t="shared" si="11"/>
        <v>8.3333333333333329E-2</v>
      </c>
    </row>
    <row r="229" spans="1:10" x14ac:dyDescent="0.3">
      <c r="A229" s="18" t="s">
        <v>62</v>
      </c>
      <c r="B229" s="19">
        <v>45037</v>
      </c>
      <c r="C229" s="20" t="s">
        <v>383</v>
      </c>
      <c r="D229" s="20" t="s">
        <v>384</v>
      </c>
      <c r="E229" s="20" t="s">
        <v>292</v>
      </c>
      <c r="F229" s="21" t="s">
        <v>74</v>
      </c>
      <c r="G229">
        <f t="shared" si="9"/>
        <v>0.18333333333333332</v>
      </c>
      <c r="H229" t="str">
        <f>VLOOKUP(F229,'Tipo Parada Forno 04 07'!$A$2:I237,2,FALSE())</f>
        <v>NP</v>
      </c>
      <c r="I229">
        <f t="shared" si="10"/>
        <v>0</v>
      </c>
      <c r="J229">
        <f t="shared" si="11"/>
        <v>0.18333333333333332</v>
      </c>
    </row>
    <row r="230" spans="1:10" x14ac:dyDescent="0.3">
      <c r="A230" s="18" t="s">
        <v>62</v>
      </c>
      <c r="B230" s="19">
        <v>45037</v>
      </c>
      <c r="C230" s="20" t="s">
        <v>328</v>
      </c>
      <c r="D230" s="20" t="s">
        <v>329</v>
      </c>
      <c r="E230" s="20" t="s">
        <v>65</v>
      </c>
      <c r="F230" s="21" t="s">
        <v>69</v>
      </c>
      <c r="G230">
        <f t="shared" si="9"/>
        <v>8.3333333333333329E-2</v>
      </c>
      <c r="H230" t="str">
        <f>VLOOKUP(F230,'Tipo Parada Forno 04 07'!$A$2:I238,2,FALSE())</f>
        <v>NP</v>
      </c>
      <c r="I230">
        <f t="shared" si="10"/>
        <v>0</v>
      </c>
      <c r="J230">
        <f t="shared" si="11"/>
        <v>8.3333333333333329E-2</v>
      </c>
    </row>
    <row r="231" spans="1:10" x14ac:dyDescent="0.3">
      <c r="A231" s="18" t="s">
        <v>62</v>
      </c>
      <c r="B231" s="19">
        <v>45037</v>
      </c>
      <c r="C231" s="20" t="s">
        <v>329</v>
      </c>
      <c r="D231" s="20" t="s">
        <v>162</v>
      </c>
      <c r="E231" s="20" t="s">
        <v>65</v>
      </c>
      <c r="F231" s="21" t="s">
        <v>71</v>
      </c>
      <c r="G231">
        <f t="shared" si="9"/>
        <v>8.3333333333333329E-2</v>
      </c>
      <c r="H231" t="str">
        <f>VLOOKUP(F231,'Tipo Parada Forno 04 07'!$A$2:I239,2,FALSE())</f>
        <v>NP</v>
      </c>
      <c r="I231">
        <f t="shared" si="10"/>
        <v>0</v>
      </c>
      <c r="J231">
        <f t="shared" si="11"/>
        <v>8.3333333333333329E-2</v>
      </c>
    </row>
    <row r="232" spans="1:10" x14ac:dyDescent="0.3">
      <c r="A232" s="18" t="s">
        <v>62</v>
      </c>
      <c r="B232" s="19">
        <v>45037</v>
      </c>
      <c r="C232" s="20" t="s">
        <v>162</v>
      </c>
      <c r="D232" s="20" t="s">
        <v>305</v>
      </c>
      <c r="E232" s="20" t="s">
        <v>87</v>
      </c>
      <c r="F232" s="21" t="s">
        <v>105</v>
      </c>
      <c r="G232">
        <f t="shared" si="9"/>
        <v>0.33333333333333331</v>
      </c>
      <c r="H232" t="str">
        <f>VLOOKUP(F232,'Tipo Parada Forno 04 07'!$A$2:I240,2,FALSE())</f>
        <v>NP</v>
      </c>
      <c r="I232">
        <f t="shared" si="10"/>
        <v>0</v>
      </c>
      <c r="J232">
        <f t="shared" si="11"/>
        <v>0.33333333333333331</v>
      </c>
    </row>
    <row r="233" spans="1:10" x14ac:dyDescent="0.3">
      <c r="A233" s="18" t="s">
        <v>62</v>
      </c>
      <c r="B233" s="19">
        <v>45037</v>
      </c>
      <c r="C233" s="20" t="s">
        <v>305</v>
      </c>
      <c r="D233" s="20" t="s">
        <v>385</v>
      </c>
      <c r="E233" s="20" t="s">
        <v>76</v>
      </c>
      <c r="F233" s="21" t="s">
        <v>66</v>
      </c>
      <c r="G233">
        <f t="shared" si="9"/>
        <v>0.15</v>
      </c>
      <c r="H233" t="str">
        <f>VLOOKUP(F233,'Tipo Parada Forno 04 07'!$A$2:I241,2,FALSE())</f>
        <v>NP</v>
      </c>
      <c r="I233">
        <f t="shared" si="10"/>
        <v>0</v>
      </c>
      <c r="J233">
        <f t="shared" si="11"/>
        <v>0.15</v>
      </c>
    </row>
    <row r="234" spans="1:10" x14ac:dyDescent="0.3">
      <c r="A234" s="18" t="s">
        <v>62</v>
      </c>
      <c r="B234" s="19">
        <v>45037</v>
      </c>
      <c r="C234" s="20" t="s">
        <v>386</v>
      </c>
      <c r="D234" s="20" t="s">
        <v>387</v>
      </c>
      <c r="E234" s="20" t="s">
        <v>97</v>
      </c>
      <c r="F234" s="21" t="s">
        <v>89</v>
      </c>
      <c r="G234">
        <f t="shared" si="9"/>
        <v>6.6666666666666666E-2</v>
      </c>
      <c r="H234" t="str">
        <f>VLOOKUP(F234,'Tipo Parada Forno 04 07'!$A$2:I242,2,FALSE())</f>
        <v>NP</v>
      </c>
      <c r="I234">
        <f t="shared" si="10"/>
        <v>0</v>
      </c>
      <c r="J234">
        <f t="shared" si="11"/>
        <v>6.6666666666666666E-2</v>
      </c>
    </row>
    <row r="235" spans="1:10" x14ac:dyDescent="0.3">
      <c r="A235" s="18" t="s">
        <v>62</v>
      </c>
      <c r="B235" s="19">
        <v>45038</v>
      </c>
      <c r="C235" s="20" t="s">
        <v>388</v>
      </c>
      <c r="D235" s="20" t="s">
        <v>72</v>
      </c>
      <c r="E235" s="20" t="s">
        <v>151</v>
      </c>
      <c r="F235" s="21" t="s">
        <v>74</v>
      </c>
      <c r="G235">
        <f t="shared" si="9"/>
        <v>0.28333333333333333</v>
      </c>
      <c r="H235" t="str">
        <f>VLOOKUP(F235,'Tipo Parada Forno 04 07'!$A$2:I243,2,FALSE())</f>
        <v>NP</v>
      </c>
      <c r="I235">
        <f t="shared" si="10"/>
        <v>0</v>
      </c>
      <c r="J235">
        <f t="shared" si="11"/>
        <v>0.28333333333333333</v>
      </c>
    </row>
    <row r="236" spans="1:10" x14ac:dyDescent="0.3">
      <c r="A236" s="18" t="s">
        <v>62</v>
      </c>
      <c r="B236" s="19">
        <v>45038</v>
      </c>
      <c r="C236" s="20" t="s">
        <v>389</v>
      </c>
      <c r="D236" s="20" t="s">
        <v>390</v>
      </c>
      <c r="E236" s="20" t="s">
        <v>221</v>
      </c>
      <c r="F236" s="21" t="s">
        <v>69</v>
      </c>
      <c r="G236">
        <f t="shared" si="9"/>
        <v>0.11666666666666667</v>
      </c>
      <c r="H236" t="str">
        <f>VLOOKUP(F236,'Tipo Parada Forno 04 07'!$A$2:I244,2,FALSE())</f>
        <v>NP</v>
      </c>
      <c r="I236">
        <f t="shared" si="10"/>
        <v>0</v>
      </c>
      <c r="J236">
        <f t="shared" si="11"/>
        <v>0.11666666666666667</v>
      </c>
    </row>
    <row r="237" spans="1:10" x14ac:dyDescent="0.3">
      <c r="A237" s="18" t="s">
        <v>62</v>
      </c>
      <c r="B237" s="19">
        <v>45038</v>
      </c>
      <c r="C237" s="20" t="s">
        <v>391</v>
      </c>
      <c r="D237" s="20" t="s">
        <v>392</v>
      </c>
      <c r="E237" s="20" t="s">
        <v>65</v>
      </c>
      <c r="F237" s="21" t="s">
        <v>69</v>
      </c>
      <c r="G237">
        <f t="shared" si="9"/>
        <v>8.3333333333333329E-2</v>
      </c>
      <c r="H237" t="str">
        <f>VLOOKUP(F237,'Tipo Parada Forno 04 07'!$A$2:I245,2,FALSE())</f>
        <v>NP</v>
      </c>
      <c r="I237">
        <f t="shared" si="10"/>
        <v>0</v>
      </c>
      <c r="J237">
        <f t="shared" si="11"/>
        <v>8.3333333333333329E-2</v>
      </c>
    </row>
    <row r="238" spans="1:10" x14ac:dyDescent="0.3">
      <c r="A238" s="18" t="s">
        <v>62</v>
      </c>
      <c r="B238" s="19">
        <v>45038</v>
      </c>
      <c r="C238" s="20" t="s">
        <v>392</v>
      </c>
      <c r="D238" s="20" t="s">
        <v>393</v>
      </c>
      <c r="E238" s="20" t="s">
        <v>80</v>
      </c>
      <c r="F238" s="21" t="s">
        <v>71</v>
      </c>
      <c r="G238">
        <f t="shared" si="9"/>
        <v>0.05</v>
      </c>
      <c r="H238" t="str">
        <f>VLOOKUP(F238,'Tipo Parada Forno 04 07'!$A$2:I246,2,FALSE())</f>
        <v>NP</v>
      </c>
      <c r="I238">
        <f t="shared" si="10"/>
        <v>0</v>
      </c>
      <c r="J238">
        <f t="shared" si="11"/>
        <v>0.05</v>
      </c>
    </row>
    <row r="239" spans="1:10" x14ac:dyDescent="0.3">
      <c r="A239" s="18" t="s">
        <v>62</v>
      </c>
      <c r="B239" s="19">
        <v>45038</v>
      </c>
      <c r="C239" s="20" t="s">
        <v>393</v>
      </c>
      <c r="D239" s="20" t="s">
        <v>394</v>
      </c>
      <c r="E239" s="20" t="s">
        <v>65</v>
      </c>
      <c r="F239" s="21" t="s">
        <v>66</v>
      </c>
      <c r="G239">
        <f t="shared" si="9"/>
        <v>8.3333333333333329E-2</v>
      </c>
      <c r="H239" t="str">
        <f>VLOOKUP(F239,'Tipo Parada Forno 04 07'!$A$2:I247,2,FALSE())</f>
        <v>NP</v>
      </c>
      <c r="I239">
        <f t="shared" si="10"/>
        <v>0</v>
      </c>
      <c r="J239">
        <f t="shared" si="11"/>
        <v>8.3333333333333329E-2</v>
      </c>
    </row>
    <row r="240" spans="1:10" x14ac:dyDescent="0.3">
      <c r="A240" s="18" t="s">
        <v>62</v>
      </c>
      <c r="B240" s="19">
        <v>45038</v>
      </c>
      <c r="C240" s="20" t="s">
        <v>394</v>
      </c>
      <c r="D240" s="20" t="s">
        <v>395</v>
      </c>
      <c r="E240" s="20" t="s">
        <v>73</v>
      </c>
      <c r="F240" s="21" t="s">
        <v>74</v>
      </c>
      <c r="G240">
        <f t="shared" si="9"/>
        <v>0.16666666666666666</v>
      </c>
      <c r="H240" t="str">
        <f>VLOOKUP(F240,'Tipo Parada Forno 04 07'!$A$2:I248,2,FALSE())</f>
        <v>NP</v>
      </c>
      <c r="I240">
        <f t="shared" si="10"/>
        <v>0</v>
      </c>
      <c r="J240">
        <f t="shared" si="11"/>
        <v>0.16666666666666666</v>
      </c>
    </row>
    <row r="241" spans="1:10" x14ac:dyDescent="0.3">
      <c r="A241" s="18" t="s">
        <v>62</v>
      </c>
      <c r="B241" s="19">
        <v>45038</v>
      </c>
      <c r="C241" s="20" t="s">
        <v>396</v>
      </c>
      <c r="D241" s="20" t="s">
        <v>397</v>
      </c>
      <c r="E241" s="20" t="s">
        <v>398</v>
      </c>
      <c r="F241" s="21" t="s">
        <v>69</v>
      </c>
      <c r="G241">
        <f t="shared" si="9"/>
        <v>3.3333333333333333E-2</v>
      </c>
      <c r="H241" t="str">
        <f>VLOOKUP(F241,'Tipo Parada Forno 04 07'!$A$2:I249,2,FALSE())</f>
        <v>NP</v>
      </c>
      <c r="I241">
        <f t="shared" si="10"/>
        <v>0</v>
      </c>
      <c r="J241">
        <f t="shared" si="11"/>
        <v>3.3333333333333333E-2</v>
      </c>
    </row>
    <row r="242" spans="1:10" x14ac:dyDescent="0.3">
      <c r="A242" s="18" t="s">
        <v>62</v>
      </c>
      <c r="B242" s="19">
        <v>45038</v>
      </c>
      <c r="C242" s="20" t="s">
        <v>399</v>
      </c>
      <c r="D242" s="20" t="s">
        <v>400</v>
      </c>
      <c r="E242" s="20" t="s">
        <v>65</v>
      </c>
      <c r="F242" s="21" t="s">
        <v>71</v>
      </c>
      <c r="G242">
        <f t="shared" si="9"/>
        <v>8.3333333333333329E-2</v>
      </c>
      <c r="H242" t="str">
        <f>VLOOKUP(F242,'Tipo Parada Forno 04 07'!$A$2:I250,2,FALSE())</f>
        <v>NP</v>
      </c>
      <c r="I242">
        <f t="shared" si="10"/>
        <v>0</v>
      </c>
      <c r="J242">
        <f t="shared" si="11"/>
        <v>8.3333333333333329E-2</v>
      </c>
    </row>
    <row r="243" spans="1:10" x14ac:dyDescent="0.3">
      <c r="A243" s="18" t="s">
        <v>62</v>
      </c>
      <c r="B243" s="19">
        <v>45038</v>
      </c>
      <c r="C243" s="20" t="s">
        <v>400</v>
      </c>
      <c r="D243" s="20" t="s">
        <v>387</v>
      </c>
      <c r="E243" s="20" t="s">
        <v>247</v>
      </c>
      <c r="F243" s="21" t="s">
        <v>105</v>
      </c>
      <c r="G243">
        <f t="shared" si="9"/>
        <v>0.4</v>
      </c>
      <c r="H243" t="str">
        <f>VLOOKUP(F243,'Tipo Parada Forno 04 07'!$A$2:I251,2,FALSE())</f>
        <v>NP</v>
      </c>
      <c r="I243">
        <f t="shared" si="10"/>
        <v>0</v>
      </c>
      <c r="J243">
        <f t="shared" si="11"/>
        <v>0.4</v>
      </c>
    </row>
    <row r="244" spans="1:10" x14ac:dyDescent="0.3">
      <c r="A244" s="18" t="s">
        <v>62</v>
      </c>
      <c r="B244" s="19">
        <v>45039</v>
      </c>
      <c r="C244" s="20" t="s">
        <v>401</v>
      </c>
      <c r="D244" s="20" t="s">
        <v>402</v>
      </c>
      <c r="E244" s="20" t="s">
        <v>151</v>
      </c>
      <c r="F244" s="21" t="s">
        <v>74</v>
      </c>
      <c r="G244">
        <f t="shared" si="9"/>
        <v>0.28333333333333333</v>
      </c>
      <c r="H244" t="str">
        <f>VLOOKUP(F244,'Tipo Parada Forno 04 07'!$A$2:I252,2,FALSE())</f>
        <v>NP</v>
      </c>
      <c r="I244">
        <f t="shared" si="10"/>
        <v>0</v>
      </c>
      <c r="J244">
        <f t="shared" si="11"/>
        <v>0.28333333333333333</v>
      </c>
    </row>
    <row r="245" spans="1:10" x14ac:dyDescent="0.3">
      <c r="A245" s="18" t="s">
        <v>62</v>
      </c>
      <c r="B245" s="19">
        <v>45039</v>
      </c>
      <c r="C245" s="20" t="s">
        <v>403</v>
      </c>
      <c r="D245" s="20" t="s">
        <v>404</v>
      </c>
      <c r="E245" s="20" t="s">
        <v>97</v>
      </c>
      <c r="F245" s="21" t="s">
        <v>69</v>
      </c>
      <c r="G245">
        <f t="shared" si="9"/>
        <v>6.6666666666666666E-2</v>
      </c>
      <c r="H245" t="str">
        <f>VLOOKUP(F245,'Tipo Parada Forno 04 07'!$A$2:I253,2,FALSE())</f>
        <v>NP</v>
      </c>
      <c r="I245">
        <f t="shared" si="10"/>
        <v>0</v>
      </c>
      <c r="J245">
        <f t="shared" si="11"/>
        <v>6.6666666666666666E-2</v>
      </c>
    </row>
    <row r="246" spans="1:10" x14ac:dyDescent="0.3">
      <c r="A246" s="18" t="s">
        <v>62</v>
      </c>
      <c r="B246" s="19">
        <v>45039</v>
      </c>
      <c r="C246" s="20" t="s">
        <v>404</v>
      </c>
      <c r="D246" s="20" t="s">
        <v>230</v>
      </c>
      <c r="E246" s="20" t="s">
        <v>80</v>
      </c>
      <c r="F246" s="21" t="s">
        <v>71</v>
      </c>
      <c r="G246">
        <f t="shared" si="9"/>
        <v>0.05</v>
      </c>
      <c r="H246" t="str">
        <f>VLOOKUP(F246,'Tipo Parada Forno 04 07'!$A$2:I254,2,FALSE())</f>
        <v>NP</v>
      </c>
      <c r="I246">
        <f t="shared" si="10"/>
        <v>0</v>
      </c>
      <c r="J246">
        <f t="shared" si="11"/>
        <v>0.05</v>
      </c>
    </row>
    <row r="247" spans="1:10" x14ac:dyDescent="0.3">
      <c r="A247" s="18" t="s">
        <v>62</v>
      </c>
      <c r="B247" s="19">
        <v>45039</v>
      </c>
      <c r="C247" s="20" t="s">
        <v>230</v>
      </c>
      <c r="D247" s="20" t="s">
        <v>405</v>
      </c>
      <c r="E247" s="20" t="s">
        <v>355</v>
      </c>
      <c r="F247" s="21" t="s">
        <v>105</v>
      </c>
      <c r="G247">
        <f t="shared" si="9"/>
        <v>0.31666666666666665</v>
      </c>
      <c r="H247" t="str">
        <f>VLOOKUP(F247,'Tipo Parada Forno 04 07'!$A$2:I255,2,FALSE())</f>
        <v>NP</v>
      </c>
      <c r="I247">
        <f t="shared" si="10"/>
        <v>0</v>
      </c>
      <c r="J247">
        <f t="shared" si="11"/>
        <v>0.31666666666666665</v>
      </c>
    </row>
    <row r="248" spans="1:10" x14ac:dyDescent="0.3">
      <c r="A248" s="18" t="s">
        <v>62</v>
      </c>
      <c r="B248" s="19">
        <v>45039</v>
      </c>
      <c r="C248" s="20" t="s">
        <v>233</v>
      </c>
      <c r="D248" s="20" t="s">
        <v>406</v>
      </c>
      <c r="E248" s="20" t="s">
        <v>65</v>
      </c>
      <c r="F248" s="21" t="s">
        <v>69</v>
      </c>
      <c r="G248">
        <f t="shared" si="9"/>
        <v>8.3333333333333329E-2</v>
      </c>
      <c r="H248" t="str">
        <f>VLOOKUP(F248,'Tipo Parada Forno 04 07'!$A$2:I256,2,FALSE())</f>
        <v>NP</v>
      </c>
      <c r="I248">
        <f t="shared" si="10"/>
        <v>0</v>
      </c>
      <c r="J248">
        <f t="shared" si="11"/>
        <v>8.3333333333333329E-2</v>
      </c>
    </row>
    <row r="249" spans="1:10" x14ac:dyDescent="0.3">
      <c r="A249" s="18" t="s">
        <v>62</v>
      </c>
      <c r="B249" s="19">
        <v>45039</v>
      </c>
      <c r="C249" s="20" t="s">
        <v>406</v>
      </c>
      <c r="D249" s="20" t="s">
        <v>407</v>
      </c>
      <c r="E249" s="20" t="s">
        <v>80</v>
      </c>
      <c r="F249" s="21" t="s">
        <v>71</v>
      </c>
      <c r="G249">
        <f t="shared" si="9"/>
        <v>0.05</v>
      </c>
      <c r="H249" t="str">
        <f>VLOOKUP(F249,'Tipo Parada Forno 04 07'!$A$2:I257,2,FALSE())</f>
        <v>NP</v>
      </c>
      <c r="I249">
        <f t="shared" si="10"/>
        <v>0</v>
      </c>
      <c r="J249">
        <f t="shared" si="11"/>
        <v>0.05</v>
      </c>
    </row>
    <row r="250" spans="1:10" x14ac:dyDescent="0.3">
      <c r="A250" s="18" t="s">
        <v>62</v>
      </c>
      <c r="B250" s="19">
        <v>45039</v>
      </c>
      <c r="C250" s="20" t="s">
        <v>407</v>
      </c>
      <c r="D250" s="20" t="s">
        <v>408</v>
      </c>
      <c r="E250" s="20" t="s">
        <v>122</v>
      </c>
      <c r="F250" s="21" t="s">
        <v>66</v>
      </c>
      <c r="G250">
        <f t="shared" si="9"/>
        <v>0.25</v>
      </c>
      <c r="H250" t="str">
        <f>VLOOKUP(F250,'Tipo Parada Forno 04 07'!$A$2:I258,2,FALSE())</f>
        <v>NP</v>
      </c>
      <c r="I250">
        <f t="shared" si="10"/>
        <v>0</v>
      </c>
      <c r="J250">
        <f t="shared" si="11"/>
        <v>0.25</v>
      </c>
    </row>
    <row r="251" spans="1:10" x14ac:dyDescent="0.3">
      <c r="A251" s="18" t="s">
        <v>62</v>
      </c>
      <c r="B251" s="19">
        <v>45039</v>
      </c>
      <c r="C251" s="20" t="s">
        <v>408</v>
      </c>
      <c r="D251" s="20" t="s">
        <v>409</v>
      </c>
      <c r="E251" s="20" t="s">
        <v>76</v>
      </c>
      <c r="F251" s="21" t="s">
        <v>74</v>
      </c>
      <c r="G251">
        <f t="shared" si="9"/>
        <v>0.15</v>
      </c>
      <c r="H251" t="str">
        <f>VLOOKUP(F251,'Tipo Parada Forno 04 07'!$A$2:I259,2,FALSE())</f>
        <v>NP</v>
      </c>
      <c r="I251">
        <f t="shared" si="10"/>
        <v>0</v>
      </c>
      <c r="J251">
        <f t="shared" si="11"/>
        <v>0.15</v>
      </c>
    </row>
    <row r="252" spans="1:10" x14ac:dyDescent="0.3">
      <c r="A252" s="18" t="s">
        <v>62</v>
      </c>
      <c r="B252" s="19">
        <v>45039</v>
      </c>
      <c r="C252" s="20" t="s">
        <v>410</v>
      </c>
      <c r="D252" s="20" t="s">
        <v>83</v>
      </c>
      <c r="E252" s="20" t="s">
        <v>80</v>
      </c>
      <c r="F252" s="21" t="s">
        <v>69</v>
      </c>
      <c r="G252">
        <f t="shared" si="9"/>
        <v>0.05</v>
      </c>
      <c r="H252" t="str">
        <f>VLOOKUP(F252,'Tipo Parada Forno 04 07'!$A$2:I260,2,FALSE())</f>
        <v>NP</v>
      </c>
      <c r="I252">
        <f t="shared" si="10"/>
        <v>0</v>
      </c>
      <c r="J252">
        <f t="shared" si="11"/>
        <v>0.05</v>
      </c>
    </row>
    <row r="253" spans="1:10" x14ac:dyDescent="0.3">
      <c r="A253" s="18" t="s">
        <v>62</v>
      </c>
      <c r="B253" s="19">
        <v>45039</v>
      </c>
      <c r="C253" s="20" t="s">
        <v>102</v>
      </c>
      <c r="D253" s="20" t="s">
        <v>84</v>
      </c>
      <c r="E253" s="20" t="s">
        <v>65</v>
      </c>
      <c r="F253" s="21" t="s">
        <v>71</v>
      </c>
      <c r="G253">
        <f t="shared" si="9"/>
        <v>8.3333333333333329E-2</v>
      </c>
      <c r="H253" t="str">
        <f>VLOOKUP(F253,'Tipo Parada Forno 04 07'!$A$2:I261,2,FALSE())</f>
        <v>NP</v>
      </c>
      <c r="I253">
        <f t="shared" si="10"/>
        <v>0</v>
      </c>
      <c r="J253">
        <f t="shared" si="11"/>
        <v>8.3333333333333329E-2</v>
      </c>
    </row>
    <row r="254" spans="1:10" x14ac:dyDescent="0.3">
      <c r="A254" s="18" t="s">
        <v>62</v>
      </c>
      <c r="B254" s="19">
        <v>45039</v>
      </c>
      <c r="C254" s="20" t="s">
        <v>84</v>
      </c>
      <c r="D254" s="20" t="s">
        <v>86</v>
      </c>
      <c r="E254" s="20" t="s">
        <v>87</v>
      </c>
      <c r="F254" s="21" t="s">
        <v>105</v>
      </c>
      <c r="G254">
        <f t="shared" si="9"/>
        <v>0.33333333333333331</v>
      </c>
      <c r="H254" t="str">
        <f>VLOOKUP(F254,'Tipo Parada Forno 04 07'!$A$2:I262,2,FALSE())</f>
        <v>NP</v>
      </c>
      <c r="I254">
        <f t="shared" si="10"/>
        <v>0</v>
      </c>
      <c r="J254">
        <f t="shared" si="11"/>
        <v>0.33333333333333331</v>
      </c>
    </row>
    <row r="255" spans="1:10" x14ac:dyDescent="0.3">
      <c r="A255" s="18" t="s">
        <v>62</v>
      </c>
      <c r="B255" s="19">
        <v>45039</v>
      </c>
      <c r="C255" s="20" t="s">
        <v>86</v>
      </c>
      <c r="D255" s="20" t="s">
        <v>326</v>
      </c>
      <c r="E255" s="20" t="s">
        <v>110</v>
      </c>
      <c r="F255" s="21" t="s">
        <v>66</v>
      </c>
      <c r="G255">
        <f t="shared" si="9"/>
        <v>0.23333333333333334</v>
      </c>
      <c r="H255" t="str">
        <f>VLOOKUP(F255,'Tipo Parada Forno 04 07'!$A$2:I263,2,FALSE())</f>
        <v>NP</v>
      </c>
      <c r="I255">
        <f t="shared" si="10"/>
        <v>0</v>
      </c>
      <c r="J255">
        <f t="shared" si="11"/>
        <v>0.23333333333333334</v>
      </c>
    </row>
    <row r="256" spans="1:10" x14ac:dyDescent="0.3">
      <c r="A256" s="18" t="s">
        <v>62</v>
      </c>
      <c r="B256" s="19">
        <v>45040</v>
      </c>
      <c r="C256" s="20" t="s">
        <v>411</v>
      </c>
      <c r="D256" s="20" t="s">
        <v>412</v>
      </c>
      <c r="E256" s="20" t="s">
        <v>65</v>
      </c>
      <c r="F256" s="21" t="s">
        <v>69</v>
      </c>
      <c r="G256">
        <f t="shared" si="9"/>
        <v>8.3333333333333329E-2</v>
      </c>
      <c r="H256" t="str">
        <f>VLOOKUP(F256,'Tipo Parada Forno 04 07'!$A$2:I264,2,FALSE())</f>
        <v>NP</v>
      </c>
      <c r="I256">
        <f t="shared" si="10"/>
        <v>0</v>
      </c>
      <c r="J256">
        <f t="shared" si="11"/>
        <v>8.3333333333333329E-2</v>
      </c>
    </row>
    <row r="257" spans="1:10" x14ac:dyDescent="0.3">
      <c r="A257" s="18" t="s">
        <v>62</v>
      </c>
      <c r="B257" s="19">
        <v>45040</v>
      </c>
      <c r="C257" s="20" t="s">
        <v>413</v>
      </c>
      <c r="D257" s="20" t="s">
        <v>414</v>
      </c>
      <c r="E257" s="20" t="s">
        <v>65</v>
      </c>
      <c r="F257" s="21" t="s">
        <v>71</v>
      </c>
      <c r="G257">
        <f t="shared" si="9"/>
        <v>8.3333333333333329E-2</v>
      </c>
      <c r="H257" t="str">
        <f>VLOOKUP(F257,'Tipo Parada Forno 04 07'!$A$2:I265,2,FALSE())</f>
        <v>NP</v>
      </c>
      <c r="I257">
        <f t="shared" si="10"/>
        <v>0</v>
      </c>
      <c r="J257">
        <f t="shared" si="11"/>
        <v>8.3333333333333329E-2</v>
      </c>
    </row>
    <row r="258" spans="1:10" x14ac:dyDescent="0.3">
      <c r="A258" s="18" t="s">
        <v>62</v>
      </c>
      <c r="B258" s="19">
        <v>45040</v>
      </c>
      <c r="C258" s="20" t="s">
        <v>415</v>
      </c>
      <c r="D258" s="20" t="s">
        <v>416</v>
      </c>
      <c r="E258" s="20" t="s">
        <v>122</v>
      </c>
      <c r="F258" s="21" t="s">
        <v>417</v>
      </c>
      <c r="G258">
        <f t="shared" ref="G258:G321" si="12">VALUE(MID(E258,1,2)+VALUE(MID(E258,4,2))/60)</f>
        <v>0.25</v>
      </c>
      <c r="H258" t="str">
        <f>VLOOKUP(F258,'Tipo Parada Forno 04 07'!$A$2:I266,2,FALSE())</f>
        <v>NP</v>
      </c>
      <c r="I258">
        <f t="shared" ref="I258:I321" si="13">IF(H258="P",G258,0)</f>
        <v>0</v>
      </c>
      <c r="J258">
        <f t="shared" ref="J258:J321" si="14">IF(H258="NP",G258,0)</f>
        <v>0.25</v>
      </c>
    </row>
    <row r="259" spans="1:10" x14ac:dyDescent="0.3">
      <c r="A259" s="18" t="s">
        <v>62</v>
      </c>
      <c r="B259" s="19">
        <v>45040</v>
      </c>
      <c r="C259" s="20" t="s">
        <v>309</v>
      </c>
      <c r="D259" s="20" t="s">
        <v>418</v>
      </c>
      <c r="E259" s="20" t="s">
        <v>65</v>
      </c>
      <c r="F259" s="21" t="s">
        <v>69</v>
      </c>
      <c r="G259">
        <f t="shared" si="12"/>
        <v>8.3333333333333329E-2</v>
      </c>
      <c r="H259" t="str">
        <f>VLOOKUP(F259,'Tipo Parada Forno 04 07'!$A$2:I267,2,FALSE())</f>
        <v>NP</v>
      </c>
      <c r="I259">
        <f t="shared" si="13"/>
        <v>0</v>
      </c>
      <c r="J259">
        <f t="shared" si="14"/>
        <v>8.3333333333333329E-2</v>
      </c>
    </row>
    <row r="260" spans="1:10" x14ac:dyDescent="0.3">
      <c r="A260" s="18" t="s">
        <v>62</v>
      </c>
      <c r="B260" s="19">
        <v>45040</v>
      </c>
      <c r="C260" s="20" t="s">
        <v>419</v>
      </c>
      <c r="D260" s="20" t="s">
        <v>420</v>
      </c>
      <c r="E260" s="20" t="s">
        <v>76</v>
      </c>
      <c r="F260" s="21" t="s">
        <v>74</v>
      </c>
      <c r="G260">
        <f t="shared" si="12"/>
        <v>0.15</v>
      </c>
      <c r="H260" t="str">
        <f>VLOOKUP(F260,'Tipo Parada Forno 04 07'!$A$2:I268,2,FALSE())</f>
        <v>NP</v>
      </c>
      <c r="I260">
        <f t="shared" si="13"/>
        <v>0</v>
      </c>
      <c r="J260">
        <f t="shared" si="14"/>
        <v>0.15</v>
      </c>
    </row>
    <row r="261" spans="1:10" x14ac:dyDescent="0.3">
      <c r="A261" s="18" t="s">
        <v>62</v>
      </c>
      <c r="B261" s="19">
        <v>45040</v>
      </c>
      <c r="C261" s="20" t="s">
        <v>276</v>
      </c>
      <c r="D261" s="20" t="s">
        <v>421</v>
      </c>
      <c r="E261" s="20" t="s">
        <v>97</v>
      </c>
      <c r="F261" s="21" t="s">
        <v>69</v>
      </c>
      <c r="G261">
        <f t="shared" si="12"/>
        <v>6.6666666666666666E-2</v>
      </c>
      <c r="H261" t="str">
        <f>VLOOKUP(F261,'Tipo Parada Forno 04 07'!$A$2:I269,2,FALSE())</f>
        <v>NP</v>
      </c>
      <c r="I261">
        <f t="shared" si="13"/>
        <v>0</v>
      </c>
      <c r="J261">
        <f t="shared" si="14"/>
        <v>6.6666666666666666E-2</v>
      </c>
    </row>
    <row r="262" spans="1:10" x14ac:dyDescent="0.3">
      <c r="A262" s="18" t="s">
        <v>62</v>
      </c>
      <c r="B262" s="19">
        <v>45040</v>
      </c>
      <c r="C262" s="20" t="s">
        <v>421</v>
      </c>
      <c r="D262" s="20" t="s">
        <v>278</v>
      </c>
      <c r="E262" s="20" t="s">
        <v>65</v>
      </c>
      <c r="F262" s="21" t="s">
        <v>71</v>
      </c>
      <c r="G262">
        <f t="shared" si="12"/>
        <v>8.3333333333333329E-2</v>
      </c>
      <c r="H262" t="str">
        <f>VLOOKUP(F262,'Tipo Parada Forno 04 07'!$A$2:I270,2,FALSE())</f>
        <v>NP</v>
      </c>
      <c r="I262">
        <f t="shared" si="13"/>
        <v>0</v>
      </c>
      <c r="J262">
        <f t="shared" si="14"/>
        <v>8.3333333333333329E-2</v>
      </c>
    </row>
    <row r="263" spans="1:10" x14ac:dyDescent="0.3">
      <c r="A263" s="18" t="s">
        <v>62</v>
      </c>
      <c r="B263" s="19">
        <v>45040</v>
      </c>
      <c r="C263" s="20" t="s">
        <v>278</v>
      </c>
      <c r="D263" s="20" t="s">
        <v>279</v>
      </c>
      <c r="E263" s="20" t="s">
        <v>87</v>
      </c>
      <c r="F263" s="21" t="s">
        <v>105</v>
      </c>
      <c r="G263">
        <f t="shared" si="12"/>
        <v>0.33333333333333331</v>
      </c>
      <c r="H263" t="str">
        <f>VLOOKUP(F263,'Tipo Parada Forno 04 07'!$A$2:I271,2,FALSE())</f>
        <v>NP</v>
      </c>
      <c r="I263">
        <f t="shared" si="13"/>
        <v>0</v>
      </c>
      <c r="J263">
        <f t="shared" si="14"/>
        <v>0.33333333333333331</v>
      </c>
    </row>
    <row r="264" spans="1:10" x14ac:dyDescent="0.3">
      <c r="A264" s="18" t="s">
        <v>62</v>
      </c>
      <c r="B264" s="19">
        <v>45040</v>
      </c>
      <c r="C264" s="20" t="s">
        <v>283</v>
      </c>
      <c r="D264" s="20" t="s">
        <v>422</v>
      </c>
      <c r="E264" s="20" t="s">
        <v>65</v>
      </c>
      <c r="F264" s="21" t="s">
        <v>69</v>
      </c>
      <c r="G264">
        <f t="shared" si="12"/>
        <v>8.3333333333333329E-2</v>
      </c>
      <c r="H264" t="str">
        <f>VLOOKUP(F264,'Tipo Parada Forno 04 07'!$A$2:I272,2,FALSE())</f>
        <v>NP</v>
      </c>
      <c r="I264">
        <f t="shared" si="13"/>
        <v>0</v>
      </c>
      <c r="J264">
        <f t="shared" si="14"/>
        <v>8.3333333333333329E-2</v>
      </c>
    </row>
    <row r="265" spans="1:10" x14ac:dyDescent="0.3">
      <c r="A265" s="18" t="s">
        <v>62</v>
      </c>
      <c r="B265" s="19">
        <v>45040</v>
      </c>
      <c r="C265" s="20" t="s">
        <v>422</v>
      </c>
      <c r="D265" s="20" t="s">
        <v>251</v>
      </c>
      <c r="E265" s="20" t="s">
        <v>423</v>
      </c>
      <c r="F265" s="21" t="s">
        <v>253</v>
      </c>
      <c r="G265">
        <f t="shared" si="12"/>
        <v>1.45</v>
      </c>
      <c r="H265" t="str">
        <f>VLOOKUP(F265,'Tipo Parada Forno 04 07'!$A$2:I273,2,FALSE())</f>
        <v>P</v>
      </c>
      <c r="I265">
        <f t="shared" si="13"/>
        <v>1.45</v>
      </c>
      <c r="J265">
        <f t="shared" si="14"/>
        <v>0</v>
      </c>
    </row>
    <row r="266" spans="1:10" x14ac:dyDescent="0.3">
      <c r="A266" s="18" t="s">
        <v>62</v>
      </c>
      <c r="B266" s="19">
        <v>45040</v>
      </c>
      <c r="C266" s="20" t="s">
        <v>424</v>
      </c>
      <c r="D266" s="20" t="s">
        <v>145</v>
      </c>
      <c r="E266" s="20" t="s">
        <v>425</v>
      </c>
      <c r="F266" s="21" t="s">
        <v>426</v>
      </c>
      <c r="G266">
        <f t="shared" si="12"/>
        <v>0.6166666666666667</v>
      </c>
      <c r="H266" t="str">
        <f>VLOOKUP(F266,'Tipo Parada Forno 04 07'!$A$2:I274,2,FALSE())</f>
        <v>NP</v>
      </c>
      <c r="I266">
        <f t="shared" si="13"/>
        <v>0</v>
      </c>
      <c r="J266">
        <f t="shared" si="14"/>
        <v>0.6166666666666667</v>
      </c>
    </row>
    <row r="267" spans="1:10" x14ac:dyDescent="0.3">
      <c r="A267" s="18" t="s">
        <v>62</v>
      </c>
      <c r="B267" s="19">
        <v>45040</v>
      </c>
      <c r="C267" s="20" t="s">
        <v>283</v>
      </c>
      <c r="D267" s="20" t="s">
        <v>254</v>
      </c>
      <c r="E267" s="20" t="s">
        <v>427</v>
      </c>
      <c r="F267" s="21" t="s">
        <v>253</v>
      </c>
      <c r="G267">
        <f t="shared" si="12"/>
        <v>3.0333333333333332</v>
      </c>
      <c r="H267" t="str">
        <f>VLOOKUP(F267,'Tipo Parada Forno 04 07'!$A$2:I275,2,FALSE())</f>
        <v>P</v>
      </c>
      <c r="I267">
        <f t="shared" si="13"/>
        <v>3.0333333333333332</v>
      </c>
      <c r="J267">
        <f t="shared" si="14"/>
        <v>0</v>
      </c>
    </row>
    <row r="268" spans="1:10" x14ac:dyDescent="0.3">
      <c r="A268" s="18" t="s">
        <v>62</v>
      </c>
      <c r="B268" s="19">
        <v>45041</v>
      </c>
      <c r="C268" s="20" t="s">
        <v>428</v>
      </c>
      <c r="D268" s="20" t="s">
        <v>429</v>
      </c>
      <c r="E268" s="20" t="s">
        <v>85</v>
      </c>
      <c r="F268" s="21" t="s">
        <v>69</v>
      </c>
      <c r="G268">
        <f t="shared" si="12"/>
        <v>0.1</v>
      </c>
      <c r="H268" t="str">
        <f>VLOOKUP(F268,'Tipo Parada Forno 04 07'!$A$2:I276,2,FALSE())</f>
        <v>NP</v>
      </c>
      <c r="I268">
        <f t="shared" si="13"/>
        <v>0</v>
      </c>
      <c r="J268">
        <f t="shared" si="14"/>
        <v>0.1</v>
      </c>
    </row>
    <row r="269" spans="1:10" x14ac:dyDescent="0.3">
      <c r="A269" s="18" t="s">
        <v>62</v>
      </c>
      <c r="B269" s="19">
        <v>45041</v>
      </c>
      <c r="C269" s="20" t="s">
        <v>429</v>
      </c>
      <c r="D269" s="20" t="s">
        <v>430</v>
      </c>
      <c r="E269" s="20" t="s">
        <v>65</v>
      </c>
      <c r="F269" s="21" t="s">
        <v>71</v>
      </c>
      <c r="G269">
        <f t="shared" si="12"/>
        <v>8.3333333333333329E-2</v>
      </c>
      <c r="H269" t="str">
        <f>VLOOKUP(F269,'Tipo Parada Forno 04 07'!$A$2:I277,2,FALSE())</f>
        <v>NP</v>
      </c>
      <c r="I269">
        <f t="shared" si="13"/>
        <v>0</v>
      </c>
      <c r="J269">
        <f t="shared" si="14"/>
        <v>8.3333333333333329E-2</v>
      </c>
    </row>
    <row r="270" spans="1:10" x14ac:dyDescent="0.3">
      <c r="A270" s="18" t="s">
        <v>62</v>
      </c>
      <c r="B270" s="19">
        <v>45041</v>
      </c>
      <c r="C270" s="20" t="s">
        <v>430</v>
      </c>
      <c r="D270" s="20" t="s">
        <v>107</v>
      </c>
      <c r="E270" s="20" t="s">
        <v>73</v>
      </c>
      <c r="F270" s="21" t="s">
        <v>74</v>
      </c>
      <c r="G270">
        <f t="shared" si="12"/>
        <v>0.16666666666666666</v>
      </c>
      <c r="H270" t="str">
        <f>VLOOKUP(F270,'Tipo Parada Forno 04 07'!$A$2:I278,2,FALSE())</f>
        <v>NP</v>
      </c>
      <c r="I270">
        <f t="shared" si="13"/>
        <v>0</v>
      </c>
      <c r="J270">
        <f t="shared" si="14"/>
        <v>0.16666666666666666</v>
      </c>
    </row>
    <row r="271" spans="1:10" x14ac:dyDescent="0.3">
      <c r="A271" s="18" t="s">
        <v>62</v>
      </c>
      <c r="B271" s="19">
        <v>45041</v>
      </c>
      <c r="C271" s="20" t="s">
        <v>339</v>
      </c>
      <c r="D271" s="20" t="s">
        <v>431</v>
      </c>
      <c r="E271" s="20" t="s">
        <v>85</v>
      </c>
      <c r="F271" s="21" t="s">
        <v>248</v>
      </c>
      <c r="G271">
        <f t="shared" si="12"/>
        <v>0.1</v>
      </c>
      <c r="H271" t="str">
        <f>VLOOKUP(F271,'Tipo Parada Forno 04 07'!$A$2:I279,2,FALSE())</f>
        <v>NP</v>
      </c>
      <c r="I271">
        <f t="shared" si="13"/>
        <v>0</v>
      </c>
      <c r="J271">
        <f t="shared" si="14"/>
        <v>0.1</v>
      </c>
    </row>
    <row r="272" spans="1:10" x14ac:dyDescent="0.3">
      <c r="A272" s="18" t="s">
        <v>62</v>
      </c>
      <c r="B272" s="19">
        <v>45041</v>
      </c>
      <c r="C272" s="20" t="s">
        <v>432</v>
      </c>
      <c r="D272" s="20" t="s">
        <v>433</v>
      </c>
      <c r="E272" s="20" t="s">
        <v>80</v>
      </c>
      <c r="F272" s="21" t="s">
        <v>69</v>
      </c>
      <c r="G272">
        <f t="shared" si="12"/>
        <v>0.05</v>
      </c>
      <c r="H272" t="str">
        <f>VLOOKUP(F272,'Tipo Parada Forno 04 07'!$A$2:I280,2,FALSE())</f>
        <v>NP</v>
      </c>
      <c r="I272">
        <f t="shared" si="13"/>
        <v>0</v>
      </c>
      <c r="J272">
        <f t="shared" si="14"/>
        <v>0.05</v>
      </c>
    </row>
    <row r="273" spans="1:10" x14ac:dyDescent="0.3">
      <c r="A273" s="18" t="s">
        <v>62</v>
      </c>
      <c r="B273" s="19">
        <v>45041</v>
      </c>
      <c r="C273" s="20" t="s">
        <v>433</v>
      </c>
      <c r="D273" s="20" t="s">
        <v>421</v>
      </c>
      <c r="E273" s="20" t="s">
        <v>65</v>
      </c>
      <c r="F273" s="21" t="s">
        <v>71</v>
      </c>
      <c r="G273">
        <f t="shared" si="12"/>
        <v>8.3333333333333329E-2</v>
      </c>
      <c r="H273" t="str">
        <f>VLOOKUP(F273,'Tipo Parada Forno 04 07'!$A$2:I281,2,FALSE())</f>
        <v>NP</v>
      </c>
      <c r="I273">
        <f t="shared" si="13"/>
        <v>0</v>
      </c>
      <c r="J273">
        <f t="shared" si="14"/>
        <v>8.3333333333333329E-2</v>
      </c>
    </row>
    <row r="274" spans="1:10" x14ac:dyDescent="0.3">
      <c r="A274" s="18" t="s">
        <v>62</v>
      </c>
      <c r="B274" s="19">
        <v>45041</v>
      </c>
      <c r="C274" s="20" t="s">
        <v>421</v>
      </c>
      <c r="D274" s="20" t="s">
        <v>212</v>
      </c>
      <c r="E274" s="20" t="s">
        <v>104</v>
      </c>
      <c r="F274" s="21" t="s">
        <v>105</v>
      </c>
      <c r="G274">
        <f t="shared" si="12"/>
        <v>0.48333333333333334</v>
      </c>
      <c r="H274" t="str">
        <f>VLOOKUP(F274,'Tipo Parada Forno 04 07'!$A$2:I282,2,FALSE())</f>
        <v>NP</v>
      </c>
      <c r="I274">
        <f t="shared" si="13"/>
        <v>0</v>
      </c>
      <c r="J274">
        <f t="shared" si="14"/>
        <v>0.48333333333333334</v>
      </c>
    </row>
    <row r="275" spans="1:10" x14ac:dyDescent="0.3">
      <c r="A275" s="18" t="s">
        <v>62</v>
      </c>
      <c r="B275" s="19">
        <v>45041</v>
      </c>
      <c r="C275" s="20" t="s">
        <v>135</v>
      </c>
      <c r="D275" s="20" t="s">
        <v>434</v>
      </c>
      <c r="E275" s="20" t="s">
        <v>140</v>
      </c>
      <c r="F275" s="21" t="s">
        <v>74</v>
      </c>
      <c r="G275">
        <f t="shared" si="12"/>
        <v>0.41666666666666669</v>
      </c>
      <c r="H275" t="str">
        <f>VLOOKUP(F275,'Tipo Parada Forno 04 07'!$A$2:I283,2,FALSE())</f>
        <v>NP</v>
      </c>
      <c r="I275">
        <f t="shared" si="13"/>
        <v>0</v>
      </c>
      <c r="J275">
        <f t="shared" si="14"/>
        <v>0.41666666666666669</v>
      </c>
    </row>
    <row r="276" spans="1:10" x14ac:dyDescent="0.3">
      <c r="A276" s="18" t="s">
        <v>62</v>
      </c>
      <c r="B276" s="19">
        <v>45041</v>
      </c>
      <c r="C276" s="20" t="s">
        <v>302</v>
      </c>
      <c r="D276" s="20" t="s">
        <v>251</v>
      </c>
      <c r="E276" s="20" t="s">
        <v>435</v>
      </c>
      <c r="F276" s="21" t="s">
        <v>253</v>
      </c>
      <c r="G276">
        <f t="shared" si="12"/>
        <v>1.4833333333333334</v>
      </c>
      <c r="H276" t="str">
        <f>VLOOKUP(F276,'Tipo Parada Forno 04 07'!$A$2:I284,2,FALSE())</f>
        <v>P</v>
      </c>
      <c r="I276">
        <f t="shared" si="13"/>
        <v>1.4833333333333334</v>
      </c>
      <c r="J276">
        <f t="shared" si="14"/>
        <v>0</v>
      </c>
    </row>
    <row r="277" spans="1:10" x14ac:dyDescent="0.3">
      <c r="A277" s="18" t="s">
        <v>62</v>
      </c>
      <c r="B277" s="19">
        <v>45041</v>
      </c>
      <c r="C277" s="20" t="s">
        <v>251</v>
      </c>
      <c r="D277" s="20" t="s">
        <v>254</v>
      </c>
      <c r="E277" s="20" t="s">
        <v>255</v>
      </c>
      <c r="F277" s="21" t="s">
        <v>253</v>
      </c>
      <c r="G277">
        <f t="shared" si="12"/>
        <v>1.5</v>
      </c>
      <c r="H277" t="str">
        <f>VLOOKUP(F277,'Tipo Parada Forno 04 07'!$A$2:I285,2,FALSE())</f>
        <v>P</v>
      </c>
      <c r="I277">
        <f t="shared" si="13"/>
        <v>1.5</v>
      </c>
      <c r="J277">
        <f t="shared" si="14"/>
        <v>0</v>
      </c>
    </row>
    <row r="278" spans="1:10" x14ac:dyDescent="0.3">
      <c r="A278" s="18" t="s">
        <v>62</v>
      </c>
      <c r="B278" s="19">
        <v>45042</v>
      </c>
      <c r="C278" s="20" t="s">
        <v>436</v>
      </c>
      <c r="D278" s="20" t="s">
        <v>373</v>
      </c>
      <c r="E278" s="20" t="s">
        <v>398</v>
      </c>
      <c r="F278" s="21" t="s">
        <v>69</v>
      </c>
      <c r="G278">
        <f t="shared" si="12"/>
        <v>3.3333333333333333E-2</v>
      </c>
      <c r="H278" t="str">
        <f>VLOOKUP(F278,'Tipo Parada Forno 04 07'!$A$2:I286,2,FALSE())</f>
        <v>NP</v>
      </c>
      <c r="I278">
        <f t="shared" si="13"/>
        <v>0</v>
      </c>
      <c r="J278">
        <f t="shared" si="14"/>
        <v>3.3333333333333333E-2</v>
      </c>
    </row>
    <row r="279" spans="1:10" x14ac:dyDescent="0.3">
      <c r="A279" s="18" t="s">
        <v>62</v>
      </c>
      <c r="B279" s="19">
        <v>45042</v>
      </c>
      <c r="C279" s="20" t="s">
        <v>373</v>
      </c>
      <c r="D279" s="20" t="s">
        <v>374</v>
      </c>
      <c r="E279" s="20" t="s">
        <v>65</v>
      </c>
      <c r="F279" s="21" t="s">
        <v>71</v>
      </c>
      <c r="G279">
        <f t="shared" si="12"/>
        <v>8.3333333333333329E-2</v>
      </c>
      <c r="H279" t="str">
        <f>VLOOKUP(F279,'Tipo Parada Forno 04 07'!$A$2:I287,2,FALSE())</f>
        <v>NP</v>
      </c>
      <c r="I279">
        <f t="shared" si="13"/>
        <v>0</v>
      </c>
      <c r="J279">
        <f t="shared" si="14"/>
        <v>8.3333333333333329E-2</v>
      </c>
    </row>
    <row r="280" spans="1:10" x14ac:dyDescent="0.3">
      <c r="A280" s="18" t="s">
        <v>62</v>
      </c>
      <c r="B280" s="19">
        <v>45042</v>
      </c>
      <c r="C280" s="20" t="s">
        <v>374</v>
      </c>
      <c r="D280" s="20" t="s">
        <v>225</v>
      </c>
      <c r="E280" s="20" t="s">
        <v>355</v>
      </c>
      <c r="F280" s="21" t="s">
        <v>74</v>
      </c>
      <c r="G280">
        <f t="shared" si="12"/>
        <v>0.31666666666666665</v>
      </c>
      <c r="H280" t="str">
        <f>VLOOKUP(F280,'Tipo Parada Forno 04 07'!$A$2:I288,2,FALSE())</f>
        <v>NP</v>
      </c>
      <c r="I280">
        <f t="shared" si="13"/>
        <v>0</v>
      </c>
      <c r="J280">
        <f t="shared" si="14"/>
        <v>0.31666666666666665</v>
      </c>
    </row>
    <row r="281" spans="1:10" x14ac:dyDescent="0.3">
      <c r="A281" s="18" t="s">
        <v>62</v>
      </c>
      <c r="B281" s="19">
        <v>45042</v>
      </c>
      <c r="C281" s="20" t="s">
        <v>437</v>
      </c>
      <c r="D281" s="20" t="s">
        <v>279</v>
      </c>
      <c r="E281" s="20" t="s">
        <v>80</v>
      </c>
      <c r="F281" s="21" t="s">
        <v>69</v>
      </c>
      <c r="G281">
        <f t="shared" si="12"/>
        <v>0.05</v>
      </c>
      <c r="H281" t="str">
        <f>VLOOKUP(F281,'Tipo Parada Forno 04 07'!$A$2:I289,2,FALSE())</f>
        <v>NP</v>
      </c>
      <c r="I281">
        <f t="shared" si="13"/>
        <v>0</v>
      </c>
      <c r="J281">
        <f t="shared" si="14"/>
        <v>0.05</v>
      </c>
    </row>
    <row r="282" spans="1:10" x14ac:dyDescent="0.3">
      <c r="A282" s="18" t="s">
        <v>62</v>
      </c>
      <c r="B282" s="19">
        <v>45042</v>
      </c>
      <c r="C282" s="20" t="s">
        <v>279</v>
      </c>
      <c r="D282" s="20" t="s">
        <v>280</v>
      </c>
      <c r="E282" s="20" t="s">
        <v>65</v>
      </c>
      <c r="F282" s="21" t="s">
        <v>71</v>
      </c>
      <c r="G282">
        <f t="shared" si="12"/>
        <v>8.3333333333333329E-2</v>
      </c>
      <c r="H282" t="str">
        <f>VLOOKUP(F282,'Tipo Parada Forno 04 07'!$A$2:I290,2,FALSE())</f>
        <v>NP</v>
      </c>
      <c r="I282">
        <f t="shared" si="13"/>
        <v>0</v>
      </c>
      <c r="J282">
        <f t="shared" si="14"/>
        <v>8.3333333333333329E-2</v>
      </c>
    </row>
    <row r="283" spans="1:10" x14ac:dyDescent="0.3">
      <c r="A283" s="18" t="s">
        <v>62</v>
      </c>
      <c r="B283" s="19">
        <v>45042</v>
      </c>
      <c r="C283" s="20" t="s">
        <v>280</v>
      </c>
      <c r="D283" s="20" t="s">
        <v>438</v>
      </c>
      <c r="E283" s="20" t="s">
        <v>140</v>
      </c>
      <c r="F283" s="21" t="s">
        <v>105</v>
      </c>
      <c r="G283">
        <f t="shared" si="12"/>
        <v>0.41666666666666669</v>
      </c>
      <c r="H283" t="str">
        <f>VLOOKUP(F283,'Tipo Parada Forno 04 07'!$A$2:I291,2,FALSE())</f>
        <v>NP</v>
      </c>
      <c r="I283">
        <f t="shared" si="13"/>
        <v>0</v>
      </c>
      <c r="J283">
        <f t="shared" si="14"/>
        <v>0.41666666666666669</v>
      </c>
    </row>
    <row r="284" spans="1:10" x14ac:dyDescent="0.3">
      <c r="A284" s="18" t="s">
        <v>62</v>
      </c>
      <c r="B284" s="19">
        <v>45042</v>
      </c>
      <c r="C284" s="20" t="s">
        <v>439</v>
      </c>
      <c r="D284" s="20" t="s">
        <v>440</v>
      </c>
      <c r="E284" s="20" t="s">
        <v>441</v>
      </c>
      <c r="F284" s="21" t="s">
        <v>105</v>
      </c>
      <c r="G284">
        <f t="shared" si="12"/>
        <v>0.81666666666666665</v>
      </c>
      <c r="H284" t="str">
        <f>VLOOKUP(F284,'Tipo Parada Forno 04 07'!$A$2:I292,2,FALSE())</f>
        <v>NP</v>
      </c>
      <c r="I284">
        <f t="shared" si="13"/>
        <v>0</v>
      </c>
      <c r="J284">
        <f t="shared" si="14"/>
        <v>0.81666666666666665</v>
      </c>
    </row>
    <row r="285" spans="1:10" x14ac:dyDescent="0.3">
      <c r="A285" s="18" t="s">
        <v>62</v>
      </c>
      <c r="B285" s="19">
        <v>45042</v>
      </c>
      <c r="C285" s="20" t="s">
        <v>442</v>
      </c>
      <c r="D285" s="20" t="s">
        <v>443</v>
      </c>
      <c r="E285" s="20" t="s">
        <v>65</v>
      </c>
      <c r="F285" s="21" t="s">
        <v>69</v>
      </c>
      <c r="G285">
        <f t="shared" si="12"/>
        <v>8.3333333333333329E-2</v>
      </c>
      <c r="H285" t="str">
        <f>VLOOKUP(F285,'Tipo Parada Forno 04 07'!$A$2:I293,2,FALSE())</f>
        <v>NP</v>
      </c>
      <c r="I285">
        <f t="shared" si="13"/>
        <v>0</v>
      </c>
      <c r="J285">
        <f t="shared" si="14"/>
        <v>8.3333333333333329E-2</v>
      </c>
    </row>
    <row r="286" spans="1:10" x14ac:dyDescent="0.3">
      <c r="A286" s="18" t="s">
        <v>62</v>
      </c>
      <c r="B286" s="19">
        <v>45042</v>
      </c>
      <c r="C286" s="20" t="s">
        <v>443</v>
      </c>
      <c r="D286" s="20" t="s">
        <v>156</v>
      </c>
      <c r="E286" s="20" t="s">
        <v>97</v>
      </c>
      <c r="F286" s="21" t="s">
        <v>71</v>
      </c>
      <c r="G286">
        <f t="shared" si="12"/>
        <v>6.6666666666666666E-2</v>
      </c>
      <c r="H286" t="str">
        <f>VLOOKUP(F286,'Tipo Parada Forno 04 07'!$A$2:I294,2,FALSE())</f>
        <v>NP</v>
      </c>
      <c r="I286">
        <f t="shared" si="13"/>
        <v>0</v>
      </c>
      <c r="J286">
        <f t="shared" si="14"/>
        <v>6.6666666666666666E-2</v>
      </c>
    </row>
    <row r="287" spans="1:10" x14ac:dyDescent="0.3">
      <c r="A287" s="18" t="s">
        <v>62</v>
      </c>
      <c r="B287" s="19">
        <v>45042</v>
      </c>
      <c r="C287" s="20" t="s">
        <v>156</v>
      </c>
      <c r="D287" s="20" t="s">
        <v>246</v>
      </c>
      <c r="E287" s="20" t="s">
        <v>65</v>
      </c>
      <c r="F287" s="21" t="s">
        <v>66</v>
      </c>
      <c r="G287">
        <f t="shared" si="12"/>
        <v>8.3333333333333329E-2</v>
      </c>
      <c r="H287" t="str">
        <f>VLOOKUP(F287,'Tipo Parada Forno 04 07'!$A$2:I295,2,FALSE())</f>
        <v>NP</v>
      </c>
      <c r="I287">
        <f t="shared" si="13"/>
        <v>0</v>
      </c>
      <c r="J287">
        <f t="shared" si="14"/>
        <v>8.3333333333333329E-2</v>
      </c>
    </row>
    <row r="288" spans="1:10" x14ac:dyDescent="0.3">
      <c r="A288" s="18" t="s">
        <v>62</v>
      </c>
      <c r="B288" s="19">
        <v>45042</v>
      </c>
      <c r="C288" s="20" t="s">
        <v>246</v>
      </c>
      <c r="D288" s="20" t="s">
        <v>444</v>
      </c>
      <c r="E288" s="20" t="s">
        <v>73</v>
      </c>
      <c r="F288" s="21" t="s">
        <v>74</v>
      </c>
      <c r="G288">
        <f t="shared" si="12"/>
        <v>0.16666666666666666</v>
      </c>
      <c r="H288" t="str">
        <f>VLOOKUP(F288,'Tipo Parada Forno 04 07'!$A$2:I296,2,FALSE())</f>
        <v>NP</v>
      </c>
      <c r="I288">
        <f t="shared" si="13"/>
        <v>0</v>
      </c>
      <c r="J288">
        <f t="shared" si="14"/>
        <v>0.16666666666666666</v>
      </c>
    </row>
    <row r="289" spans="1:10" x14ac:dyDescent="0.3">
      <c r="A289" s="18" t="s">
        <v>62</v>
      </c>
      <c r="B289" s="19">
        <v>45043</v>
      </c>
      <c r="C289" s="20" t="s">
        <v>445</v>
      </c>
      <c r="D289" s="20" t="s">
        <v>211</v>
      </c>
      <c r="E289" s="20" t="s">
        <v>129</v>
      </c>
      <c r="F289" s="21" t="s">
        <v>74</v>
      </c>
      <c r="G289">
        <f t="shared" si="12"/>
        <v>0.65</v>
      </c>
      <c r="H289" t="str">
        <f>VLOOKUP(F289,'Tipo Parada Forno 04 07'!$A$2:I297,2,FALSE())</f>
        <v>NP</v>
      </c>
      <c r="I289">
        <f t="shared" si="13"/>
        <v>0</v>
      </c>
      <c r="J289">
        <f t="shared" si="14"/>
        <v>0.65</v>
      </c>
    </row>
    <row r="290" spans="1:10" x14ac:dyDescent="0.3">
      <c r="A290" s="18" t="s">
        <v>62</v>
      </c>
      <c r="B290" s="19">
        <v>45043</v>
      </c>
      <c r="C290" s="20" t="s">
        <v>213</v>
      </c>
      <c r="D290" s="20" t="s">
        <v>342</v>
      </c>
      <c r="E290" s="20" t="s">
        <v>442</v>
      </c>
      <c r="F290" s="21" t="s">
        <v>74</v>
      </c>
      <c r="G290">
        <f t="shared" si="12"/>
        <v>0.6</v>
      </c>
      <c r="H290" t="str">
        <f>VLOOKUP(F290,'Tipo Parada Forno 04 07'!$A$2:I298,2,FALSE())</f>
        <v>NP</v>
      </c>
      <c r="I290">
        <f t="shared" si="13"/>
        <v>0</v>
      </c>
      <c r="J290">
        <f t="shared" si="14"/>
        <v>0.6</v>
      </c>
    </row>
    <row r="291" spans="1:10" x14ac:dyDescent="0.3">
      <c r="A291" s="18" t="s">
        <v>62</v>
      </c>
      <c r="B291" s="19">
        <v>45043</v>
      </c>
      <c r="C291" s="20" t="s">
        <v>446</v>
      </c>
      <c r="D291" s="20" t="s">
        <v>447</v>
      </c>
      <c r="E291" s="20" t="s">
        <v>355</v>
      </c>
      <c r="F291" s="21" t="s">
        <v>74</v>
      </c>
      <c r="G291">
        <f t="shared" si="12"/>
        <v>0.31666666666666665</v>
      </c>
      <c r="H291" t="str">
        <f>VLOOKUP(F291,'Tipo Parada Forno 04 07'!$A$2:I299,2,FALSE())</f>
        <v>NP</v>
      </c>
      <c r="I291">
        <f t="shared" si="13"/>
        <v>0</v>
      </c>
      <c r="J291">
        <f t="shared" si="14"/>
        <v>0.31666666666666665</v>
      </c>
    </row>
    <row r="292" spans="1:10" x14ac:dyDescent="0.3">
      <c r="A292" s="18" t="s">
        <v>62</v>
      </c>
      <c r="B292" s="19">
        <v>45043</v>
      </c>
      <c r="C292" s="20" t="s">
        <v>448</v>
      </c>
      <c r="D292" s="20" t="s">
        <v>449</v>
      </c>
      <c r="E292" s="20" t="s">
        <v>65</v>
      </c>
      <c r="F292" s="21" t="s">
        <v>450</v>
      </c>
      <c r="G292">
        <f t="shared" si="12"/>
        <v>8.3333333333333329E-2</v>
      </c>
      <c r="H292" t="str">
        <f>VLOOKUP(F292,'Tipo Parada Forno 04 07'!$A$2:I300,2,FALSE())</f>
        <v>NP</v>
      </c>
      <c r="I292">
        <f t="shared" si="13"/>
        <v>0</v>
      </c>
      <c r="J292">
        <f t="shared" si="14"/>
        <v>8.3333333333333329E-2</v>
      </c>
    </row>
    <row r="293" spans="1:10" x14ac:dyDescent="0.3">
      <c r="A293" s="18" t="s">
        <v>62</v>
      </c>
      <c r="B293" s="19">
        <v>45043</v>
      </c>
      <c r="C293" s="20" t="s">
        <v>451</v>
      </c>
      <c r="D293" s="20" t="s">
        <v>452</v>
      </c>
      <c r="E293" s="20" t="s">
        <v>65</v>
      </c>
      <c r="F293" s="21" t="s">
        <v>69</v>
      </c>
      <c r="G293">
        <f t="shared" si="12"/>
        <v>8.3333333333333329E-2</v>
      </c>
      <c r="H293" t="str">
        <f>VLOOKUP(F293,'Tipo Parada Forno 04 07'!$A$2:I301,2,FALSE())</f>
        <v>NP</v>
      </c>
      <c r="I293">
        <f t="shared" si="13"/>
        <v>0</v>
      </c>
      <c r="J293">
        <f t="shared" si="14"/>
        <v>8.3333333333333329E-2</v>
      </c>
    </row>
    <row r="294" spans="1:10" x14ac:dyDescent="0.3">
      <c r="A294" s="18" t="s">
        <v>62</v>
      </c>
      <c r="B294" s="19">
        <v>45043</v>
      </c>
      <c r="C294" s="20" t="s">
        <v>452</v>
      </c>
      <c r="D294" s="20" t="s">
        <v>113</v>
      </c>
      <c r="E294" s="20" t="s">
        <v>80</v>
      </c>
      <c r="F294" s="21" t="s">
        <v>71</v>
      </c>
      <c r="G294">
        <f t="shared" si="12"/>
        <v>0.05</v>
      </c>
      <c r="H294" t="str">
        <f>VLOOKUP(F294,'Tipo Parada Forno 04 07'!$A$2:I302,2,FALSE())</f>
        <v>NP</v>
      </c>
      <c r="I294">
        <f t="shared" si="13"/>
        <v>0</v>
      </c>
      <c r="J294">
        <f t="shared" si="14"/>
        <v>0.05</v>
      </c>
    </row>
    <row r="295" spans="1:10" x14ac:dyDescent="0.3">
      <c r="A295" s="18" t="s">
        <v>62</v>
      </c>
      <c r="B295" s="19">
        <v>45043</v>
      </c>
      <c r="C295" s="20" t="s">
        <v>113</v>
      </c>
      <c r="D295" s="20" t="s">
        <v>264</v>
      </c>
      <c r="E295" s="20" t="s">
        <v>65</v>
      </c>
      <c r="F295" s="21" t="s">
        <v>66</v>
      </c>
      <c r="G295">
        <f t="shared" si="12"/>
        <v>8.3333333333333329E-2</v>
      </c>
      <c r="H295" t="str">
        <f>VLOOKUP(F295,'Tipo Parada Forno 04 07'!$A$2:I303,2,FALSE())</f>
        <v>NP</v>
      </c>
      <c r="I295">
        <f t="shared" si="13"/>
        <v>0</v>
      </c>
      <c r="J295">
        <f t="shared" si="14"/>
        <v>8.3333333333333329E-2</v>
      </c>
    </row>
    <row r="296" spans="1:10" x14ac:dyDescent="0.3">
      <c r="A296" s="18" t="s">
        <v>62</v>
      </c>
      <c r="B296" s="19">
        <v>45043</v>
      </c>
      <c r="C296" s="20" t="s">
        <v>264</v>
      </c>
      <c r="D296" s="20" t="s">
        <v>194</v>
      </c>
      <c r="E296" s="20" t="s">
        <v>122</v>
      </c>
      <c r="F296" s="21" t="s">
        <v>105</v>
      </c>
      <c r="G296">
        <f t="shared" si="12"/>
        <v>0.25</v>
      </c>
      <c r="H296" t="str">
        <f>VLOOKUP(F296,'Tipo Parada Forno 04 07'!$A$2:I304,2,FALSE())</f>
        <v>NP</v>
      </c>
      <c r="I296">
        <f t="shared" si="13"/>
        <v>0</v>
      </c>
      <c r="J296">
        <f t="shared" si="14"/>
        <v>0.25</v>
      </c>
    </row>
    <row r="297" spans="1:10" x14ac:dyDescent="0.3">
      <c r="A297" s="18" t="s">
        <v>62</v>
      </c>
      <c r="B297" s="19">
        <v>45043</v>
      </c>
      <c r="C297" s="20" t="s">
        <v>194</v>
      </c>
      <c r="D297" s="20" t="s">
        <v>453</v>
      </c>
      <c r="E297" s="20" t="s">
        <v>73</v>
      </c>
      <c r="F297" s="21" t="s">
        <v>89</v>
      </c>
      <c r="G297">
        <f t="shared" si="12"/>
        <v>0.16666666666666666</v>
      </c>
      <c r="H297" t="str">
        <f>VLOOKUP(F297,'Tipo Parada Forno 04 07'!$A$2:I305,2,FALSE())</f>
        <v>NP</v>
      </c>
      <c r="I297">
        <f t="shared" si="13"/>
        <v>0</v>
      </c>
      <c r="J297">
        <f t="shared" si="14"/>
        <v>0.16666666666666666</v>
      </c>
    </row>
    <row r="298" spans="1:10" x14ac:dyDescent="0.3">
      <c r="A298" s="18" t="s">
        <v>62</v>
      </c>
      <c r="B298" s="19">
        <v>45044</v>
      </c>
      <c r="C298" s="20" t="s">
        <v>454</v>
      </c>
      <c r="D298" s="20" t="s">
        <v>455</v>
      </c>
      <c r="E298" s="20" t="s">
        <v>425</v>
      </c>
      <c r="F298" s="21" t="s">
        <v>105</v>
      </c>
      <c r="G298">
        <f t="shared" si="12"/>
        <v>0.6166666666666667</v>
      </c>
      <c r="H298" t="str">
        <f>VLOOKUP(F298,'Tipo Parada Forno 04 07'!$A$2:I306,2,FALSE())</f>
        <v>NP</v>
      </c>
      <c r="I298">
        <f t="shared" si="13"/>
        <v>0</v>
      </c>
      <c r="J298">
        <f t="shared" si="14"/>
        <v>0.6166666666666667</v>
      </c>
    </row>
    <row r="299" spans="1:10" x14ac:dyDescent="0.3">
      <c r="A299" s="18" t="s">
        <v>62</v>
      </c>
      <c r="B299" s="19">
        <v>45044</v>
      </c>
      <c r="C299" s="20" t="s">
        <v>456</v>
      </c>
      <c r="D299" s="20" t="s">
        <v>174</v>
      </c>
      <c r="E299" s="20" t="s">
        <v>85</v>
      </c>
      <c r="F299" s="21" t="s">
        <v>69</v>
      </c>
      <c r="G299">
        <f t="shared" si="12"/>
        <v>0.1</v>
      </c>
      <c r="H299" t="str">
        <f>VLOOKUP(F299,'Tipo Parada Forno 04 07'!$A$2:I307,2,FALSE())</f>
        <v>NP</v>
      </c>
      <c r="I299">
        <f t="shared" si="13"/>
        <v>0</v>
      </c>
      <c r="J299">
        <f t="shared" si="14"/>
        <v>0.1</v>
      </c>
    </row>
    <row r="300" spans="1:10" x14ac:dyDescent="0.3">
      <c r="A300" s="18" t="s">
        <v>62</v>
      </c>
      <c r="B300" s="19">
        <v>45044</v>
      </c>
      <c r="C300" s="20" t="s">
        <v>174</v>
      </c>
      <c r="D300" s="20" t="s">
        <v>313</v>
      </c>
      <c r="E300" s="20" t="s">
        <v>65</v>
      </c>
      <c r="F300" s="21" t="s">
        <v>71</v>
      </c>
      <c r="G300">
        <f t="shared" si="12"/>
        <v>8.3333333333333329E-2</v>
      </c>
      <c r="H300" t="str">
        <f>VLOOKUP(F300,'Tipo Parada Forno 04 07'!$A$2:I308,2,FALSE())</f>
        <v>NP</v>
      </c>
      <c r="I300">
        <f t="shared" si="13"/>
        <v>0</v>
      </c>
      <c r="J300">
        <f t="shared" si="14"/>
        <v>8.3333333333333329E-2</v>
      </c>
    </row>
    <row r="301" spans="1:10" x14ac:dyDescent="0.3">
      <c r="A301" s="18" t="s">
        <v>62</v>
      </c>
      <c r="B301" s="19">
        <v>45044</v>
      </c>
      <c r="C301" s="20" t="s">
        <v>313</v>
      </c>
      <c r="D301" s="20" t="s">
        <v>457</v>
      </c>
      <c r="E301" s="20" t="s">
        <v>97</v>
      </c>
      <c r="F301" s="21" t="s">
        <v>74</v>
      </c>
      <c r="G301">
        <f t="shared" si="12"/>
        <v>6.6666666666666666E-2</v>
      </c>
      <c r="H301" t="str">
        <f>VLOOKUP(F301,'Tipo Parada Forno 04 07'!$A$2:I309,2,FALSE())</f>
        <v>NP</v>
      </c>
      <c r="I301">
        <f t="shared" si="13"/>
        <v>0</v>
      </c>
      <c r="J301">
        <f t="shared" si="14"/>
        <v>6.6666666666666666E-2</v>
      </c>
    </row>
    <row r="302" spans="1:10" x14ac:dyDescent="0.3">
      <c r="A302" s="18" t="s">
        <v>62</v>
      </c>
      <c r="B302" s="19">
        <v>45044</v>
      </c>
      <c r="C302" s="20" t="s">
        <v>458</v>
      </c>
      <c r="D302" s="20" t="s">
        <v>365</v>
      </c>
      <c r="E302" s="20" t="s">
        <v>459</v>
      </c>
      <c r="F302" s="21" t="s">
        <v>253</v>
      </c>
      <c r="G302">
        <f t="shared" si="12"/>
        <v>3.3666666666666667</v>
      </c>
      <c r="H302" t="str">
        <f>VLOOKUP(F302,'Tipo Parada Forno 04 07'!$A$2:I310,2,FALSE())</f>
        <v>P</v>
      </c>
      <c r="I302">
        <f t="shared" si="13"/>
        <v>3.3666666666666667</v>
      </c>
      <c r="J302">
        <f t="shared" si="14"/>
        <v>0</v>
      </c>
    </row>
    <row r="303" spans="1:10" x14ac:dyDescent="0.3">
      <c r="A303" s="18" t="s">
        <v>62</v>
      </c>
      <c r="B303" s="19">
        <v>45045</v>
      </c>
      <c r="C303" s="20" t="s">
        <v>460</v>
      </c>
      <c r="D303" s="20" t="s">
        <v>461</v>
      </c>
      <c r="E303" s="20" t="s">
        <v>65</v>
      </c>
      <c r="F303" s="21" t="s">
        <v>69</v>
      </c>
      <c r="G303">
        <f t="shared" si="12"/>
        <v>8.3333333333333329E-2</v>
      </c>
      <c r="H303" t="str">
        <f>VLOOKUP(F303,'Tipo Parada Forno 04 07'!$A$2:I311,2,FALSE())</f>
        <v>NP</v>
      </c>
      <c r="I303">
        <f t="shared" si="13"/>
        <v>0</v>
      </c>
      <c r="J303">
        <f t="shared" si="14"/>
        <v>8.3333333333333329E-2</v>
      </c>
    </row>
    <row r="304" spans="1:10" x14ac:dyDescent="0.3">
      <c r="A304" s="18" t="s">
        <v>62</v>
      </c>
      <c r="B304" s="19">
        <v>45045</v>
      </c>
      <c r="C304" s="20" t="s">
        <v>461</v>
      </c>
      <c r="D304" s="20" t="s">
        <v>462</v>
      </c>
      <c r="E304" s="20" t="s">
        <v>97</v>
      </c>
      <c r="F304" s="21" t="s">
        <v>71</v>
      </c>
      <c r="G304">
        <f t="shared" si="12"/>
        <v>6.6666666666666666E-2</v>
      </c>
      <c r="H304" t="str">
        <f>VLOOKUP(F304,'Tipo Parada Forno 04 07'!$A$2:I312,2,FALSE())</f>
        <v>NP</v>
      </c>
      <c r="I304">
        <f t="shared" si="13"/>
        <v>0</v>
      </c>
      <c r="J304">
        <f t="shared" si="14"/>
        <v>6.6666666666666666E-2</v>
      </c>
    </row>
    <row r="305" spans="1:10" x14ac:dyDescent="0.3">
      <c r="A305" s="18" t="s">
        <v>62</v>
      </c>
      <c r="B305" s="19">
        <v>45045</v>
      </c>
      <c r="C305" s="20" t="s">
        <v>462</v>
      </c>
      <c r="D305" s="20" t="s">
        <v>463</v>
      </c>
      <c r="E305" s="20" t="s">
        <v>65</v>
      </c>
      <c r="F305" s="21" t="s">
        <v>66</v>
      </c>
      <c r="G305">
        <f t="shared" si="12"/>
        <v>8.3333333333333329E-2</v>
      </c>
      <c r="H305" t="str">
        <f>VLOOKUP(F305,'Tipo Parada Forno 04 07'!$A$2:I313,2,FALSE())</f>
        <v>NP</v>
      </c>
      <c r="I305">
        <f t="shared" si="13"/>
        <v>0</v>
      </c>
      <c r="J305">
        <f t="shared" si="14"/>
        <v>8.3333333333333329E-2</v>
      </c>
    </row>
    <row r="306" spans="1:10" x14ac:dyDescent="0.3">
      <c r="A306" s="18" t="s">
        <v>62</v>
      </c>
      <c r="B306" s="19">
        <v>45045</v>
      </c>
      <c r="C306" s="20" t="s">
        <v>463</v>
      </c>
      <c r="D306" s="20" t="s">
        <v>464</v>
      </c>
      <c r="E306" s="20" t="s">
        <v>292</v>
      </c>
      <c r="F306" s="21" t="s">
        <v>74</v>
      </c>
      <c r="G306">
        <f t="shared" si="12"/>
        <v>0.18333333333333332</v>
      </c>
      <c r="H306" t="str">
        <f>VLOOKUP(F306,'Tipo Parada Forno 04 07'!$A$2:I314,2,FALSE())</f>
        <v>NP</v>
      </c>
      <c r="I306">
        <f t="shared" si="13"/>
        <v>0</v>
      </c>
      <c r="J306">
        <f t="shared" si="14"/>
        <v>0.18333333333333332</v>
      </c>
    </row>
    <row r="307" spans="1:10" x14ac:dyDescent="0.3">
      <c r="A307" s="18" t="s">
        <v>62</v>
      </c>
      <c r="B307" s="19">
        <v>45045</v>
      </c>
      <c r="C307" s="20" t="s">
        <v>465</v>
      </c>
      <c r="D307" s="20" t="s">
        <v>466</v>
      </c>
      <c r="E307" s="20" t="s">
        <v>398</v>
      </c>
      <c r="F307" s="21" t="s">
        <v>69</v>
      </c>
      <c r="G307">
        <f t="shared" si="12"/>
        <v>3.3333333333333333E-2</v>
      </c>
      <c r="H307" t="str">
        <f>VLOOKUP(F307,'Tipo Parada Forno 04 07'!$A$2:I315,2,FALSE())</f>
        <v>NP</v>
      </c>
      <c r="I307">
        <f t="shared" si="13"/>
        <v>0</v>
      </c>
      <c r="J307">
        <f t="shared" si="14"/>
        <v>3.3333333333333333E-2</v>
      </c>
    </row>
    <row r="308" spans="1:10" x14ac:dyDescent="0.3">
      <c r="A308" s="18" t="s">
        <v>62</v>
      </c>
      <c r="B308" s="19">
        <v>45045</v>
      </c>
      <c r="C308" s="20" t="s">
        <v>466</v>
      </c>
      <c r="D308" s="20" t="s">
        <v>229</v>
      </c>
      <c r="E308" s="20" t="s">
        <v>65</v>
      </c>
      <c r="F308" s="21" t="s">
        <v>71</v>
      </c>
      <c r="G308">
        <f t="shared" si="12"/>
        <v>8.3333333333333329E-2</v>
      </c>
      <c r="H308" t="str">
        <f>VLOOKUP(F308,'Tipo Parada Forno 04 07'!$A$2:I316,2,FALSE())</f>
        <v>NP</v>
      </c>
      <c r="I308">
        <f t="shared" si="13"/>
        <v>0</v>
      </c>
      <c r="J308">
        <f t="shared" si="14"/>
        <v>8.3333333333333329E-2</v>
      </c>
    </row>
    <row r="309" spans="1:10" x14ac:dyDescent="0.3">
      <c r="A309" s="18" t="s">
        <v>62</v>
      </c>
      <c r="B309" s="19">
        <v>45045</v>
      </c>
      <c r="C309" s="20" t="s">
        <v>229</v>
      </c>
      <c r="D309" s="20" t="s">
        <v>193</v>
      </c>
      <c r="E309" s="20" t="s">
        <v>104</v>
      </c>
      <c r="F309" s="21" t="s">
        <v>105</v>
      </c>
      <c r="G309">
        <f t="shared" si="12"/>
        <v>0.48333333333333334</v>
      </c>
      <c r="H309" t="str">
        <f>VLOOKUP(F309,'Tipo Parada Forno 04 07'!$A$2:I317,2,FALSE())</f>
        <v>NP</v>
      </c>
      <c r="I309">
        <f t="shared" si="13"/>
        <v>0</v>
      </c>
      <c r="J309">
        <f t="shared" si="14"/>
        <v>0.48333333333333334</v>
      </c>
    </row>
    <row r="310" spans="1:10" x14ac:dyDescent="0.3">
      <c r="A310" s="18" t="s">
        <v>62</v>
      </c>
      <c r="B310" s="19">
        <v>45045</v>
      </c>
      <c r="C310" s="20" t="s">
        <v>467</v>
      </c>
      <c r="D310" s="20" t="s">
        <v>468</v>
      </c>
      <c r="E310" s="20" t="s">
        <v>110</v>
      </c>
      <c r="F310" s="21" t="s">
        <v>74</v>
      </c>
      <c r="G310">
        <f t="shared" si="12"/>
        <v>0.23333333333333334</v>
      </c>
      <c r="H310" t="str">
        <f>VLOOKUP(F310,'Tipo Parada Forno 04 07'!$A$2:I318,2,FALSE())</f>
        <v>NP</v>
      </c>
      <c r="I310">
        <f t="shared" si="13"/>
        <v>0</v>
      </c>
      <c r="J310">
        <f t="shared" si="14"/>
        <v>0.23333333333333334</v>
      </c>
    </row>
    <row r="311" spans="1:10" x14ac:dyDescent="0.3">
      <c r="A311" s="18" t="s">
        <v>62</v>
      </c>
      <c r="B311" s="19">
        <v>45045</v>
      </c>
      <c r="C311" s="20" t="s">
        <v>385</v>
      </c>
      <c r="D311" s="20" t="s">
        <v>469</v>
      </c>
      <c r="E311" s="20" t="s">
        <v>129</v>
      </c>
      <c r="F311" s="21" t="s">
        <v>105</v>
      </c>
      <c r="G311">
        <f t="shared" si="12"/>
        <v>0.65</v>
      </c>
      <c r="H311" t="str">
        <f>VLOOKUP(F311,'Tipo Parada Forno 04 07'!$A$2:I319,2,FALSE())</f>
        <v>NP</v>
      </c>
      <c r="I311">
        <f t="shared" si="13"/>
        <v>0</v>
      </c>
      <c r="J311">
        <f t="shared" si="14"/>
        <v>0.65</v>
      </c>
    </row>
    <row r="312" spans="1:10" x14ac:dyDescent="0.3">
      <c r="A312" s="18" t="s">
        <v>62</v>
      </c>
      <c r="B312" s="19">
        <v>45045</v>
      </c>
      <c r="C312" s="20" t="s">
        <v>470</v>
      </c>
      <c r="D312" s="20" t="s">
        <v>471</v>
      </c>
      <c r="E312" s="20" t="s">
        <v>228</v>
      </c>
      <c r="F312" s="21" t="s">
        <v>69</v>
      </c>
      <c r="G312">
        <f t="shared" si="12"/>
        <v>0.13333333333333333</v>
      </c>
      <c r="H312" t="str">
        <f>VLOOKUP(F312,'Tipo Parada Forno 04 07'!$A$2:I320,2,FALSE())</f>
        <v>NP</v>
      </c>
      <c r="I312">
        <f t="shared" si="13"/>
        <v>0</v>
      </c>
      <c r="J312">
        <f t="shared" si="14"/>
        <v>0.13333333333333333</v>
      </c>
    </row>
    <row r="313" spans="1:10" x14ac:dyDescent="0.3">
      <c r="A313" s="18" t="s">
        <v>62</v>
      </c>
      <c r="B313" s="19">
        <v>45046</v>
      </c>
      <c r="C313" s="20" t="s">
        <v>470</v>
      </c>
      <c r="D313" s="20" t="s">
        <v>471</v>
      </c>
      <c r="E313" s="20" t="s">
        <v>228</v>
      </c>
      <c r="F313" s="21" t="s">
        <v>69</v>
      </c>
      <c r="G313">
        <f t="shared" si="12"/>
        <v>0.13333333333333333</v>
      </c>
      <c r="H313" t="str">
        <f>VLOOKUP(F313,'Tipo Parada Forno 04 07'!$A$2:I321,2,FALSE())</f>
        <v>NP</v>
      </c>
      <c r="I313">
        <f t="shared" si="13"/>
        <v>0</v>
      </c>
      <c r="J313">
        <f t="shared" si="14"/>
        <v>0.13333333333333333</v>
      </c>
    </row>
    <row r="314" spans="1:10" x14ac:dyDescent="0.3">
      <c r="A314" s="18" t="s">
        <v>62</v>
      </c>
      <c r="B314" s="19">
        <v>45046</v>
      </c>
      <c r="C314" s="20" t="s">
        <v>287</v>
      </c>
      <c r="D314" s="20" t="s">
        <v>185</v>
      </c>
      <c r="E314" s="20" t="s">
        <v>221</v>
      </c>
      <c r="F314" s="21" t="s">
        <v>69</v>
      </c>
      <c r="G314">
        <f t="shared" si="12"/>
        <v>0.11666666666666667</v>
      </c>
      <c r="H314" t="str">
        <f>VLOOKUP(F314,'Tipo Parada Forno 04 07'!$A$2:I322,2,FALSE())</f>
        <v>NP</v>
      </c>
      <c r="I314">
        <f t="shared" si="13"/>
        <v>0</v>
      </c>
      <c r="J314">
        <f t="shared" si="14"/>
        <v>0.11666666666666667</v>
      </c>
    </row>
    <row r="315" spans="1:10" x14ac:dyDescent="0.3">
      <c r="A315" s="18" t="s">
        <v>62</v>
      </c>
      <c r="B315" s="19">
        <v>45046</v>
      </c>
      <c r="C315" s="20" t="s">
        <v>472</v>
      </c>
      <c r="D315" s="20" t="s">
        <v>473</v>
      </c>
      <c r="E315" s="20" t="s">
        <v>65</v>
      </c>
      <c r="F315" s="21" t="s">
        <v>69</v>
      </c>
      <c r="G315">
        <f t="shared" si="12"/>
        <v>8.3333333333333329E-2</v>
      </c>
      <c r="H315" t="str">
        <f>VLOOKUP(F315,'Tipo Parada Forno 04 07'!$A$2:I323,2,FALSE())</f>
        <v>NP</v>
      </c>
      <c r="I315">
        <f t="shared" si="13"/>
        <v>0</v>
      </c>
      <c r="J315">
        <f t="shared" si="14"/>
        <v>8.3333333333333329E-2</v>
      </c>
    </row>
    <row r="316" spans="1:10" x14ac:dyDescent="0.3">
      <c r="A316" s="18" t="s">
        <v>62</v>
      </c>
      <c r="B316" s="19">
        <v>45046</v>
      </c>
      <c r="C316" s="20" t="s">
        <v>473</v>
      </c>
      <c r="D316" s="20" t="s">
        <v>67</v>
      </c>
      <c r="E316" s="20" t="s">
        <v>97</v>
      </c>
      <c r="F316" s="21" t="s">
        <v>71</v>
      </c>
      <c r="G316">
        <f t="shared" si="12"/>
        <v>6.6666666666666666E-2</v>
      </c>
      <c r="H316" t="str">
        <f>VLOOKUP(F316,'Tipo Parada Forno 04 07'!$A$2:I324,2,FALSE())</f>
        <v>NP</v>
      </c>
      <c r="I316">
        <f t="shared" si="13"/>
        <v>0</v>
      </c>
      <c r="J316">
        <f t="shared" si="14"/>
        <v>6.6666666666666666E-2</v>
      </c>
    </row>
    <row r="317" spans="1:10" x14ac:dyDescent="0.3">
      <c r="A317" s="18" t="s">
        <v>62</v>
      </c>
      <c r="B317" s="19">
        <v>45046</v>
      </c>
      <c r="C317" s="20" t="s">
        <v>67</v>
      </c>
      <c r="D317" s="20" t="s">
        <v>70</v>
      </c>
      <c r="E317" s="20" t="s">
        <v>73</v>
      </c>
      <c r="F317" s="21" t="s">
        <v>66</v>
      </c>
      <c r="G317">
        <f t="shared" si="12"/>
        <v>0.16666666666666666</v>
      </c>
      <c r="H317" t="str">
        <f>VLOOKUP(F317,'Tipo Parada Forno 04 07'!$A$2:I325,2,FALSE())</f>
        <v>NP</v>
      </c>
      <c r="I317">
        <f t="shared" si="13"/>
        <v>0</v>
      </c>
      <c r="J317">
        <f t="shared" si="14"/>
        <v>0.16666666666666666</v>
      </c>
    </row>
    <row r="318" spans="1:10" x14ac:dyDescent="0.3">
      <c r="A318" s="18" t="s">
        <v>62</v>
      </c>
      <c r="B318" s="19">
        <v>45046</v>
      </c>
      <c r="C318" s="20" t="s">
        <v>70</v>
      </c>
      <c r="D318" s="20" t="s">
        <v>361</v>
      </c>
      <c r="E318" s="20" t="s">
        <v>122</v>
      </c>
      <c r="F318" s="21" t="s">
        <v>74</v>
      </c>
      <c r="G318">
        <f t="shared" si="12"/>
        <v>0.25</v>
      </c>
      <c r="H318" t="str">
        <f>VLOOKUP(F318,'Tipo Parada Forno 04 07'!$A$2:I326,2,FALSE())</f>
        <v>NP</v>
      </c>
      <c r="I318">
        <f t="shared" si="13"/>
        <v>0</v>
      </c>
      <c r="J318">
        <f t="shared" si="14"/>
        <v>0.25</v>
      </c>
    </row>
    <row r="319" spans="1:10" x14ac:dyDescent="0.3">
      <c r="A319" s="18" t="s">
        <v>62</v>
      </c>
      <c r="B319" s="19">
        <v>45046</v>
      </c>
      <c r="C319" s="20" t="s">
        <v>213</v>
      </c>
      <c r="D319" s="20" t="s">
        <v>474</v>
      </c>
      <c r="E319" s="20" t="s">
        <v>475</v>
      </c>
      <c r="F319" s="21" t="s">
        <v>69</v>
      </c>
      <c r="G319">
        <f t="shared" si="12"/>
        <v>1.6666666666666666E-2</v>
      </c>
      <c r="H319" t="str">
        <f>VLOOKUP(F319,'Tipo Parada Forno 04 07'!$A$2:I327,2,FALSE())</f>
        <v>NP</v>
      </c>
      <c r="I319">
        <f t="shared" si="13"/>
        <v>0</v>
      </c>
      <c r="J319">
        <f t="shared" si="14"/>
        <v>1.6666666666666666E-2</v>
      </c>
    </row>
    <row r="320" spans="1:10" x14ac:dyDescent="0.3">
      <c r="A320" s="18" t="s">
        <v>62</v>
      </c>
      <c r="B320" s="19">
        <v>45046</v>
      </c>
      <c r="C320" s="20" t="s">
        <v>474</v>
      </c>
      <c r="D320" s="20" t="s">
        <v>476</v>
      </c>
      <c r="E320" s="20" t="s">
        <v>97</v>
      </c>
      <c r="F320" s="21" t="s">
        <v>71</v>
      </c>
      <c r="G320">
        <f t="shared" si="12"/>
        <v>6.6666666666666666E-2</v>
      </c>
      <c r="H320" t="str">
        <f>VLOOKUP(F320,'Tipo Parada Forno 04 07'!$A$2:I328,2,FALSE())</f>
        <v>NP</v>
      </c>
      <c r="I320">
        <f t="shared" si="13"/>
        <v>0</v>
      </c>
      <c r="J320">
        <f t="shared" si="14"/>
        <v>6.6666666666666666E-2</v>
      </c>
    </row>
    <row r="321" spans="1:10" x14ac:dyDescent="0.3">
      <c r="A321" s="18" t="s">
        <v>62</v>
      </c>
      <c r="B321" s="19">
        <v>45046</v>
      </c>
      <c r="C321" s="20" t="s">
        <v>214</v>
      </c>
      <c r="D321" s="20" t="s">
        <v>477</v>
      </c>
      <c r="E321" s="20" t="s">
        <v>452</v>
      </c>
      <c r="F321" s="21" t="s">
        <v>105</v>
      </c>
      <c r="G321">
        <f t="shared" si="12"/>
        <v>0.53333333333333333</v>
      </c>
      <c r="H321" t="str">
        <f>VLOOKUP(F321,'Tipo Parada Forno 04 07'!$A$2:I329,2,FALSE())</f>
        <v>NP</v>
      </c>
      <c r="I321">
        <f t="shared" si="13"/>
        <v>0</v>
      </c>
      <c r="J321">
        <f t="shared" si="14"/>
        <v>0.53333333333333333</v>
      </c>
    </row>
    <row r="322" spans="1:10" x14ac:dyDescent="0.3">
      <c r="A322" s="18" t="s">
        <v>62</v>
      </c>
      <c r="B322" s="19">
        <v>45046</v>
      </c>
      <c r="C322" s="20" t="s">
        <v>478</v>
      </c>
      <c r="D322" s="20" t="s">
        <v>479</v>
      </c>
      <c r="E322" s="20" t="s">
        <v>85</v>
      </c>
      <c r="F322" s="21" t="s">
        <v>69</v>
      </c>
      <c r="G322">
        <f t="shared" ref="G322:G385" si="15">VALUE(MID(E322,1,2)+VALUE(MID(E322,4,2))/60)</f>
        <v>0.1</v>
      </c>
      <c r="H322" t="str">
        <f>VLOOKUP(F322,'Tipo Parada Forno 04 07'!$A$2:I330,2,FALSE())</f>
        <v>NP</v>
      </c>
      <c r="I322">
        <f t="shared" ref="I322:I385" si="16">IF(H322="P",G322,0)</f>
        <v>0</v>
      </c>
      <c r="J322">
        <f t="shared" ref="J322:J385" si="17">IF(H322="NP",G322,0)</f>
        <v>0.1</v>
      </c>
    </row>
    <row r="323" spans="1:10" x14ac:dyDescent="0.3">
      <c r="A323" s="18" t="s">
        <v>62</v>
      </c>
      <c r="B323" s="19">
        <v>45046</v>
      </c>
      <c r="C323" s="20" t="s">
        <v>480</v>
      </c>
      <c r="D323" s="20" t="s">
        <v>481</v>
      </c>
      <c r="E323" s="20" t="s">
        <v>65</v>
      </c>
      <c r="F323" s="21" t="s">
        <v>69</v>
      </c>
      <c r="G323">
        <f t="shared" si="15"/>
        <v>8.3333333333333329E-2</v>
      </c>
      <c r="H323" t="str">
        <f>VLOOKUP(F323,'Tipo Parada Forno 04 07'!$A$2:I331,2,FALSE())</f>
        <v>NP</v>
      </c>
      <c r="I323">
        <f t="shared" si="16"/>
        <v>0</v>
      </c>
      <c r="J323">
        <f t="shared" si="17"/>
        <v>8.3333333333333329E-2</v>
      </c>
    </row>
    <row r="324" spans="1:10" x14ac:dyDescent="0.3">
      <c r="A324" s="18" t="s">
        <v>62</v>
      </c>
      <c r="B324" s="19">
        <v>45046</v>
      </c>
      <c r="C324" s="20" t="s">
        <v>481</v>
      </c>
      <c r="D324" s="20" t="s">
        <v>482</v>
      </c>
      <c r="E324" s="20" t="s">
        <v>97</v>
      </c>
      <c r="F324" s="21" t="s">
        <v>71</v>
      </c>
      <c r="G324">
        <f t="shared" si="15"/>
        <v>6.6666666666666666E-2</v>
      </c>
      <c r="H324" t="str">
        <f>VLOOKUP(F324,'Tipo Parada Forno 04 07'!$A$2:I332,2,FALSE())</f>
        <v>NP</v>
      </c>
      <c r="I324">
        <f t="shared" si="16"/>
        <v>0</v>
      </c>
      <c r="J324">
        <f t="shared" si="17"/>
        <v>6.6666666666666666E-2</v>
      </c>
    </row>
    <row r="325" spans="1:10" x14ac:dyDescent="0.3">
      <c r="A325" s="18" t="s">
        <v>62</v>
      </c>
      <c r="B325" s="19">
        <v>45046</v>
      </c>
      <c r="C325" s="20" t="s">
        <v>483</v>
      </c>
      <c r="D325" s="20" t="s">
        <v>325</v>
      </c>
      <c r="E325" s="20" t="s">
        <v>73</v>
      </c>
      <c r="F325" s="21" t="s">
        <v>74</v>
      </c>
      <c r="G325">
        <f t="shared" si="15"/>
        <v>0.16666666666666666</v>
      </c>
      <c r="H325" t="str">
        <f>VLOOKUP(F325,'Tipo Parada Forno 04 07'!$A$2:I333,2,FALSE())</f>
        <v>NP</v>
      </c>
      <c r="I325">
        <f t="shared" si="16"/>
        <v>0</v>
      </c>
      <c r="J325">
        <f t="shared" si="17"/>
        <v>0.16666666666666666</v>
      </c>
    </row>
    <row r="326" spans="1:10" x14ac:dyDescent="0.3">
      <c r="A326" s="18" t="s">
        <v>62</v>
      </c>
      <c r="B326" s="19">
        <v>45046</v>
      </c>
      <c r="C326" s="20" t="s">
        <v>178</v>
      </c>
      <c r="D326" s="20" t="s">
        <v>484</v>
      </c>
      <c r="E326" s="20" t="s">
        <v>124</v>
      </c>
      <c r="F326" s="21" t="s">
        <v>105</v>
      </c>
      <c r="G326">
        <f t="shared" si="15"/>
        <v>1.05</v>
      </c>
      <c r="H326" t="str">
        <f>VLOOKUP(F326,'Tipo Parada Forno 04 07'!$A$2:I334,2,FALSE())</f>
        <v>NP</v>
      </c>
      <c r="I326">
        <f t="shared" si="16"/>
        <v>0</v>
      </c>
      <c r="J326">
        <f t="shared" si="17"/>
        <v>1.05</v>
      </c>
    </row>
    <row r="327" spans="1:10" x14ac:dyDescent="0.3">
      <c r="A327" s="18" t="s">
        <v>485</v>
      </c>
      <c r="B327" s="19">
        <v>45017</v>
      </c>
      <c r="C327" s="20" t="s">
        <v>486</v>
      </c>
      <c r="D327" s="20" t="s">
        <v>487</v>
      </c>
      <c r="E327" s="20" t="s">
        <v>140</v>
      </c>
      <c r="F327" s="21" t="s">
        <v>74</v>
      </c>
      <c r="G327">
        <f t="shared" si="15"/>
        <v>0.41666666666666669</v>
      </c>
      <c r="H327" t="str">
        <f>VLOOKUP(F327,'Tipo Parada Forno 04 07'!$A$2:I335,2,FALSE())</f>
        <v>NP</v>
      </c>
      <c r="I327">
        <f t="shared" si="16"/>
        <v>0</v>
      </c>
      <c r="J327">
        <f t="shared" si="17"/>
        <v>0.41666666666666669</v>
      </c>
    </row>
    <row r="328" spans="1:10" x14ac:dyDescent="0.3">
      <c r="A328" s="18" t="s">
        <v>485</v>
      </c>
      <c r="B328" s="19">
        <v>45017</v>
      </c>
      <c r="C328" s="20" t="s">
        <v>488</v>
      </c>
      <c r="D328" s="20" t="s">
        <v>489</v>
      </c>
      <c r="E328" s="20" t="s">
        <v>425</v>
      </c>
      <c r="F328" s="21" t="s">
        <v>105</v>
      </c>
      <c r="G328">
        <f t="shared" si="15"/>
        <v>0.6166666666666667</v>
      </c>
      <c r="H328" t="str">
        <f>VLOOKUP(F328,'Tipo Parada Forno 04 07'!$A$2:I336,2,FALSE())</f>
        <v>NP</v>
      </c>
      <c r="I328">
        <f t="shared" si="16"/>
        <v>0</v>
      </c>
      <c r="J328">
        <f t="shared" si="17"/>
        <v>0.6166666666666667</v>
      </c>
    </row>
    <row r="329" spans="1:10" x14ac:dyDescent="0.3">
      <c r="A329" s="18" t="s">
        <v>485</v>
      </c>
      <c r="B329" s="19">
        <v>45017</v>
      </c>
      <c r="C329" s="20" t="s">
        <v>490</v>
      </c>
      <c r="D329" s="20" t="s">
        <v>370</v>
      </c>
      <c r="E329" s="20" t="s">
        <v>491</v>
      </c>
      <c r="F329" s="21" t="s">
        <v>74</v>
      </c>
      <c r="G329">
        <f t="shared" si="15"/>
        <v>0.38333333333333336</v>
      </c>
      <c r="H329" t="str">
        <f>VLOOKUP(F329,'Tipo Parada Forno 04 07'!$A$2:I337,2,FALSE())</f>
        <v>NP</v>
      </c>
      <c r="I329">
        <f t="shared" si="16"/>
        <v>0</v>
      </c>
      <c r="J329">
        <f t="shared" si="17"/>
        <v>0.38333333333333336</v>
      </c>
    </row>
    <row r="330" spans="1:10" x14ac:dyDescent="0.3">
      <c r="A330" s="18" t="s">
        <v>485</v>
      </c>
      <c r="B330" s="19">
        <v>45017</v>
      </c>
      <c r="C330" s="20" t="s">
        <v>492</v>
      </c>
      <c r="D330" s="20" t="s">
        <v>493</v>
      </c>
      <c r="E330" s="20" t="s">
        <v>442</v>
      </c>
      <c r="F330" s="21" t="s">
        <v>74</v>
      </c>
      <c r="G330">
        <f t="shared" si="15"/>
        <v>0.6</v>
      </c>
      <c r="H330" t="str">
        <f>VLOOKUP(F330,'Tipo Parada Forno 04 07'!$A$2:I338,2,FALSE())</f>
        <v>NP</v>
      </c>
      <c r="I330">
        <f t="shared" si="16"/>
        <v>0</v>
      </c>
      <c r="J330">
        <f t="shared" si="17"/>
        <v>0.6</v>
      </c>
    </row>
    <row r="331" spans="1:10" x14ac:dyDescent="0.3">
      <c r="A331" s="18" t="s">
        <v>485</v>
      </c>
      <c r="B331" s="19">
        <v>45018</v>
      </c>
      <c r="C331" s="20" t="s">
        <v>494</v>
      </c>
      <c r="D331" s="20" t="s">
        <v>495</v>
      </c>
      <c r="E331" s="20" t="s">
        <v>110</v>
      </c>
      <c r="F331" s="21" t="s">
        <v>74</v>
      </c>
      <c r="G331">
        <f t="shared" si="15"/>
        <v>0.23333333333333334</v>
      </c>
      <c r="H331" t="str">
        <f>VLOOKUP(F331,'Tipo Parada Forno 04 07'!$A$2:I339,2,FALSE())</f>
        <v>NP</v>
      </c>
      <c r="I331">
        <f t="shared" si="16"/>
        <v>0</v>
      </c>
      <c r="J331">
        <f t="shared" si="17"/>
        <v>0.23333333333333334</v>
      </c>
    </row>
    <row r="332" spans="1:10" x14ac:dyDescent="0.3">
      <c r="A332" s="18" t="s">
        <v>485</v>
      </c>
      <c r="B332" s="19">
        <v>45018</v>
      </c>
      <c r="C332" s="20" t="s">
        <v>340</v>
      </c>
      <c r="D332" s="20" t="s">
        <v>496</v>
      </c>
      <c r="E332" s="20" t="s">
        <v>363</v>
      </c>
      <c r="F332" s="21" t="s">
        <v>105</v>
      </c>
      <c r="G332">
        <f t="shared" si="15"/>
        <v>0.71666666666666667</v>
      </c>
      <c r="H332" t="str">
        <f>VLOOKUP(F332,'Tipo Parada Forno 04 07'!$A$2:I340,2,FALSE())</f>
        <v>NP</v>
      </c>
      <c r="I332">
        <f t="shared" si="16"/>
        <v>0</v>
      </c>
      <c r="J332">
        <f t="shared" si="17"/>
        <v>0.71666666666666667</v>
      </c>
    </row>
    <row r="333" spans="1:10" x14ac:dyDescent="0.3">
      <c r="A333" s="18" t="s">
        <v>485</v>
      </c>
      <c r="B333" s="19">
        <v>45018</v>
      </c>
      <c r="C333" s="20" t="s">
        <v>497</v>
      </c>
      <c r="D333" s="20" t="s">
        <v>498</v>
      </c>
      <c r="E333" s="20" t="s">
        <v>122</v>
      </c>
      <c r="F333" s="21" t="s">
        <v>74</v>
      </c>
      <c r="G333">
        <f t="shared" si="15"/>
        <v>0.25</v>
      </c>
      <c r="H333" t="str">
        <f>VLOOKUP(F333,'Tipo Parada Forno 04 07'!$A$2:I341,2,FALSE())</f>
        <v>NP</v>
      </c>
      <c r="I333">
        <f t="shared" si="16"/>
        <v>0</v>
      </c>
      <c r="J333">
        <f t="shared" si="17"/>
        <v>0.25</v>
      </c>
    </row>
    <row r="334" spans="1:10" x14ac:dyDescent="0.3">
      <c r="A334" s="18" t="s">
        <v>485</v>
      </c>
      <c r="B334" s="19">
        <v>45018</v>
      </c>
      <c r="C334" s="20" t="s">
        <v>499</v>
      </c>
      <c r="D334" s="20" t="s">
        <v>500</v>
      </c>
      <c r="E334" s="20" t="s">
        <v>246</v>
      </c>
      <c r="F334" s="21" t="s">
        <v>74</v>
      </c>
      <c r="G334">
        <f t="shared" si="15"/>
        <v>0.83333333333333337</v>
      </c>
      <c r="H334" t="str">
        <f>VLOOKUP(F334,'Tipo Parada Forno 04 07'!$A$2:I342,2,FALSE())</f>
        <v>NP</v>
      </c>
      <c r="I334">
        <f t="shared" si="16"/>
        <v>0</v>
      </c>
      <c r="J334">
        <f t="shared" si="17"/>
        <v>0.83333333333333337</v>
      </c>
    </row>
    <row r="335" spans="1:10" x14ac:dyDescent="0.3">
      <c r="A335" s="18" t="s">
        <v>485</v>
      </c>
      <c r="B335" s="19">
        <v>45018</v>
      </c>
      <c r="C335" s="20" t="s">
        <v>87</v>
      </c>
      <c r="D335" s="20" t="s">
        <v>442</v>
      </c>
      <c r="E335" s="20" t="s">
        <v>149</v>
      </c>
      <c r="F335" s="21" t="s">
        <v>248</v>
      </c>
      <c r="G335">
        <f t="shared" si="15"/>
        <v>0.26666666666666666</v>
      </c>
      <c r="H335" t="str">
        <f>VLOOKUP(F335,'Tipo Parada Forno 04 07'!$A$2:I343,2,FALSE())</f>
        <v>NP</v>
      </c>
      <c r="I335">
        <f t="shared" si="16"/>
        <v>0</v>
      </c>
      <c r="J335">
        <f t="shared" si="17"/>
        <v>0.26666666666666666</v>
      </c>
    </row>
    <row r="336" spans="1:10" x14ac:dyDescent="0.3">
      <c r="A336" s="18" t="s">
        <v>485</v>
      </c>
      <c r="B336" s="19">
        <v>45019</v>
      </c>
      <c r="C336" s="20" t="s">
        <v>501</v>
      </c>
      <c r="D336" s="20" t="s">
        <v>106</v>
      </c>
      <c r="E336" s="20" t="s">
        <v>303</v>
      </c>
      <c r="F336" s="21" t="s">
        <v>74</v>
      </c>
      <c r="G336">
        <f t="shared" si="15"/>
        <v>0.35</v>
      </c>
      <c r="H336" t="str">
        <f>VLOOKUP(F336,'Tipo Parada Forno 04 07'!$A$2:I344,2,FALSE())</f>
        <v>NP</v>
      </c>
      <c r="I336">
        <f t="shared" si="16"/>
        <v>0</v>
      </c>
      <c r="J336">
        <f t="shared" si="17"/>
        <v>0.35</v>
      </c>
    </row>
    <row r="337" spans="1:10" x14ac:dyDescent="0.3">
      <c r="A337" s="18" t="s">
        <v>485</v>
      </c>
      <c r="B337" s="19">
        <v>45019</v>
      </c>
      <c r="C337" s="20" t="s">
        <v>321</v>
      </c>
      <c r="D337" s="20" t="s">
        <v>502</v>
      </c>
      <c r="E337" s="20" t="s">
        <v>503</v>
      </c>
      <c r="F337" s="21" t="s">
        <v>105</v>
      </c>
      <c r="G337">
        <f t="shared" si="15"/>
        <v>0.78333333333333333</v>
      </c>
      <c r="H337" t="str">
        <f>VLOOKUP(F337,'Tipo Parada Forno 04 07'!$A$2:I345,2,FALSE())</f>
        <v>NP</v>
      </c>
      <c r="I337">
        <f t="shared" si="16"/>
        <v>0</v>
      </c>
      <c r="J337">
        <f t="shared" si="17"/>
        <v>0.78333333333333333</v>
      </c>
    </row>
    <row r="338" spans="1:10" x14ac:dyDescent="0.3">
      <c r="A338" s="18" t="s">
        <v>485</v>
      </c>
      <c r="B338" s="19">
        <v>45019</v>
      </c>
      <c r="C338" s="20" t="s">
        <v>504</v>
      </c>
      <c r="D338" s="20" t="s">
        <v>382</v>
      </c>
      <c r="E338" s="20" t="s">
        <v>247</v>
      </c>
      <c r="F338" s="21" t="s">
        <v>74</v>
      </c>
      <c r="G338">
        <f t="shared" si="15"/>
        <v>0.4</v>
      </c>
      <c r="H338" t="str">
        <f>VLOOKUP(F338,'Tipo Parada Forno 04 07'!$A$2:I346,2,FALSE())</f>
        <v>NP</v>
      </c>
      <c r="I338">
        <f t="shared" si="16"/>
        <v>0</v>
      </c>
      <c r="J338">
        <f t="shared" si="17"/>
        <v>0.4</v>
      </c>
    </row>
    <row r="339" spans="1:10" x14ac:dyDescent="0.3">
      <c r="A339" s="18" t="s">
        <v>485</v>
      </c>
      <c r="B339" s="19">
        <v>45019</v>
      </c>
      <c r="C339" s="20" t="s">
        <v>505</v>
      </c>
      <c r="D339" s="20" t="s">
        <v>118</v>
      </c>
      <c r="E339" s="20" t="s">
        <v>506</v>
      </c>
      <c r="F339" s="21" t="s">
        <v>253</v>
      </c>
      <c r="G339">
        <f t="shared" si="15"/>
        <v>2.3166666666666664</v>
      </c>
      <c r="H339" t="str">
        <f>VLOOKUP(F339,'Tipo Parada Forno 04 07'!$A$2:I347,2,FALSE())</f>
        <v>P</v>
      </c>
      <c r="I339">
        <f t="shared" si="16"/>
        <v>2.3166666666666664</v>
      </c>
      <c r="J339">
        <f t="shared" si="17"/>
        <v>0</v>
      </c>
    </row>
    <row r="340" spans="1:10" x14ac:dyDescent="0.3">
      <c r="A340" s="18" t="s">
        <v>485</v>
      </c>
      <c r="B340" s="19">
        <v>45020</v>
      </c>
      <c r="C340" s="20" t="s">
        <v>109</v>
      </c>
      <c r="D340" s="20" t="s">
        <v>68</v>
      </c>
      <c r="E340" s="20" t="s">
        <v>303</v>
      </c>
      <c r="F340" s="21" t="s">
        <v>74</v>
      </c>
      <c r="G340">
        <f t="shared" si="15"/>
        <v>0.35</v>
      </c>
      <c r="H340" t="str">
        <f>VLOOKUP(F340,'Tipo Parada Forno 04 07'!$A$2:I348,2,FALSE())</f>
        <v>NP</v>
      </c>
      <c r="I340">
        <f t="shared" si="16"/>
        <v>0</v>
      </c>
      <c r="J340">
        <f t="shared" si="17"/>
        <v>0.35</v>
      </c>
    </row>
    <row r="341" spans="1:10" x14ac:dyDescent="0.3">
      <c r="A341" s="18" t="s">
        <v>485</v>
      </c>
      <c r="B341" s="19">
        <v>45020</v>
      </c>
      <c r="C341" s="20" t="s">
        <v>507</v>
      </c>
      <c r="D341" s="20" t="s">
        <v>508</v>
      </c>
      <c r="E341" s="20" t="s">
        <v>452</v>
      </c>
      <c r="F341" s="21" t="s">
        <v>105</v>
      </c>
      <c r="G341">
        <f t="shared" si="15"/>
        <v>0.53333333333333333</v>
      </c>
      <c r="H341" t="str">
        <f>VLOOKUP(F341,'Tipo Parada Forno 04 07'!$A$2:I349,2,FALSE())</f>
        <v>NP</v>
      </c>
      <c r="I341">
        <f t="shared" si="16"/>
        <v>0</v>
      </c>
      <c r="J341">
        <f t="shared" si="17"/>
        <v>0.53333333333333333</v>
      </c>
    </row>
    <row r="342" spans="1:10" x14ac:dyDescent="0.3">
      <c r="A342" s="18" t="s">
        <v>485</v>
      </c>
      <c r="B342" s="19">
        <v>45020</v>
      </c>
      <c r="C342" s="20" t="s">
        <v>509</v>
      </c>
      <c r="D342" s="20" t="s">
        <v>251</v>
      </c>
      <c r="E342" s="20" t="s">
        <v>510</v>
      </c>
      <c r="F342" s="21" t="s">
        <v>253</v>
      </c>
      <c r="G342">
        <f t="shared" si="15"/>
        <v>1.8166666666666667</v>
      </c>
      <c r="H342" t="str">
        <f>VLOOKUP(F342,'Tipo Parada Forno 04 07'!$A$2:I350,2,FALSE())</f>
        <v>P</v>
      </c>
      <c r="I342">
        <f t="shared" si="16"/>
        <v>1.8166666666666667</v>
      </c>
      <c r="J342">
        <f t="shared" si="17"/>
        <v>0</v>
      </c>
    </row>
    <row r="343" spans="1:10" x14ac:dyDescent="0.3">
      <c r="A343" s="18" t="s">
        <v>485</v>
      </c>
      <c r="B343" s="19">
        <v>45020</v>
      </c>
      <c r="C343" s="20" t="s">
        <v>511</v>
      </c>
      <c r="D343" s="20" t="s">
        <v>136</v>
      </c>
      <c r="E343" s="20" t="s">
        <v>247</v>
      </c>
      <c r="F343" s="21" t="s">
        <v>74</v>
      </c>
      <c r="G343">
        <f t="shared" si="15"/>
        <v>0.4</v>
      </c>
      <c r="H343" t="str">
        <f>VLOOKUP(F343,'Tipo Parada Forno 04 07'!$A$2:I351,2,FALSE())</f>
        <v>NP</v>
      </c>
      <c r="I343">
        <f t="shared" si="16"/>
        <v>0</v>
      </c>
      <c r="J343">
        <f t="shared" si="17"/>
        <v>0.4</v>
      </c>
    </row>
    <row r="344" spans="1:10" x14ac:dyDescent="0.3">
      <c r="A344" s="18" t="s">
        <v>485</v>
      </c>
      <c r="B344" s="19">
        <v>45020</v>
      </c>
      <c r="C344" s="20" t="s">
        <v>251</v>
      </c>
      <c r="D344" s="20" t="s">
        <v>254</v>
      </c>
      <c r="E344" s="20" t="s">
        <v>255</v>
      </c>
      <c r="F344" s="21" t="s">
        <v>253</v>
      </c>
      <c r="G344">
        <f t="shared" si="15"/>
        <v>1.5</v>
      </c>
      <c r="H344" t="str">
        <f>VLOOKUP(F344,'Tipo Parada Forno 04 07'!$A$2:I352,2,FALSE())</f>
        <v>P</v>
      </c>
      <c r="I344">
        <f t="shared" si="16"/>
        <v>1.5</v>
      </c>
      <c r="J344">
        <f t="shared" si="17"/>
        <v>0</v>
      </c>
    </row>
    <row r="345" spans="1:10" x14ac:dyDescent="0.3">
      <c r="A345" s="18" t="s">
        <v>485</v>
      </c>
      <c r="B345" s="19">
        <v>45020</v>
      </c>
      <c r="C345" s="20" t="s">
        <v>254</v>
      </c>
      <c r="D345" s="20" t="s">
        <v>512</v>
      </c>
      <c r="E345" s="20" t="s">
        <v>264</v>
      </c>
      <c r="F345" s="21" t="s">
        <v>89</v>
      </c>
      <c r="G345">
        <f t="shared" si="15"/>
        <v>0.66666666666666663</v>
      </c>
      <c r="H345" t="str">
        <f>VLOOKUP(F345,'Tipo Parada Forno 04 07'!$A$2:I353,2,FALSE())</f>
        <v>NP</v>
      </c>
      <c r="I345">
        <f t="shared" si="16"/>
        <v>0</v>
      </c>
      <c r="J345">
        <f t="shared" si="17"/>
        <v>0.66666666666666663</v>
      </c>
    </row>
    <row r="346" spans="1:10" x14ac:dyDescent="0.3">
      <c r="A346" s="18" t="s">
        <v>485</v>
      </c>
      <c r="B346" s="19">
        <v>45021</v>
      </c>
      <c r="C346" s="20" t="s">
        <v>513</v>
      </c>
      <c r="D346" s="20" t="s">
        <v>514</v>
      </c>
      <c r="E346" s="20" t="s">
        <v>133</v>
      </c>
      <c r="F346" s="21" t="s">
        <v>74</v>
      </c>
      <c r="G346">
        <f t="shared" si="15"/>
        <v>0.2</v>
      </c>
      <c r="H346" t="str">
        <f>VLOOKUP(F346,'Tipo Parada Forno 04 07'!$A$2:I354,2,FALSE())</f>
        <v>NP</v>
      </c>
      <c r="I346">
        <f t="shared" si="16"/>
        <v>0</v>
      </c>
      <c r="J346">
        <f t="shared" si="17"/>
        <v>0.2</v>
      </c>
    </row>
    <row r="347" spans="1:10" x14ac:dyDescent="0.3">
      <c r="A347" s="18" t="s">
        <v>485</v>
      </c>
      <c r="B347" s="19">
        <v>45021</v>
      </c>
      <c r="C347" s="20" t="s">
        <v>515</v>
      </c>
      <c r="D347" s="20" t="s">
        <v>341</v>
      </c>
      <c r="E347" s="20" t="s">
        <v>516</v>
      </c>
      <c r="F347" s="21" t="s">
        <v>105</v>
      </c>
      <c r="G347">
        <f t="shared" si="15"/>
        <v>0.76666666666666672</v>
      </c>
      <c r="H347" t="str">
        <f>VLOOKUP(F347,'Tipo Parada Forno 04 07'!$A$2:I355,2,FALSE())</f>
        <v>NP</v>
      </c>
      <c r="I347">
        <f t="shared" si="16"/>
        <v>0</v>
      </c>
      <c r="J347">
        <f t="shared" si="17"/>
        <v>0.76666666666666672</v>
      </c>
    </row>
    <row r="348" spans="1:10" x14ac:dyDescent="0.3">
      <c r="A348" s="18" t="s">
        <v>485</v>
      </c>
      <c r="B348" s="19">
        <v>45021</v>
      </c>
      <c r="C348" s="20" t="s">
        <v>517</v>
      </c>
      <c r="D348" s="20" t="s">
        <v>518</v>
      </c>
      <c r="E348" s="20" t="s">
        <v>99</v>
      </c>
      <c r="F348" s="21" t="s">
        <v>74</v>
      </c>
      <c r="G348">
        <f t="shared" si="15"/>
        <v>0.21666666666666667</v>
      </c>
      <c r="H348" t="str">
        <f>VLOOKUP(F348,'Tipo Parada Forno 04 07'!$A$2:I356,2,FALSE())</f>
        <v>NP</v>
      </c>
      <c r="I348">
        <f t="shared" si="16"/>
        <v>0</v>
      </c>
      <c r="J348">
        <f t="shared" si="17"/>
        <v>0.21666666666666667</v>
      </c>
    </row>
    <row r="349" spans="1:10" x14ac:dyDescent="0.3">
      <c r="A349" s="18" t="s">
        <v>485</v>
      </c>
      <c r="B349" s="19">
        <v>45021</v>
      </c>
      <c r="C349" s="20" t="s">
        <v>519</v>
      </c>
      <c r="D349" s="20" t="s">
        <v>520</v>
      </c>
      <c r="E349" s="20" t="s">
        <v>521</v>
      </c>
      <c r="F349" s="21" t="s">
        <v>253</v>
      </c>
      <c r="G349">
        <f t="shared" si="15"/>
        <v>3.45</v>
      </c>
      <c r="H349" t="str">
        <f>VLOOKUP(F349,'Tipo Parada Forno 04 07'!$A$2:I357,2,FALSE())</f>
        <v>P</v>
      </c>
      <c r="I349">
        <f t="shared" si="16"/>
        <v>3.45</v>
      </c>
      <c r="J349">
        <f t="shared" si="17"/>
        <v>0</v>
      </c>
    </row>
    <row r="350" spans="1:10" x14ac:dyDescent="0.3">
      <c r="A350" s="18" t="s">
        <v>485</v>
      </c>
      <c r="B350" s="19">
        <v>45021</v>
      </c>
      <c r="C350" s="20" t="s">
        <v>252</v>
      </c>
      <c r="D350" s="20" t="s">
        <v>522</v>
      </c>
      <c r="E350" s="20" t="s">
        <v>73</v>
      </c>
      <c r="F350" s="21" t="s">
        <v>523</v>
      </c>
      <c r="G350">
        <f t="shared" si="15"/>
        <v>0.16666666666666666</v>
      </c>
      <c r="H350" t="str">
        <f>VLOOKUP(F350,'Tipo Parada Forno 04 07'!$A$2:I358,2,FALSE())</f>
        <v>NP</v>
      </c>
      <c r="I350">
        <f t="shared" si="16"/>
        <v>0</v>
      </c>
      <c r="J350">
        <f t="shared" si="17"/>
        <v>0.16666666666666666</v>
      </c>
    </row>
    <row r="351" spans="1:10" x14ac:dyDescent="0.3">
      <c r="A351" s="18" t="s">
        <v>485</v>
      </c>
      <c r="B351" s="19">
        <v>45022</v>
      </c>
      <c r="C351" s="20" t="s">
        <v>226</v>
      </c>
      <c r="D351" s="20" t="s">
        <v>524</v>
      </c>
      <c r="E351" s="20" t="s">
        <v>299</v>
      </c>
      <c r="F351" s="21" t="s">
        <v>74</v>
      </c>
      <c r="G351">
        <f t="shared" si="15"/>
        <v>0.36666666666666664</v>
      </c>
      <c r="H351" t="str">
        <f>VLOOKUP(F351,'Tipo Parada Forno 04 07'!$A$2:I359,2,FALSE())</f>
        <v>NP</v>
      </c>
      <c r="I351">
        <f t="shared" si="16"/>
        <v>0</v>
      </c>
      <c r="J351">
        <f t="shared" si="17"/>
        <v>0.36666666666666664</v>
      </c>
    </row>
    <row r="352" spans="1:10" x14ac:dyDescent="0.3">
      <c r="A352" s="18" t="s">
        <v>485</v>
      </c>
      <c r="B352" s="19">
        <v>45022</v>
      </c>
      <c r="C352" s="20" t="s">
        <v>525</v>
      </c>
      <c r="D352" s="20" t="s">
        <v>526</v>
      </c>
      <c r="E352" s="20" t="s">
        <v>137</v>
      </c>
      <c r="F352" s="21" t="s">
        <v>105</v>
      </c>
      <c r="G352">
        <f t="shared" si="15"/>
        <v>0.5</v>
      </c>
      <c r="H352" t="str">
        <f>VLOOKUP(F352,'Tipo Parada Forno 04 07'!$A$2:I360,2,FALSE())</f>
        <v>NP</v>
      </c>
      <c r="I352">
        <f t="shared" si="16"/>
        <v>0</v>
      </c>
      <c r="J352">
        <f t="shared" si="17"/>
        <v>0.5</v>
      </c>
    </row>
    <row r="353" spans="1:10" x14ac:dyDescent="0.3">
      <c r="A353" s="18" t="s">
        <v>485</v>
      </c>
      <c r="B353" s="19">
        <v>45022</v>
      </c>
      <c r="C353" s="20" t="s">
        <v>527</v>
      </c>
      <c r="D353" s="20" t="s">
        <v>528</v>
      </c>
      <c r="E353" s="20" t="s">
        <v>65</v>
      </c>
      <c r="F353" s="21" t="s">
        <v>69</v>
      </c>
      <c r="G353">
        <f t="shared" si="15"/>
        <v>8.3333333333333329E-2</v>
      </c>
      <c r="H353" t="str">
        <f>VLOOKUP(F353,'Tipo Parada Forno 04 07'!$A$2:I361,2,FALSE())</f>
        <v>NP</v>
      </c>
      <c r="I353">
        <f t="shared" si="16"/>
        <v>0</v>
      </c>
      <c r="J353">
        <f t="shared" si="17"/>
        <v>8.3333333333333329E-2</v>
      </c>
    </row>
    <row r="354" spans="1:10" x14ac:dyDescent="0.3">
      <c r="A354" s="18" t="s">
        <v>485</v>
      </c>
      <c r="B354" s="19">
        <v>45022</v>
      </c>
      <c r="C354" s="20" t="s">
        <v>315</v>
      </c>
      <c r="D354" s="20" t="s">
        <v>529</v>
      </c>
      <c r="E354" s="20" t="s">
        <v>99</v>
      </c>
      <c r="F354" s="21" t="s">
        <v>74</v>
      </c>
      <c r="G354">
        <f t="shared" si="15"/>
        <v>0.21666666666666667</v>
      </c>
      <c r="H354" t="str">
        <f>VLOOKUP(F354,'Tipo Parada Forno 04 07'!$A$2:I362,2,FALSE())</f>
        <v>NP</v>
      </c>
      <c r="I354">
        <f t="shared" si="16"/>
        <v>0</v>
      </c>
      <c r="J354">
        <f t="shared" si="17"/>
        <v>0.21666666666666667</v>
      </c>
    </row>
    <row r="355" spans="1:10" x14ac:dyDescent="0.3">
      <c r="A355" s="18" t="s">
        <v>485</v>
      </c>
      <c r="B355" s="19">
        <v>45022</v>
      </c>
      <c r="C355" s="20" t="s">
        <v>530</v>
      </c>
      <c r="D355" s="20" t="s">
        <v>531</v>
      </c>
      <c r="E355" s="20" t="s">
        <v>532</v>
      </c>
      <c r="F355" s="21" t="s">
        <v>253</v>
      </c>
      <c r="G355">
        <f t="shared" si="15"/>
        <v>3.0833333333333335</v>
      </c>
      <c r="H355" t="str">
        <f>VLOOKUP(F355,'Tipo Parada Forno 04 07'!$A$2:I363,2,FALSE())</f>
        <v>P</v>
      </c>
      <c r="I355">
        <f t="shared" si="16"/>
        <v>3.0833333333333335</v>
      </c>
      <c r="J355">
        <f t="shared" si="17"/>
        <v>0</v>
      </c>
    </row>
    <row r="356" spans="1:10" x14ac:dyDescent="0.3">
      <c r="A356" s="18" t="s">
        <v>485</v>
      </c>
      <c r="B356" s="19">
        <v>45023</v>
      </c>
      <c r="C356" s="20" t="s">
        <v>533</v>
      </c>
      <c r="D356" s="20" t="s">
        <v>534</v>
      </c>
      <c r="E356" s="20" t="s">
        <v>451</v>
      </c>
      <c r="F356" s="21" t="s">
        <v>74</v>
      </c>
      <c r="G356">
        <f t="shared" si="15"/>
        <v>0.45</v>
      </c>
      <c r="H356" t="str">
        <f>VLOOKUP(F356,'Tipo Parada Forno 04 07'!$A$2:I364,2,FALSE())</f>
        <v>NP</v>
      </c>
      <c r="I356">
        <f t="shared" si="16"/>
        <v>0</v>
      </c>
      <c r="J356">
        <f t="shared" si="17"/>
        <v>0.45</v>
      </c>
    </row>
    <row r="357" spans="1:10" x14ac:dyDescent="0.3">
      <c r="A357" s="18" t="s">
        <v>485</v>
      </c>
      <c r="B357" s="19">
        <v>45023</v>
      </c>
      <c r="C357" s="20" t="s">
        <v>152</v>
      </c>
      <c r="D357" s="20" t="s">
        <v>535</v>
      </c>
      <c r="E357" s="20" t="s">
        <v>536</v>
      </c>
      <c r="F357" s="21" t="s">
        <v>105</v>
      </c>
      <c r="G357">
        <f t="shared" si="15"/>
        <v>0.93333333333333335</v>
      </c>
      <c r="H357" t="str">
        <f>VLOOKUP(F357,'Tipo Parada Forno 04 07'!$A$2:I365,2,FALSE())</f>
        <v>NP</v>
      </c>
      <c r="I357">
        <f t="shared" si="16"/>
        <v>0</v>
      </c>
      <c r="J357">
        <f t="shared" si="17"/>
        <v>0.93333333333333335</v>
      </c>
    </row>
    <row r="358" spans="1:10" x14ac:dyDescent="0.3">
      <c r="A358" s="18" t="s">
        <v>485</v>
      </c>
      <c r="B358" s="19">
        <v>45023</v>
      </c>
      <c r="C358" s="20" t="s">
        <v>537</v>
      </c>
      <c r="D358" s="20" t="s">
        <v>538</v>
      </c>
      <c r="E358" s="20" t="s">
        <v>292</v>
      </c>
      <c r="F358" s="21" t="s">
        <v>74</v>
      </c>
      <c r="G358">
        <f t="shared" si="15"/>
        <v>0.18333333333333332</v>
      </c>
      <c r="H358" t="str">
        <f>VLOOKUP(F358,'Tipo Parada Forno 04 07'!$A$2:I366,2,FALSE())</f>
        <v>NP</v>
      </c>
      <c r="I358">
        <f t="shared" si="16"/>
        <v>0</v>
      </c>
      <c r="J358">
        <f t="shared" si="17"/>
        <v>0.18333333333333332</v>
      </c>
    </row>
    <row r="359" spans="1:10" x14ac:dyDescent="0.3">
      <c r="A359" s="18" t="s">
        <v>485</v>
      </c>
      <c r="B359" s="19">
        <v>45023</v>
      </c>
      <c r="C359" s="20" t="s">
        <v>539</v>
      </c>
      <c r="D359" s="20" t="s">
        <v>540</v>
      </c>
      <c r="E359" s="20" t="s">
        <v>541</v>
      </c>
      <c r="F359" s="21" t="s">
        <v>105</v>
      </c>
      <c r="G359">
        <f t="shared" si="15"/>
        <v>0.6333333333333333</v>
      </c>
      <c r="H359" t="str">
        <f>VLOOKUP(F359,'Tipo Parada Forno 04 07'!$A$2:I367,2,FALSE())</f>
        <v>NP</v>
      </c>
      <c r="I359">
        <f t="shared" si="16"/>
        <v>0</v>
      </c>
      <c r="J359">
        <f t="shared" si="17"/>
        <v>0.6333333333333333</v>
      </c>
    </row>
    <row r="360" spans="1:10" x14ac:dyDescent="0.3">
      <c r="A360" s="18" t="s">
        <v>485</v>
      </c>
      <c r="B360" s="19">
        <v>45024</v>
      </c>
      <c r="C360" s="20" t="s">
        <v>542</v>
      </c>
      <c r="D360" s="20" t="s">
        <v>543</v>
      </c>
      <c r="E360" s="20" t="s">
        <v>299</v>
      </c>
      <c r="F360" s="21" t="s">
        <v>74</v>
      </c>
      <c r="G360">
        <f t="shared" si="15"/>
        <v>0.36666666666666664</v>
      </c>
      <c r="H360" t="str">
        <f>VLOOKUP(F360,'Tipo Parada Forno 04 07'!$A$2:I368,2,FALSE())</f>
        <v>NP</v>
      </c>
      <c r="I360">
        <f t="shared" si="16"/>
        <v>0</v>
      </c>
      <c r="J360">
        <f t="shared" si="17"/>
        <v>0.36666666666666664</v>
      </c>
    </row>
    <row r="361" spans="1:10" x14ac:dyDescent="0.3">
      <c r="A361" s="18" t="s">
        <v>485</v>
      </c>
      <c r="B361" s="19">
        <v>45024</v>
      </c>
      <c r="C361" s="20" t="s">
        <v>544</v>
      </c>
      <c r="D361" s="20" t="s">
        <v>216</v>
      </c>
      <c r="E361" s="20" t="s">
        <v>149</v>
      </c>
      <c r="F361" s="21" t="s">
        <v>74</v>
      </c>
      <c r="G361">
        <f t="shared" si="15"/>
        <v>0.26666666666666666</v>
      </c>
      <c r="H361" t="str">
        <f>VLOOKUP(F361,'Tipo Parada Forno 04 07'!$A$2:I369,2,FALSE())</f>
        <v>NP</v>
      </c>
      <c r="I361">
        <f t="shared" si="16"/>
        <v>0</v>
      </c>
      <c r="J361">
        <f t="shared" si="17"/>
        <v>0.26666666666666666</v>
      </c>
    </row>
    <row r="362" spans="1:10" x14ac:dyDescent="0.3">
      <c r="A362" s="18" t="s">
        <v>485</v>
      </c>
      <c r="B362" s="19">
        <v>45024</v>
      </c>
      <c r="C362" s="20" t="s">
        <v>88</v>
      </c>
      <c r="D362" s="20" t="s">
        <v>545</v>
      </c>
      <c r="E362" s="20" t="s">
        <v>546</v>
      </c>
      <c r="F362" s="21" t="s">
        <v>105</v>
      </c>
      <c r="G362">
        <f t="shared" si="15"/>
        <v>0.55000000000000004</v>
      </c>
      <c r="H362" t="str">
        <f>VLOOKUP(F362,'Tipo Parada Forno 04 07'!$A$2:I370,2,FALSE())</f>
        <v>NP</v>
      </c>
      <c r="I362">
        <f t="shared" si="16"/>
        <v>0</v>
      </c>
      <c r="J362">
        <f t="shared" si="17"/>
        <v>0.55000000000000004</v>
      </c>
    </row>
    <row r="363" spans="1:10" x14ac:dyDescent="0.3">
      <c r="A363" s="18" t="s">
        <v>485</v>
      </c>
      <c r="B363" s="19">
        <v>45024</v>
      </c>
      <c r="C363" s="20" t="s">
        <v>547</v>
      </c>
      <c r="D363" s="20" t="s">
        <v>469</v>
      </c>
      <c r="E363" s="20" t="s">
        <v>65</v>
      </c>
      <c r="F363" s="21" t="s">
        <v>69</v>
      </c>
      <c r="G363">
        <f t="shared" si="15"/>
        <v>8.3333333333333329E-2</v>
      </c>
      <c r="H363" t="str">
        <f>VLOOKUP(F363,'Tipo Parada Forno 04 07'!$A$2:I371,2,FALSE())</f>
        <v>NP</v>
      </c>
      <c r="I363">
        <f t="shared" si="16"/>
        <v>0</v>
      </c>
      <c r="J363">
        <f t="shared" si="17"/>
        <v>8.3333333333333329E-2</v>
      </c>
    </row>
    <row r="364" spans="1:10" x14ac:dyDescent="0.3">
      <c r="A364" s="18" t="s">
        <v>485</v>
      </c>
      <c r="B364" s="19">
        <v>45024</v>
      </c>
      <c r="C364" s="20" t="s">
        <v>441</v>
      </c>
      <c r="D364" s="20" t="s">
        <v>548</v>
      </c>
      <c r="E364" s="20" t="s">
        <v>65</v>
      </c>
      <c r="F364" s="21" t="s">
        <v>69</v>
      </c>
      <c r="G364">
        <f t="shared" si="15"/>
        <v>8.3333333333333329E-2</v>
      </c>
      <c r="H364" t="str">
        <f>VLOOKUP(F364,'Tipo Parada Forno 04 07'!$A$2:I372,2,FALSE())</f>
        <v>NP</v>
      </c>
      <c r="I364">
        <f t="shared" si="16"/>
        <v>0</v>
      </c>
      <c r="J364">
        <f t="shared" si="17"/>
        <v>8.3333333333333329E-2</v>
      </c>
    </row>
    <row r="365" spans="1:10" x14ac:dyDescent="0.3">
      <c r="A365" s="18" t="s">
        <v>485</v>
      </c>
      <c r="B365" s="19">
        <v>45025</v>
      </c>
      <c r="C365" s="20" t="s">
        <v>549</v>
      </c>
      <c r="D365" s="20" t="s">
        <v>461</v>
      </c>
      <c r="E365" s="20" t="s">
        <v>151</v>
      </c>
      <c r="F365" s="21" t="s">
        <v>74</v>
      </c>
      <c r="G365">
        <f t="shared" si="15"/>
        <v>0.28333333333333333</v>
      </c>
      <c r="H365" t="str">
        <f>VLOOKUP(F365,'Tipo Parada Forno 04 07'!$A$2:I373,2,FALSE())</f>
        <v>NP</v>
      </c>
      <c r="I365">
        <f t="shared" si="16"/>
        <v>0</v>
      </c>
      <c r="J365">
        <f t="shared" si="17"/>
        <v>0.28333333333333333</v>
      </c>
    </row>
    <row r="366" spans="1:10" x14ac:dyDescent="0.3">
      <c r="A366" s="18" t="s">
        <v>485</v>
      </c>
      <c r="B366" s="19">
        <v>45025</v>
      </c>
      <c r="C366" s="20" t="s">
        <v>550</v>
      </c>
      <c r="D366" s="20" t="s">
        <v>551</v>
      </c>
      <c r="E366" s="20" t="s">
        <v>546</v>
      </c>
      <c r="F366" s="21" t="s">
        <v>105</v>
      </c>
      <c r="G366">
        <f t="shared" si="15"/>
        <v>0.55000000000000004</v>
      </c>
      <c r="H366" t="str">
        <f>VLOOKUP(F366,'Tipo Parada Forno 04 07'!$A$2:I374,2,FALSE())</f>
        <v>NP</v>
      </c>
      <c r="I366">
        <f t="shared" si="16"/>
        <v>0</v>
      </c>
      <c r="J366">
        <f t="shared" si="17"/>
        <v>0.55000000000000004</v>
      </c>
    </row>
    <row r="367" spans="1:10" x14ac:dyDescent="0.3">
      <c r="A367" s="18" t="s">
        <v>485</v>
      </c>
      <c r="B367" s="19">
        <v>45025</v>
      </c>
      <c r="C367" s="20" t="s">
        <v>456</v>
      </c>
      <c r="D367" s="20" t="s">
        <v>117</v>
      </c>
      <c r="E367" s="20" t="s">
        <v>73</v>
      </c>
      <c r="F367" s="21" t="s">
        <v>66</v>
      </c>
      <c r="G367">
        <f t="shared" si="15"/>
        <v>0.16666666666666666</v>
      </c>
      <c r="H367" t="str">
        <f>VLOOKUP(F367,'Tipo Parada Forno 04 07'!$A$2:I375,2,FALSE())</f>
        <v>NP</v>
      </c>
      <c r="I367">
        <f t="shared" si="16"/>
        <v>0</v>
      </c>
      <c r="J367">
        <f t="shared" si="17"/>
        <v>0.16666666666666666</v>
      </c>
    </row>
    <row r="368" spans="1:10" x14ac:dyDescent="0.3">
      <c r="A368" s="18" t="s">
        <v>485</v>
      </c>
      <c r="B368" s="19">
        <v>45025</v>
      </c>
      <c r="C368" s="20" t="s">
        <v>552</v>
      </c>
      <c r="D368" s="20" t="s">
        <v>553</v>
      </c>
      <c r="E368" s="20" t="s">
        <v>149</v>
      </c>
      <c r="F368" s="21" t="s">
        <v>74</v>
      </c>
      <c r="G368">
        <f t="shared" si="15"/>
        <v>0.26666666666666666</v>
      </c>
      <c r="H368" t="str">
        <f>VLOOKUP(F368,'Tipo Parada Forno 04 07'!$A$2:I376,2,FALSE())</f>
        <v>NP</v>
      </c>
      <c r="I368">
        <f t="shared" si="16"/>
        <v>0</v>
      </c>
      <c r="J368">
        <f t="shared" si="17"/>
        <v>0.26666666666666666</v>
      </c>
    </row>
    <row r="369" spans="1:10" x14ac:dyDescent="0.3">
      <c r="A369" s="18" t="s">
        <v>485</v>
      </c>
      <c r="B369" s="19">
        <v>45026</v>
      </c>
      <c r="C369" s="20" t="s">
        <v>554</v>
      </c>
      <c r="D369" s="20" t="s">
        <v>430</v>
      </c>
      <c r="E369" s="20" t="s">
        <v>87</v>
      </c>
      <c r="F369" s="21" t="s">
        <v>74</v>
      </c>
      <c r="G369">
        <f t="shared" si="15"/>
        <v>0.33333333333333331</v>
      </c>
      <c r="H369" t="str">
        <f>VLOOKUP(F369,'Tipo Parada Forno 04 07'!$A$2:I377,2,FALSE())</f>
        <v>NP</v>
      </c>
      <c r="I369">
        <f t="shared" si="16"/>
        <v>0</v>
      </c>
      <c r="J369">
        <f t="shared" si="17"/>
        <v>0.33333333333333331</v>
      </c>
    </row>
    <row r="370" spans="1:10" x14ac:dyDescent="0.3">
      <c r="A370" s="18" t="s">
        <v>485</v>
      </c>
      <c r="B370" s="19">
        <v>45026</v>
      </c>
      <c r="C370" s="20" t="s">
        <v>279</v>
      </c>
      <c r="D370" s="20" t="s">
        <v>215</v>
      </c>
      <c r="E370" s="20" t="s">
        <v>264</v>
      </c>
      <c r="F370" s="21" t="s">
        <v>105</v>
      </c>
      <c r="G370">
        <f t="shared" si="15"/>
        <v>0.66666666666666663</v>
      </c>
      <c r="H370" t="str">
        <f>VLOOKUP(F370,'Tipo Parada Forno 04 07'!$A$2:I378,2,FALSE())</f>
        <v>NP</v>
      </c>
      <c r="I370">
        <f t="shared" si="16"/>
        <v>0</v>
      </c>
      <c r="J370">
        <f t="shared" si="17"/>
        <v>0.66666666666666663</v>
      </c>
    </row>
    <row r="371" spans="1:10" x14ac:dyDescent="0.3">
      <c r="A371" s="18" t="s">
        <v>485</v>
      </c>
      <c r="B371" s="19">
        <v>45026</v>
      </c>
      <c r="C371" s="20" t="s">
        <v>555</v>
      </c>
      <c r="D371" s="20" t="s">
        <v>556</v>
      </c>
      <c r="E371" s="20" t="s">
        <v>221</v>
      </c>
      <c r="F371" s="21" t="s">
        <v>66</v>
      </c>
      <c r="G371">
        <f t="shared" si="15"/>
        <v>0.11666666666666667</v>
      </c>
      <c r="H371" t="str">
        <f>VLOOKUP(F371,'Tipo Parada Forno 04 07'!$A$2:I379,2,FALSE())</f>
        <v>NP</v>
      </c>
      <c r="I371">
        <f t="shared" si="16"/>
        <v>0</v>
      </c>
      <c r="J371">
        <f t="shared" si="17"/>
        <v>0.11666666666666667</v>
      </c>
    </row>
    <row r="372" spans="1:10" x14ac:dyDescent="0.3">
      <c r="A372" s="18" t="s">
        <v>485</v>
      </c>
      <c r="B372" s="19">
        <v>45026</v>
      </c>
      <c r="C372" s="20" t="s">
        <v>557</v>
      </c>
      <c r="D372" s="20" t="s">
        <v>558</v>
      </c>
      <c r="E372" s="20" t="s">
        <v>122</v>
      </c>
      <c r="F372" s="21" t="s">
        <v>74</v>
      </c>
      <c r="G372">
        <f t="shared" si="15"/>
        <v>0.25</v>
      </c>
      <c r="H372" t="str">
        <f>VLOOKUP(F372,'Tipo Parada Forno 04 07'!$A$2:I380,2,FALSE())</f>
        <v>NP</v>
      </c>
      <c r="I372">
        <f t="shared" si="16"/>
        <v>0</v>
      </c>
      <c r="J372">
        <f t="shared" si="17"/>
        <v>0.25</v>
      </c>
    </row>
    <row r="373" spans="1:10" x14ac:dyDescent="0.3">
      <c r="A373" s="18" t="s">
        <v>485</v>
      </c>
      <c r="B373" s="19">
        <v>45026</v>
      </c>
      <c r="C373" s="20" t="s">
        <v>387</v>
      </c>
      <c r="D373" s="20" t="s">
        <v>559</v>
      </c>
      <c r="E373" s="20" t="s">
        <v>442</v>
      </c>
      <c r="F373" s="21" t="s">
        <v>105</v>
      </c>
      <c r="G373">
        <f t="shared" si="15"/>
        <v>0.6</v>
      </c>
      <c r="H373" t="str">
        <f>VLOOKUP(F373,'Tipo Parada Forno 04 07'!$A$2:I381,2,FALSE())</f>
        <v>NP</v>
      </c>
      <c r="I373">
        <f t="shared" si="16"/>
        <v>0</v>
      </c>
      <c r="J373">
        <f t="shared" si="17"/>
        <v>0.6</v>
      </c>
    </row>
    <row r="374" spans="1:10" x14ac:dyDescent="0.3">
      <c r="A374" s="18" t="s">
        <v>485</v>
      </c>
      <c r="B374" s="19">
        <v>45026</v>
      </c>
      <c r="C374" s="20" t="s">
        <v>560</v>
      </c>
      <c r="D374" s="20" t="s">
        <v>561</v>
      </c>
      <c r="E374" s="20" t="s">
        <v>65</v>
      </c>
      <c r="F374" s="21" t="s">
        <v>69</v>
      </c>
      <c r="G374">
        <f t="shared" si="15"/>
        <v>8.3333333333333329E-2</v>
      </c>
      <c r="H374" t="str">
        <f>VLOOKUP(F374,'Tipo Parada Forno 04 07'!$A$2:I382,2,FALSE())</f>
        <v>NP</v>
      </c>
      <c r="I374">
        <f t="shared" si="16"/>
        <v>0</v>
      </c>
      <c r="J374">
        <f t="shared" si="17"/>
        <v>8.3333333333333329E-2</v>
      </c>
    </row>
    <row r="375" spans="1:10" x14ac:dyDescent="0.3">
      <c r="A375" s="18" t="s">
        <v>485</v>
      </c>
      <c r="B375" s="19">
        <v>45026</v>
      </c>
      <c r="C375" s="20" t="s">
        <v>145</v>
      </c>
      <c r="D375" s="20" t="s">
        <v>562</v>
      </c>
      <c r="E375" s="20" t="s">
        <v>563</v>
      </c>
      <c r="F375" s="21" t="s">
        <v>523</v>
      </c>
      <c r="G375">
        <f t="shared" si="15"/>
        <v>1.4666666666666668</v>
      </c>
      <c r="H375" t="str">
        <f>VLOOKUP(F375,'Tipo Parada Forno 04 07'!$A$2:I383,2,FALSE())</f>
        <v>NP</v>
      </c>
      <c r="I375">
        <f t="shared" si="16"/>
        <v>0</v>
      </c>
      <c r="J375">
        <f t="shared" si="17"/>
        <v>1.4666666666666668</v>
      </c>
    </row>
    <row r="376" spans="1:10" x14ac:dyDescent="0.3">
      <c r="A376" s="18" t="s">
        <v>485</v>
      </c>
      <c r="B376" s="19">
        <v>45026</v>
      </c>
      <c r="C376" s="20" t="s">
        <v>564</v>
      </c>
      <c r="D376" s="20" t="s">
        <v>565</v>
      </c>
      <c r="E376" s="20" t="s">
        <v>65</v>
      </c>
      <c r="F376" s="21" t="s">
        <v>69</v>
      </c>
      <c r="G376">
        <f t="shared" si="15"/>
        <v>8.3333333333333329E-2</v>
      </c>
      <c r="H376" t="str">
        <f>VLOOKUP(F376,'Tipo Parada Forno 04 07'!$A$2:I384,2,FALSE())</f>
        <v>NP</v>
      </c>
      <c r="I376">
        <f t="shared" si="16"/>
        <v>0</v>
      </c>
      <c r="J376">
        <f t="shared" si="17"/>
        <v>8.3333333333333329E-2</v>
      </c>
    </row>
    <row r="377" spans="1:10" x14ac:dyDescent="0.3">
      <c r="A377" s="18" t="s">
        <v>485</v>
      </c>
      <c r="B377" s="19">
        <v>45027</v>
      </c>
      <c r="C377" s="20" t="s">
        <v>566</v>
      </c>
      <c r="D377" s="20" t="s">
        <v>495</v>
      </c>
      <c r="E377" s="20" t="s">
        <v>567</v>
      </c>
      <c r="F377" s="21" t="s">
        <v>74</v>
      </c>
      <c r="G377">
        <f t="shared" si="15"/>
        <v>0.51666666666666672</v>
      </c>
      <c r="H377" t="str">
        <f>VLOOKUP(F377,'Tipo Parada Forno 04 07'!$A$2:I385,2,FALSE())</f>
        <v>NP</v>
      </c>
      <c r="I377">
        <f t="shared" si="16"/>
        <v>0</v>
      </c>
      <c r="J377">
        <f t="shared" si="17"/>
        <v>0.51666666666666672</v>
      </c>
    </row>
    <row r="378" spans="1:10" x14ac:dyDescent="0.3">
      <c r="A378" s="18" t="s">
        <v>485</v>
      </c>
      <c r="B378" s="19">
        <v>45027</v>
      </c>
      <c r="C378" s="20" t="s">
        <v>568</v>
      </c>
      <c r="D378" s="20" t="s">
        <v>569</v>
      </c>
      <c r="E378" s="20" t="s">
        <v>570</v>
      </c>
      <c r="F378" s="21" t="s">
        <v>571</v>
      </c>
      <c r="G378">
        <f t="shared" si="15"/>
        <v>0.8666666666666667</v>
      </c>
      <c r="H378" t="str">
        <f>VLOOKUP(F378,'Tipo Parada Forno 04 07'!$A$2:I386,2,FALSE())</f>
        <v>NP</v>
      </c>
      <c r="I378">
        <f t="shared" si="16"/>
        <v>0</v>
      </c>
      <c r="J378">
        <f t="shared" si="17"/>
        <v>0.8666666666666667</v>
      </c>
    </row>
    <row r="379" spans="1:10" x14ac:dyDescent="0.3">
      <c r="A379" s="18" t="s">
        <v>485</v>
      </c>
      <c r="B379" s="19">
        <v>45027</v>
      </c>
      <c r="C379" s="20" t="s">
        <v>572</v>
      </c>
      <c r="D379" s="20" t="s">
        <v>489</v>
      </c>
      <c r="E379" s="20" t="s">
        <v>570</v>
      </c>
      <c r="F379" s="21" t="s">
        <v>105</v>
      </c>
      <c r="G379">
        <f t="shared" si="15"/>
        <v>0.8666666666666667</v>
      </c>
      <c r="H379" t="str">
        <f>VLOOKUP(F379,'Tipo Parada Forno 04 07'!$A$2:I387,2,FALSE())</f>
        <v>NP</v>
      </c>
      <c r="I379">
        <f t="shared" si="16"/>
        <v>0</v>
      </c>
      <c r="J379">
        <f t="shared" si="17"/>
        <v>0.8666666666666667</v>
      </c>
    </row>
    <row r="380" spans="1:10" x14ac:dyDescent="0.3">
      <c r="A380" s="18" t="s">
        <v>485</v>
      </c>
      <c r="B380" s="19">
        <v>45027</v>
      </c>
      <c r="C380" s="20" t="s">
        <v>573</v>
      </c>
      <c r="D380" s="20" t="s">
        <v>370</v>
      </c>
      <c r="E380" s="20" t="s">
        <v>247</v>
      </c>
      <c r="F380" s="21" t="s">
        <v>74</v>
      </c>
      <c r="G380">
        <f t="shared" si="15"/>
        <v>0.4</v>
      </c>
      <c r="H380" t="str">
        <f>VLOOKUP(F380,'Tipo Parada Forno 04 07'!$A$2:I388,2,FALSE())</f>
        <v>NP</v>
      </c>
      <c r="I380">
        <f t="shared" si="16"/>
        <v>0</v>
      </c>
      <c r="J380">
        <f t="shared" si="17"/>
        <v>0.4</v>
      </c>
    </row>
    <row r="381" spans="1:10" x14ac:dyDescent="0.3">
      <c r="A381" s="18" t="s">
        <v>485</v>
      </c>
      <c r="B381" s="19">
        <v>45027</v>
      </c>
      <c r="C381" s="20" t="s">
        <v>385</v>
      </c>
      <c r="D381" s="20" t="s">
        <v>493</v>
      </c>
      <c r="E381" s="20" t="s">
        <v>113</v>
      </c>
      <c r="F381" s="21" t="s">
        <v>105</v>
      </c>
      <c r="G381">
        <f t="shared" si="15"/>
        <v>0.58333333333333337</v>
      </c>
      <c r="H381" t="str">
        <f>VLOOKUP(F381,'Tipo Parada Forno 04 07'!$A$2:I389,2,FALSE())</f>
        <v>NP</v>
      </c>
      <c r="I381">
        <f t="shared" si="16"/>
        <v>0</v>
      </c>
      <c r="J381">
        <f t="shared" si="17"/>
        <v>0.58333333333333337</v>
      </c>
    </row>
    <row r="382" spans="1:10" x14ac:dyDescent="0.3">
      <c r="A382" s="18" t="s">
        <v>485</v>
      </c>
      <c r="B382" s="19">
        <v>45028</v>
      </c>
      <c r="C382" s="20" t="s">
        <v>574</v>
      </c>
      <c r="D382" s="20" t="s">
        <v>67</v>
      </c>
      <c r="E382" s="20" t="s">
        <v>355</v>
      </c>
      <c r="F382" s="21" t="s">
        <v>74</v>
      </c>
      <c r="G382">
        <f t="shared" si="15"/>
        <v>0.31666666666666665</v>
      </c>
      <c r="H382" t="str">
        <f>VLOOKUP(F382,'Tipo Parada Forno 04 07'!$A$2:I390,2,FALSE())</f>
        <v>NP</v>
      </c>
      <c r="I382">
        <f t="shared" si="16"/>
        <v>0</v>
      </c>
      <c r="J382">
        <f t="shared" si="17"/>
        <v>0.31666666666666665</v>
      </c>
    </row>
    <row r="383" spans="1:10" x14ac:dyDescent="0.3">
      <c r="A383" s="18" t="s">
        <v>485</v>
      </c>
      <c r="B383" s="19">
        <v>45028</v>
      </c>
      <c r="C383" s="20" t="s">
        <v>573</v>
      </c>
      <c r="D383" s="20" t="s">
        <v>370</v>
      </c>
      <c r="E383" s="20" t="s">
        <v>247</v>
      </c>
      <c r="F383" s="21" t="s">
        <v>74</v>
      </c>
      <c r="G383">
        <f t="shared" si="15"/>
        <v>0.4</v>
      </c>
      <c r="H383" t="str">
        <f>VLOOKUP(F383,'Tipo Parada Forno 04 07'!$A$2:I391,2,FALSE())</f>
        <v>NP</v>
      </c>
      <c r="I383">
        <f t="shared" si="16"/>
        <v>0</v>
      </c>
      <c r="J383">
        <f t="shared" si="17"/>
        <v>0.4</v>
      </c>
    </row>
    <row r="384" spans="1:10" x14ac:dyDescent="0.3">
      <c r="A384" s="18" t="s">
        <v>485</v>
      </c>
      <c r="B384" s="19">
        <v>45028</v>
      </c>
      <c r="C384" s="20" t="s">
        <v>346</v>
      </c>
      <c r="D384" s="20" t="s">
        <v>386</v>
      </c>
      <c r="E384" s="20" t="s">
        <v>65</v>
      </c>
      <c r="F384" s="21" t="s">
        <v>69</v>
      </c>
      <c r="G384">
        <f t="shared" si="15"/>
        <v>8.3333333333333329E-2</v>
      </c>
      <c r="H384" t="str">
        <f>VLOOKUP(F384,'Tipo Parada Forno 04 07'!$A$2:I392,2,FALSE())</f>
        <v>NP</v>
      </c>
      <c r="I384">
        <f t="shared" si="16"/>
        <v>0</v>
      </c>
      <c r="J384">
        <f t="shared" si="17"/>
        <v>8.3333333333333329E-2</v>
      </c>
    </row>
    <row r="385" spans="1:10" x14ac:dyDescent="0.3">
      <c r="A385" s="18" t="s">
        <v>485</v>
      </c>
      <c r="B385" s="19">
        <v>45028</v>
      </c>
      <c r="C385" s="20" t="s">
        <v>386</v>
      </c>
      <c r="D385" s="20" t="s">
        <v>575</v>
      </c>
      <c r="E385" s="20" t="s">
        <v>65</v>
      </c>
      <c r="F385" s="21" t="s">
        <v>71</v>
      </c>
      <c r="G385">
        <f t="shared" si="15"/>
        <v>8.3333333333333329E-2</v>
      </c>
      <c r="H385" t="str">
        <f>VLOOKUP(F385,'Tipo Parada Forno 04 07'!$A$2:I393,2,FALSE())</f>
        <v>NP</v>
      </c>
      <c r="I385">
        <f t="shared" si="16"/>
        <v>0</v>
      </c>
      <c r="J385">
        <f t="shared" si="17"/>
        <v>8.3333333333333329E-2</v>
      </c>
    </row>
    <row r="386" spans="1:10" x14ac:dyDescent="0.3">
      <c r="A386" s="18" t="s">
        <v>485</v>
      </c>
      <c r="B386" s="19">
        <v>45028</v>
      </c>
      <c r="C386" s="20" t="s">
        <v>575</v>
      </c>
      <c r="D386" s="20" t="s">
        <v>237</v>
      </c>
      <c r="E386" s="20" t="s">
        <v>122</v>
      </c>
      <c r="F386" s="21" t="s">
        <v>105</v>
      </c>
      <c r="G386">
        <f t="shared" ref="G386:G449" si="18">VALUE(MID(E386,1,2)+VALUE(MID(E386,4,2))/60)</f>
        <v>0.25</v>
      </c>
      <c r="H386" t="str">
        <f>VLOOKUP(F386,'Tipo Parada Forno 04 07'!$A$2:I394,2,FALSE())</f>
        <v>NP</v>
      </c>
      <c r="I386">
        <f t="shared" ref="I386:I449" si="19">IF(H386="P",G386,0)</f>
        <v>0</v>
      </c>
      <c r="J386">
        <f t="shared" ref="J386:J449" si="20">IF(H386="NP",G386,0)</f>
        <v>0.25</v>
      </c>
    </row>
    <row r="387" spans="1:10" x14ac:dyDescent="0.3">
      <c r="A387" s="18" t="s">
        <v>485</v>
      </c>
      <c r="B387" s="19">
        <v>45028</v>
      </c>
      <c r="C387" s="20" t="s">
        <v>237</v>
      </c>
      <c r="D387" s="20" t="s">
        <v>576</v>
      </c>
      <c r="E387" s="20" t="s">
        <v>87</v>
      </c>
      <c r="F387" s="21" t="s">
        <v>89</v>
      </c>
      <c r="G387">
        <f t="shared" si="18"/>
        <v>0.33333333333333331</v>
      </c>
      <c r="H387" t="str">
        <f>VLOOKUP(F387,'Tipo Parada Forno 04 07'!$A$2:I395,2,FALSE())</f>
        <v>NP</v>
      </c>
      <c r="I387">
        <f t="shared" si="19"/>
        <v>0</v>
      </c>
      <c r="J387">
        <f t="shared" si="20"/>
        <v>0.33333333333333331</v>
      </c>
    </row>
    <row r="388" spans="1:10" x14ac:dyDescent="0.3">
      <c r="A388" s="18" t="s">
        <v>485</v>
      </c>
      <c r="B388" s="19">
        <v>45029</v>
      </c>
      <c r="C388" s="20" t="s">
        <v>577</v>
      </c>
      <c r="D388" s="20" t="s">
        <v>578</v>
      </c>
      <c r="E388" s="20" t="s">
        <v>65</v>
      </c>
      <c r="F388" s="21" t="s">
        <v>69</v>
      </c>
      <c r="G388">
        <f t="shared" si="18"/>
        <v>8.3333333333333329E-2</v>
      </c>
      <c r="H388" t="str">
        <f>VLOOKUP(F388,'Tipo Parada Forno 04 07'!$A$2:I396,2,FALSE())</f>
        <v>NP</v>
      </c>
      <c r="I388">
        <f t="shared" si="19"/>
        <v>0</v>
      </c>
      <c r="J388">
        <f t="shared" si="20"/>
        <v>8.3333333333333329E-2</v>
      </c>
    </row>
    <row r="389" spans="1:10" x14ac:dyDescent="0.3">
      <c r="A389" s="18" t="s">
        <v>485</v>
      </c>
      <c r="B389" s="19">
        <v>45029</v>
      </c>
      <c r="C389" s="20" t="s">
        <v>579</v>
      </c>
      <c r="D389" s="20" t="s">
        <v>428</v>
      </c>
      <c r="E389" s="20" t="s">
        <v>176</v>
      </c>
      <c r="F389" s="21" t="s">
        <v>74</v>
      </c>
      <c r="G389">
        <f t="shared" si="18"/>
        <v>0.3</v>
      </c>
      <c r="H389" t="str">
        <f>VLOOKUP(F389,'Tipo Parada Forno 04 07'!$A$2:I397,2,FALSE())</f>
        <v>NP</v>
      </c>
      <c r="I389">
        <f t="shared" si="19"/>
        <v>0</v>
      </c>
      <c r="J389">
        <f t="shared" si="20"/>
        <v>0.3</v>
      </c>
    </row>
    <row r="390" spans="1:10" x14ac:dyDescent="0.3">
      <c r="A390" s="18" t="s">
        <v>485</v>
      </c>
      <c r="B390" s="19">
        <v>45029</v>
      </c>
      <c r="C390" s="20" t="s">
        <v>580</v>
      </c>
      <c r="D390" s="20" t="s">
        <v>581</v>
      </c>
      <c r="E390" s="20" t="s">
        <v>65</v>
      </c>
      <c r="F390" s="21" t="s">
        <v>69</v>
      </c>
      <c r="G390">
        <f t="shared" si="18"/>
        <v>8.3333333333333329E-2</v>
      </c>
      <c r="H390" t="str">
        <f>VLOOKUP(F390,'Tipo Parada Forno 04 07'!$A$2:I398,2,FALSE())</f>
        <v>NP</v>
      </c>
      <c r="I390">
        <f t="shared" si="19"/>
        <v>0</v>
      </c>
      <c r="J390">
        <f t="shared" si="20"/>
        <v>8.3333333333333329E-2</v>
      </c>
    </row>
    <row r="391" spans="1:10" x14ac:dyDescent="0.3">
      <c r="A391" s="18" t="s">
        <v>485</v>
      </c>
      <c r="B391" s="19">
        <v>45029</v>
      </c>
      <c r="C391" s="20" t="s">
        <v>582</v>
      </c>
      <c r="D391" s="20" t="s">
        <v>583</v>
      </c>
      <c r="E391" s="20" t="s">
        <v>97</v>
      </c>
      <c r="F391" s="21" t="s">
        <v>69</v>
      </c>
      <c r="G391">
        <f t="shared" si="18"/>
        <v>6.6666666666666666E-2</v>
      </c>
      <c r="H391" t="str">
        <f>VLOOKUP(F391,'Tipo Parada Forno 04 07'!$A$2:I399,2,FALSE())</f>
        <v>NP</v>
      </c>
      <c r="I391">
        <f t="shared" si="19"/>
        <v>0</v>
      </c>
      <c r="J391">
        <f t="shared" si="20"/>
        <v>6.6666666666666666E-2</v>
      </c>
    </row>
    <row r="392" spans="1:10" x14ac:dyDescent="0.3">
      <c r="A392" s="18" t="s">
        <v>485</v>
      </c>
      <c r="B392" s="19">
        <v>45029</v>
      </c>
      <c r="C392" s="20" t="s">
        <v>583</v>
      </c>
      <c r="D392" s="20" t="s">
        <v>584</v>
      </c>
      <c r="E392" s="20" t="s">
        <v>97</v>
      </c>
      <c r="F392" s="21" t="s">
        <v>71</v>
      </c>
      <c r="G392">
        <f t="shared" si="18"/>
        <v>6.6666666666666666E-2</v>
      </c>
      <c r="H392" t="str">
        <f>VLOOKUP(F392,'Tipo Parada Forno 04 07'!$A$2:I400,2,FALSE())</f>
        <v>NP</v>
      </c>
      <c r="I392">
        <f t="shared" si="19"/>
        <v>0</v>
      </c>
      <c r="J392">
        <f t="shared" si="20"/>
        <v>6.6666666666666666E-2</v>
      </c>
    </row>
    <row r="393" spans="1:10" x14ac:dyDescent="0.3">
      <c r="A393" s="18" t="s">
        <v>485</v>
      </c>
      <c r="B393" s="19">
        <v>45029</v>
      </c>
      <c r="C393" s="20" t="s">
        <v>584</v>
      </c>
      <c r="D393" s="20" t="s">
        <v>585</v>
      </c>
      <c r="E393" s="20" t="s">
        <v>122</v>
      </c>
      <c r="F393" s="21" t="s">
        <v>105</v>
      </c>
      <c r="G393">
        <f t="shared" si="18"/>
        <v>0.25</v>
      </c>
      <c r="H393" t="str">
        <f>VLOOKUP(F393,'Tipo Parada Forno 04 07'!$A$2:I401,2,FALSE())</f>
        <v>NP</v>
      </c>
      <c r="I393">
        <f t="shared" si="19"/>
        <v>0</v>
      </c>
      <c r="J393">
        <f t="shared" si="20"/>
        <v>0.25</v>
      </c>
    </row>
    <row r="394" spans="1:10" x14ac:dyDescent="0.3">
      <c r="A394" s="18" t="s">
        <v>485</v>
      </c>
      <c r="B394" s="19">
        <v>45029</v>
      </c>
      <c r="C394" s="20" t="s">
        <v>585</v>
      </c>
      <c r="D394" s="20" t="s">
        <v>586</v>
      </c>
      <c r="E394" s="20" t="s">
        <v>317</v>
      </c>
      <c r="F394" s="21" t="s">
        <v>89</v>
      </c>
      <c r="G394">
        <f t="shared" si="18"/>
        <v>0.46666666666666667</v>
      </c>
      <c r="H394" t="str">
        <f>VLOOKUP(F394,'Tipo Parada Forno 04 07'!$A$2:I402,2,FALSE())</f>
        <v>NP</v>
      </c>
      <c r="I394">
        <f t="shared" si="19"/>
        <v>0</v>
      </c>
      <c r="J394">
        <f t="shared" si="20"/>
        <v>0.46666666666666667</v>
      </c>
    </row>
    <row r="395" spans="1:10" x14ac:dyDescent="0.3">
      <c r="A395" s="18" t="s">
        <v>485</v>
      </c>
      <c r="B395" s="19">
        <v>45029</v>
      </c>
      <c r="C395" s="20" t="s">
        <v>456</v>
      </c>
      <c r="D395" s="20" t="s">
        <v>314</v>
      </c>
      <c r="E395" s="20" t="s">
        <v>149</v>
      </c>
      <c r="F395" s="21" t="s">
        <v>74</v>
      </c>
      <c r="G395">
        <f t="shared" si="18"/>
        <v>0.26666666666666666</v>
      </c>
      <c r="H395" t="str">
        <f>VLOOKUP(F395,'Tipo Parada Forno 04 07'!$A$2:I403,2,FALSE())</f>
        <v>NP</v>
      </c>
      <c r="I395">
        <f t="shared" si="19"/>
        <v>0</v>
      </c>
      <c r="J395">
        <f t="shared" si="20"/>
        <v>0.26666666666666666</v>
      </c>
    </row>
    <row r="396" spans="1:10" x14ac:dyDescent="0.3">
      <c r="A396" s="18" t="s">
        <v>485</v>
      </c>
      <c r="B396" s="19">
        <v>45029</v>
      </c>
      <c r="C396" s="20" t="s">
        <v>587</v>
      </c>
      <c r="D396" s="20" t="s">
        <v>251</v>
      </c>
      <c r="E396" s="20" t="s">
        <v>588</v>
      </c>
      <c r="F396" s="21" t="s">
        <v>253</v>
      </c>
      <c r="G396">
        <f t="shared" si="18"/>
        <v>1.9166666666666665</v>
      </c>
      <c r="H396" t="str">
        <f>VLOOKUP(F396,'Tipo Parada Forno 04 07'!$A$2:I404,2,FALSE())</f>
        <v>P</v>
      </c>
      <c r="I396">
        <f t="shared" si="19"/>
        <v>1.9166666666666665</v>
      </c>
      <c r="J396">
        <f t="shared" si="20"/>
        <v>0</v>
      </c>
    </row>
    <row r="397" spans="1:10" x14ac:dyDescent="0.3">
      <c r="A397" s="18" t="s">
        <v>485</v>
      </c>
      <c r="B397" s="19">
        <v>45029</v>
      </c>
      <c r="C397" s="20" t="s">
        <v>346</v>
      </c>
      <c r="D397" s="20" t="s">
        <v>589</v>
      </c>
      <c r="E397" s="20" t="s">
        <v>590</v>
      </c>
      <c r="F397" s="21" t="s">
        <v>105</v>
      </c>
      <c r="G397">
        <f t="shared" si="18"/>
        <v>0.73333333333333328</v>
      </c>
      <c r="H397" t="str">
        <f>VLOOKUP(F397,'Tipo Parada Forno 04 07'!$A$2:I405,2,FALSE())</f>
        <v>NP</v>
      </c>
      <c r="I397">
        <f t="shared" si="19"/>
        <v>0</v>
      </c>
      <c r="J397">
        <f t="shared" si="20"/>
        <v>0.73333333333333328</v>
      </c>
    </row>
    <row r="398" spans="1:10" x14ac:dyDescent="0.3">
      <c r="A398" s="18" t="s">
        <v>485</v>
      </c>
      <c r="B398" s="19">
        <v>45029</v>
      </c>
      <c r="C398" s="20" t="s">
        <v>251</v>
      </c>
      <c r="D398" s="20" t="s">
        <v>254</v>
      </c>
      <c r="E398" s="20" t="s">
        <v>255</v>
      </c>
      <c r="F398" s="21" t="s">
        <v>253</v>
      </c>
      <c r="G398">
        <f t="shared" si="18"/>
        <v>1.5</v>
      </c>
      <c r="H398" t="str">
        <f>VLOOKUP(F398,'Tipo Parada Forno 04 07'!$A$2:I406,2,FALSE())</f>
        <v>P</v>
      </c>
      <c r="I398">
        <f t="shared" si="19"/>
        <v>1.5</v>
      </c>
      <c r="J398">
        <f t="shared" si="20"/>
        <v>0</v>
      </c>
    </row>
    <row r="399" spans="1:10" x14ac:dyDescent="0.3">
      <c r="A399" s="18" t="s">
        <v>485</v>
      </c>
      <c r="B399" s="19">
        <v>45030</v>
      </c>
      <c r="C399" s="20" t="s">
        <v>533</v>
      </c>
      <c r="D399" s="20" t="s">
        <v>91</v>
      </c>
      <c r="E399" s="20" t="s">
        <v>87</v>
      </c>
      <c r="F399" s="21" t="s">
        <v>74</v>
      </c>
      <c r="G399">
        <f t="shared" si="18"/>
        <v>0.33333333333333331</v>
      </c>
      <c r="H399" t="str">
        <f>VLOOKUP(F399,'Tipo Parada Forno 04 07'!$A$2:I407,2,FALSE())</f>
        <v>NP</v>
      </c>
      <c r="I399">
        <f t="shared" si="19"/>
        <v>0</v>
      </c>
      <c r="J399">
        <f t="shared" si="20"/>
        <v>0.33333333333333331</v>
      </c>
    </row>
    <row r="400" spans="1:10" x14ac:dyDescent="0.3">
      <c r="A400" s="18" t="s">
        <v>485</v>
      </c>
      <c r="B400" s="19">
        <v>45030</v>
      </c>
      <c r="C400" s="20" t="s">
        <v>591</v>
      </c>
      <c r="D400" s="20" t="s">
        <v>592</v>
      </c>
      <c r="E400" s="20" t="s">
        <v>65</v>
      </c>
      <c r="F400" s="21" t="s">
        <v>69</v>
      </c>
      <c r="G400">
        <f t="shared" si="18"/>
        <v>8.3333333333333329E-2</v>
      </c>
      <c r="H400" t="str">
        <f>VLOOKUP(F400,'Tipo Parada Forno 04 07'!$A$2:I408,2,FALSE())</f>
        <v>NP</v>
      </c>
      <c r="I400">
        <f t="shared" si="19"/>
        <v>0</v>
      </c>
      <c r="J400">
        <f t="shared" si="20"/>
        <v>8.3333333333333329E-2</v>
      </c>
    </row>
    <row r="401" spans="1:10" x14ac:dyDescent="0.3">
      <c r="A401" s="18" t="s">
        <v>485</v>
      </c>
      <c r="B401" s="19">
        <v>45030</v>
      </c>
      <c r="C401" s="20" t="s">
        <v>592</v>
      </c>
      <c r="D401" s="20" t="s">
        <v>593</v>
      </c>
      <c r="E401" s="20" t="s">
        <v>65</v>
      </c>
      <c r="F401" s="21" t="s">
        <v>71</v>
      </c>
      <c r="G401">
        <f t="shared" si="18"/>
        <v>8.3333333333333329E-2</v>
      </c>
      <c r="H401" t="str">
        <f>VLOOKUP(F401,'Tipo Parada Forno 04 07'!$A$2:I409,2,FALSE())</f>
        <v>NP</v>
      </c>
      <c r="I401">
        <f t="shared" si="19"/>
        <v>0</v>
      </c>
      <c r="J401">
        <f t="shared" si="20"/>
        <v>8.3333333333333329E-2</v>
      </c>
    </row>
    <row r="402" spans="1:10" x14ac:dyDescent="0.3">
      <c r="A402" s="18" t="s">
        <v>485</v>
      </c>
      <c r="B402" s="19">
        <v>45030</v>
      </c>
      <c r="C402" s="20" t="s">
        <v>593</v>
      </c>
      <c r="D402" s="20" t="s">
        <v>163</v>
      </c>
      <c r="E402" s="20" t="s">
        <v>122</v>
      </c>
      <c r="F402" s="21" t="s">
        <v>105</v>
      </c>
      <c r="G402">
        <f t="shared" si="18"/>
        <v>0.25</v>
      </c>
      <c r="H402" t="str">
        <f>VLOOKUP(F402,'Tipo Parada Forno 04 07'!$A$2:I410,2,FALSE())</f>
        <v>NP</v>
      </c>
      <c r="I402">
        <f t="shared" si="19"/>
        <v>0</v>
      </c>
      <c r="J402">
        <f t="shared" si="20"/>
        <v>0.25</v>
      </c>
    </row>
    <row r="403" spans="1:10" x14ac:dyDescent="0.3">
      <c r="A403" s="18" t="s">
        <v>485</v>
      </c>
      <c r="B403" s="19">
        <v>45030</v>
      </c>
      <c r="C403" s="20" t="s">
        <v>163</v>
      </c>
      <c r="D403" s="20" t="s">
        <v>165</v>
      </c>
      <c r="E403" s="20" t="s">
        <v>73</v>
      </c>
      <c r="F403" s="21" t="s">
        <v>89</v>
      </c>
      <c r="G403">
        <f t="shared" si="18"/>
        <v>0.16666666666666666</v>
      </c>
      <c r="H403" t="str">
        <f>VLOOKUP(F403,'Tipo Parada Forno 04 07'!$A$2:I411,2,FALSE())</f>
        <v>NP</v>
      </c>
      <c r="I403">
        <f t="shared" si="19"/>
        <v>0</v>
      </c>
      <c r="J403">
        <f t="shared" si="20"/>
        <v>0.16666666666666666</v>
      </c>
    </row>
    <row r="404" spans="1:10" x14ac:dyDescent="0.3">
      <c r="A404" s="18" t="s">
        <v>485</v>
      </c>
      <c r="B404" s="19">
        <v>45030</v>
      </c>
      <c r="C404" s="20" t="s">
        <v>594</v>
      </c>
      <c r="D404" s="20" t="s">
        <v>482</v>
      </c>
      <c r="E404" s="20" t="s">
        <v>566</v>
      </c>
      <c r="F404" s="21" t="s">
        <v>89</v>
      </c>
      <c r="G404">
        <f t="shared" si="18"/>
        <v>4.0666666666666664</v>
      </c>
      <c r="H404" t="str">
        <f>VLOOKUP(F404,'Tipo Parada Forno 04 07'!$A$2:I412,2,FALSE())</f>
        <v>NP</v>
      </c>
      <c r="I404">
        <f t="shared" si="19"/>
        <v>0</v>
      </c>
      <c r="J404">
        <f t="shared" si="20"/>
        <v>4.0666666666666664</v>
      </c>
    </row>
    <row r="405" spans="1:10" x14ac:dyDescent="0.3">
      <c r="A405" s="18" t="s">
        <v>485</v>
      </c>
      <c r="B405" s="19">
        <v>45030</v>
      </c>
      <c r="C405" s="20" t="s">
        <v>595</v>
      </c>
      <c r="D405" s="20" t="s">
        <v>596</v>
      </c>
      <c r="E405" s="20" t="s">
        <v>122</v>
      </c>
      <c r="F405" s="21" t="s">
        <v>74</v>
      </c>
      <c r="G405">
        <f t="shared" si="18"/>
        <v>0.25</v>
      </c>
      <c r="H405" t="str">
        <f>VLOOKUP(F405,'Tipo Parada Forno 04 07'!$A$2:I413,2,FALSE())</f>
        <v>NP</v>
      </c>
      <c r="I405">
        <f t="shared" si="19"/>
        <v>0</v>
      </c>
      <c r="J405">
        <f t="shared" si="20"/>
        <v>0.25</v>
      </c>
    </row>
    <row r="406" spans="1:10" x14ac:dyDescent="0.3">
      <c r="A406" s="18" t="s">
        <v>485</v>
      </c>
      <c r="B406" s="19">
        <v>45031</v>
      </c>
      <c r="C406" s="20" t="s">
        <v>597</v>
      </c>
      <c r="D406" s="20" t="s">
        <v>598</v>
      </c>
      <c r="E406" s="20" t="s">
        <v>87</v>
      </c>
      <c r="F406" s="21" t="s">
        <v>74</v>
      </c>
      <c r="G406">
        <f t="shared" si="18"/>
        <v>0.33333333333333331</v>
      </c>
      <c r="H406" t="str">
        <f>VLOOKUP(F406,'Tipo Parada Forno 04 07'!$A$2:I414,2,FALSE())</f>
        <v>NP</v>
      </c>
      <c r="I406">
        <f t="shared" si="19"/>
        <v>0</v>
      </c>
      <c r="J406">
        <f t="shared" si="20"/>
        <v>0.33333333333333331</v>
      </c>
    </row>
    <row r="407" spans="1:10" x14ac:dyDescent="0.3">
      <c r="A407" s="18" t="s">
        <v>485</v>
      </c>
      <c r="B407" s="19">
        <v>45031</v>
      </c>
      <c r="C407" s="20" t="s">
        <v>599</v>
      </c>
      <c r="D407" s="20" t="s">
        <v>262</v>
      </c>
      <c r="E407" s="20" t="s">
        <v>344</v>
      </c>
      <c r="F407" s="21" t="s">
        <v>105</v>
      </c>
      <c r="G407">
        <f t="shared" si="18"/>
        <v>1.25</v>
      </c>
      <c r="H407" t="str">
        <f>VLOOKUP(F407,'Tipo Parada Forno 04 07'!$A$2:I415,2,FALSE())</f>
        <v>NP</v>
      </c>
      <c r="I407">
        <f t="shared" si="19"/>
        <v>0</v>
      </c>
      <c r="J407">
        <f t="shared" si="20"/>
        <v>1.25</v>
      </c>
    </row>
    <row r="408" spans="1:10" x14ac:dyDescent="0.3">
      <c r="A408" s="18" t="s">
        <v>485</v>
      </c>
      <c r="B408" s="19">
        <v>45031</v>
      </c>
      <c r="C408" s="20" t="s">
        <v>600</v>
      </c>
      <c r="D408" s="20" t="s">
        <v>293</v>
      </c>
      <c r="E408" s="20" t="s">
        <v>221</v>
      </c>
      <c r="F408" s="21" t="s">
        <v>69</v>
      </c>
      <c r="G408">
        <f t="shared" si="18"/>
        <v>0.11666666666666667</v>
      </c>
      <c r="H408" t="str">
        <f>VLOOKUP(F408,'Tipo Parada Forno 04 07'!$A$2:I416,2,FALSE())</f>
        <v>NP</v>
      </c>
      <c r="I408">
        <f t="shared" si="19"/>
        <v>0</v>
      </c>
      <c r="J408">
        <f t="shared" si="20"/>
        <v>0.11666666666666667</v>
      </c>
    </row>
    <row r="409" spans="1:10" x14ac:dyDescent="0.3">
      <c r="A409" s="18" t="s">
        <v>485</v>
      </c>
      <c r="B409" s="19">
        <v>45031</v>
      </c>
      <c r="C409" s="20" t="s">
        <v>601</v>
      </c>
      <c r="D409" s="20" t="s">
        <v>602</v>
      </c>
      <c r="E409" s="20" t="s">
        <v>122</v>
      </c>
      <c r="F409" s="21" t="s">
        <v>74</v>
      </c>
      <c r="G409">
        <f t="shared" si="18"/>
        <v>0.25</v>
      </c>
      <c r="H409" t="str">
        <f>VLOOKUP(F409,'Tipo Parada Forno 04 07'!$A$2:I417,2,FALSE())</f>
        <v>NP</v>
      </c>
      <c r="I409">
        <f t="shared" si="19"/>
        <v>0</v>
      </c>
      <c r="J409">
        <f t="shared" si="20"/>
        <v>0.25</v>
      </c>
    </row>
    <row r="410" spans="1:10" x14ac:dyDescent="0.3">
      <c r="A410" s="18" t="s">
        <v>485</v>
      </c>
      <c r="B410" s="19">
        <v>45031</v>
      </c>
      <c r="C410" s="20" t="s">
        <v>400</v>
      </c>
      <c r="D410" s="20" t="s">
        <v>603</v>
      </c>
      <c r="E410" s="20" t="s">
        <v>317</v>
      </c>
      <c r="F410" s="21" t="s">
        <v>105</v>
      </c>
      <c r="G410">
        <f t="shared" si="18"/>
        <v>0.46666666666666667</v>
      </c>
      <c r="H410" t="str">
        <f>VLOOKUP(F410,'Tipo Parada Forno 04 07'!$A$2:I418,2,FALSE())</f>
        <v>NP</v>
      </c>
      <c r="I410">
        <f t="shared" si="19"/>
        <v>0</v>
      </c>
      <c r="J410">
        <f t="shared" si="20"/>
        <v>0.46666666666666667</v>
      </c>
    </row>
    <row r="411" spans="1:10" x14ac:dyDescent="0.3">
      <c r="A411" s="18" t="s">
        <v>485</v>
      </c>
      <c r="B411" s="19">
        <v>45032</v>
      </c>
      <c r="C411" s="20" t="s">
        <v>428</v>
      </c>
      <c r="D411" s="20" t="s">
        <v>378</v>
      </c>
      <c r="E411" s="20" t="s">
        <v>122</v>
      </c>
      <c r="F411" s="21" t="s">
        <v>74</v>
      </c>
      <c r="G411">
        <f t="shared" si="18"/>
        <v>0.25</v>
      </c>
      <c r="H411" t="str">
        <f>VLOOKUP(F411,'Tipo Parada Forno 04 07'!$A$2:I419,2,FALSE())</f>
        <v>NP</v>
      </c>
      <c r="I411">
        <f t="shared" si="19"/>
        <v>0</v>
      </c>
      <c r="J411">
        <f t="shared" si="20"/>
        <v>0.25</v>
      </c>
    </row>
    <row r="412" spans="1:10" x14ac:dyDescent="0.3">
      <c r="A412" s="18" t="s">
        <v>485</v>
      </c>
      <c r="B412" s="19">
        <v>45032</v>
      </c>
      <c r="C412" s="20" t="s">
        <v>153</v>
      </c>
      <c r="D412" s="20" t="s">
        <v>604</v>
      </c>
      <c r="E412" s="20" t="s">
        <v>444</v>
      </c>
      <c r="F412" s="21" t="s">
        <v>105</v>
      </c>
      <c r="G412">
        <f t="shared" si="18"/>
        <v>1</v>
      </c>
      <c r="H412" t="str">
        <f>VLOOKUP(F412,'Tipo Parada Forno 04 07'!$A$2:I420,2,FALSE())</f>
        <v>NP</v>
      </c>
      <c r="I412">
        <f t="shared" si="19"/>
        <v>0</v>
      </c>
      <c r="J412">
        <f t="shared" si="20"/>
        <v>1</v>
      </c>
    </row>
    <row r="413" spans="1:10" x14ac:dyDescent="0.3">
      <c r="A413" s="18" t="s">
        <v>485</v>
      </c>
      <c r="B413" s="19">
        <v>45032</v>
      </c>
      <c r="C413" s="20" t="s">
        <v>605</v>
      </c>
      <c r="D413" s="20" t="s">
        <v>606</v>
      </c>
      <c r="E413" s="20" t="s">
        <v>65</v>
      </c>
      <c r="F413" s="21" t="s">
        <v>69</v>
      </c>
      <c r="G413">
        <f t="shared" si="18"/>
        <v>8.3333333333333329E-2</v>
      </c>
      <c r="H413" t="str">
        <f>VLOOKUP(F413,'Tipo Parada Forno 04 07'!$A$2:I421,2,FALSE())</f>
        <v>NP</v>
      </c>
      <c r="I413">
        <f t="shared" si="19"/>
        <v>0</v>
      </c>
      <c r="J413">
        <f t="shared" si="20"/>
        <v>8.3333333333333329E-2</v>
      </c>
    </row>
    <row r="414" spans="1:10" x14ac:dyDescent="0.3">
      <c r="A414" s="18" t="s">
        <v>485</v>
      </c>
      <c r="B414" s="19">
        <v>45032</v>
      </c>
      <c r="C414" s="20" t="s">
        <v>142</v>
      </c>
      <c r="D414" s="20" t="s">
        <v>607</v>
      </c>
      <c r="E414" s="20" t="s">
        <v>303</v>
      </c>
      <c r="F414" s="21" t="s">
        <v>74</v>
      </c>
      <c r="G414">
        <f t="shared" si="18"/>
        <v>0.35</v>
      </c>
      <c r="H414" t="str">
        <f>VLOOKUP(F414,'Tipo Parada Forno 04 07'!$A$2:I422,2,FALSE())</f>
        <v>NP</v>
      </c>
      <c r="I414">
        <f t="shared" si="19"/>
        <v>0</v>
      </c>
      <c r="J414">
        <f t="shared" si="20"/>
        <v>0.35</v>
      </c>
    </row>
    <row r="415" spans="1:10" x14ac:dyDescent="0.3">
      <c r="A415" s="18" t="s">
        <v>485</v>
      </c>
      <c r="B415" s="19">
        <v>45032</v>
      </c>
      <c r="C415" s="20" t="s">
        <v>608</v>
      </c>
      <c r="D415" s="20" t="s">
        <v>65</v>
      </c>
      <c r="E415" s="20" t="s">
        <v>168</v>
      </c>
      <c r="F415" s="21" t="s">
        <v>105</v>
      </c>
      <c r="G415">
        <f t="shared" si="18"/>
        <v>0.43333333333333335</v>
      </c>
      <c r="H415" t="str">
        <f>VLOOKUP(F415,'Tipo Parada Forno 04 07'!$A$2:I423,2,FALSE())</f>
        <v>NP</v>
      </c>
      <c r="I415">
        <f t="shared" si="19"/>
        <v>0</v>
      </c>
      <c r="J415">
        <f t="shared" si="20"/>
        <v>0.43333333333333335</v>
      </c>
    </row>
    <row r="416" spans="1:10" x14ac:dyDescent="0.3">
      <c r="A416" s="18" t="s">
        <v>485</v>
      </c>
      <c r="B416" s="19">
        <v>45033</v>
      </c>
      <c r="C416" s="20" t="s">
        <v>609</v>
      </c>
      <c r="D416" s="20" t="s">
        <v>68</v>
      </c>
      <c r="E416" s="20" t="s">
        <v>149</v>
      </c>
      <c r="F416" s="21" t="s">
        <v>74</v>
      </c>
      <c r="G416">
        <f t="shared" si="18"/>
        <v>0.26666666666666666</v>
      </c>
      <c r="H416" t="str">
        <f>VLOOKUP(F416,'Tipo Parada Forno 04 07'!$A$2:I424,2,FALSE())</f>
        <v>NP</v>
      </c>
      <c r="I416">
        <f t="shared" si="19"/>
        <v>0</v>
      </c>
      <c r="J416">
        <f t="shared" si="20"/>
        <v>0.26666666666666666</v>
      </c>
    </row>
    <row r="417" spans="1:10" x14ac:dyDescent="0.3">
      <c r="A417" s="18" t="s">
        <v>485</v>
      </c>
      <c r="B417" s="19">
        <v>45033</v>
      </c>
      <c r="C417" s="20" t="s">
        <v>610</v>
      </c>
      <c r="D417" s="20" t="s">
        <v>611</v>
      </c>
      <c r="E417" s="20" t="s">
        <v>76</v>
      </c>
      <c r="F417" s="21" t="s">
        <v>74</v>
      </c>
      <c r="G417">
        <f t="shared" si="18"/>
        <v>0.15</v>
      </c>
      <c r="H417" t="str">
        <f>VLOOKUP(F417,'Tipo Parada Forno 04 07'!$A$2:I425,2,FALSE())</f>
        <v>NP</v>
      </c>
      <c r="I417">
        <f t="shared" si="19"/>
        <v>0</v>
      </c>
      <c r="J417">
        <f t="shared" si="20"/>
        <v>0.15</v>
      </c>
    </row>
    <row r="418" spans="1:10" x14ac:dyDescent="0.3">
      <c r="A418" s="18" t="s">
        <v>485</v>
      </c>
      <c r="B418" s="19">
        <v>45033</v>
      </c>
      <c r="C418" s="20" t="s">
        <v>393</v>
      </c>
      <c r="D418" s="20" t="s">
        <v>612</v>
      </c>
      <c r="E418" s="20" t="s">
        <v>613</v>
      </c>
      <c r="F418" s="21" t="s">
        <v>253</v>
      </c>
      <c r="G418">
        <f t="shared" si="18"/>
        <v>3.4</v>
      </c>
      <c r="H418" t="str">
        <f>VLOOKUP(F418,'Tipo Parada Forno 04 07'!$A$2:I426,2,FALSE())</f>
        <v>P</v>
      </c>
      <c r="I418">
        <f t="shared" si="19"/>
        <v>3.4</v>
      </c>
      <c r="J418">
        <f t="shared" si="20"/>
        <v>0</v>
      </c>
    </row>
    <row r="419" spans="1:10" x14ac:dyDescent="0.3">
      <c r="A419" s="18" t="s">
        <v>485</v>
      </c>
      <c r="B419" s="19">
        <v>45034</v>
      </c>
      <c r="C419" s="20" t="s">
        <v>401</v>
      </c>
      <c r="D419" s="20" t="s">
        <v>614</v>
      </c>
      <c r="E419" s="20" t="s">
        <v>176</v>
      </c>
      <c r="F419" s="21" t="s">
        <v>74</v>
      </c>
      <c r="G419">
        <f t="shared" si="18"/>
        <v>0.3</v>
      </c>
      <c r="H419" t="str">
        <f>VLOOKUP(F419,'Tipo Parada Forno 04 07'!$A$2:I427,2,FALSE())</f>
        <v>NP</v>
      </c>
      <c r="I419">
        <f t="shared" si="19"/>
        <v>0</v>
      </c>
      <c r="J419">
        <f t="shared" si="20"/>
        <v>0.3</v>
      </c>
    </row>
    <row r="420" spans="1:10" x14ac:dyDescent="0.3">
      <c r="A420" s="18" t="s">
        <v>485</v>
      </c>
      <c r="B420" s="19">
        <v>45034</v>
      </c>
      <c r="C420" s="20" t="s">
        <v>615</v>
      </c>
      <c r="D420" s="20" t="s">
        <v>333</v>
      </c>
      <c r="E420" s="20" t="s">
        <v>113</v>
      </c>
      <c r="F420" s="21" t="s">
        <v>105</v>
      </c>
      <c r="G420">
        <f t="shared" si="18"/>
        <v>0.58333333333333337</v>
      </c>
      <c r="H420" t="str">
        <f>VLOOKUP(F420,'Tipo Parada Forno 04 07'!$A$2:I428,2,FALSE())</f>
        <v>NP</v>
      </c>
      <c r="I420">
        <f t="shared" si="19"/>
        <v>0</v>
      </c>
      <c r="J420">
        <f t="shared" si="20"/>
        <v>0.58333333333333337</v>
      </c>
    </row>
    <row r="421" spans="1:10" x14ac:dyDescent="0.3">
      <c r="A421" s="18" t="s">
        <v>485</v>
      </c>
      <c r="B421" s="19">
        <v>45034</v>
      </c>
      <c r="C421" s="20" t="s">
        <v>616</v>
      </c>
      <c r="D421" s="20" t="s">
        <v>617</v>
      </c>
      <c r="E421" s="20" t="s">
        <v>97</v>
      </c>
      <c r="F421" s="21" t="s">
        <v>69</v>
      </c>
      <c r="G421">
        <f t="shared" si="18"/>
        <v>6.6666666666666666E-2</v>
      </c>
      <c r="H421" t="str">
        <f>VLOOKUP(F421,'Tipo Parada Forno 04 07'!$A$2:I429,2,FALSE())</f>
        <v>NP</v>
      </c>
      <c r="I421">
        <f t="shared" si="19"/>
        <v>0</v>
      </c>
      <c r="J421">
        <f t="shared" si="20"/>
        <v>6.6666666666666666E-2</v>
      </c>
    </row>
    <row r="422" spans="1:10" x14ac:dyDescent="0.3">
      <c r="A422" s="18" t="s">
        <v>485</v>
      </c>
      <c r="B422" s="19">
        <v>45034</v>
      </c>
      <c r="C422" s="20" t="s">
        <v>618</v>
      </c>
      <c r="D422" s="20" t="s">
        <v>619</v>
      </c>
      <c r="E422" s="20" t="s">
        <v>149</v>
      </c>
      <c r="F422" s="21" t="s">
        <v>74</v>
      </c>
      <c r="G422">
        <f t="shared" si="18"/>
        <v>0.26666666666666666</v>
      </c>
      <c r="H422" t="str">
        <f>VLOOKUP(F422,'Tipo Parada Forno 04 07'!$A$2:I430,2,FALSE())</f>
        <v>NP</v>
      </c>
      <c r="I422">
        <f t="shared" si="19"/>
        <v>0</v>
      </c>
      <c r="J422">
        <f t="shared" si="20"/>
        <v>0.26666666666666666</v>
      </c>
    </row>
    <row r="423" spans="1:10" x14ac:dyDescent="0.3">
      <c r="A423" s="18" t="s">
        <v>485</v>
      </c>
      <c r="B423" s="19">
        <v>45034</v>
      </c>
      <c r="C423" s="20" t="s">
        <v>326</v>
      </c>
      <c r="D423" s="20" t="s">
        <v>620</v>
      </c>
      <c r="E423" s="20" t="s">
        <v>425</v>
      </c>
      <c r="F423" s="21" t="s">
        <v>105</v>
      </c>
      <c r="G423">
        <f t="shared" si="18"/>
        <v>0.6166666666666667</v>
      </c>
      <c r="H423" t="str">
        <f>VLOOKUP(F423,'Tipo Parada Forno 04 07'!$A$2:I431,2,FALSE())</f>
        <v>NP</v>
      </c>
      <c r="I423">
        <f t="shared" si="19"/>
        <v>0</v>
      </c>
      <c r="J423">
        <f t="shared" si="20"/>
        <v>0.6166666666666667</v>
      </c>
    </row>
    <row r="424" spans="1:10" x14ac:dyDescent="0.3">
      <c r="A424" s="18" t="s">
        <v>485</v>
      </c>
      <c r="B424" s="19">
        <v>45035</v>
      </c>
      <c r="C424" s="20" t="s">
        <v>349</v>
      </c>
      <c r="D424" s="20" t="s">
        <v>621</v>
      </c>
      <c r="E424" s="20" t="s">
        <v>87</v>
      </c>
      <c r="F424" s="21" t="s">
        <v>74</v>
      </c>
      <c r="G424">
        <f t="shared" si="18"/>
        <v>0.33333333333333331</v>
      </c>
      <c r="H424" t="str">
        <f>VLOOKUP(F424,'Tipo Parada Forno 04 07'!$A$2:I432,2,FALSE())</f>
        <v>NP</v>
      </c>
      <c r="I424">
        <f t="shared" si="19"/>
        <v>0</v>
      </c>
      <c r="J424">
        <f t="shared" si="20"/>
        <v>0.33333333333333331</v>
      </c>
    </row>
    <row r="425" spans="1:10" x14ac:dyDescent="0.3">
      <c r="A425" s="18" t="s">
        <v>485</v>
      </c>
      <c r="B425" s="19">
        <v>45035</v>
      </c>
      <c r="C425" s="20" t="s">
        <v>622</v>
      </c>
      <c r="D425" s="20" t="s">
        <v>489</v>
      </c>
      <c r="E425" s="20" t="s">
        <v>567</v>
      </c>
      <c r="F425" s="21" t="s">
        <v>71</v>
      </c>
      <c r="G425">
        <f t="shared" si="18"/>
        <v>0.51666666666666672</v>
      </c>
      <c r="H425" t="str">
        <f>VLOOKUP(F425,'Tipo Parada Forno 04 07'!$A$2:I433,2,FALSE())</f>
        <v>NP</v>
      </c>
      <c r="I425">
        <f t="shared" si="19"/>
        <v>0</v>
      </c>
      <c r="J425">
        <f t="shared" si="20"/>
        <v>0.51666666666666672</v>
      </c>
    </row>
    <row r="426" spans="1:10" x14ac:dyDescent="0.3">
      <c r="A426" s="18" t="s">
        <v>485</v>
      </c>
      <c r="B426" s="19">
        <v>45035</v>
      </c>
      <c r="C426" s="20" t="s">
        <v>623</v>
      </c>
      <c r="D426" s="20" t="s">
        <v>145</v>
      </c>
      <c r="E426" s="20" t="s">
        <v>624</v>
      </c>
      <c r="F426" s="21" t="s">
        <v>253</v>
      </c>
      <c r="G426">
        <f t="shared" si="18"/>
        <v>3.5</v>
      </c>
      <c r="H426" t="str">
        <f>VLOOKUP(F426,'Tipo Parada Forno 04 07'!$A$2:I434,2,FALSE())</f>
        <v>P</v>
      </c>
      <c r="I426">
        <f t="shared" si="19"/>
        <v>3.5</v>
      </c>
      <c r="J426">
        <f t="shared" si="20"/>
        <v>0</v>
      </c>
    </row>
    <row r="427" spans="1:10" x14ac:dyDescent="0.3">
      <c r="A427" s="18" t="s">
        <v>485</v>
      </c>
      <c r="B427" s="19">
        <v>45035</v>
      </c>
      <c r="C427" s="20" t="s">
        <v>251</v>
      </c>
      <c r="D427" s="20" t="s">
        <v>145</v>
      </c>
      <c r="E427" s="20" t="s">
        <v>625</v>
      </c>
      <c r="F427" s="21" t="s">
        <v>253</v>
      </c>
      <c r="G427">
        <f t="shared" si="18"/>
        <v>2.2999999999999998</v>
      </c>
      <c r="H427" t="str">
        <f>VLOOKUP(F427,'Tipo Parada Forno 04 07'!$A$2:I435,2,FALSE())</f>
        <v>P</v>
      </c>
      <c r="I427">
        <f t="shared" si="19"/>
        <v>2.2999999999999998</v>
      </c>
      <c r="J427">
        <f t="shared" si="20"/>
        <v>0</v>
      </c>
    </row>
    <row r="428" spans="1:10" x14ac:dyDescent="0.3">
      <c r="A428" s="18" t="s">
        <v>485</v>
      </c>
      <c r="B428" s="19">
        <v>45036</v>
      </c>
      <c r="C428" s="20" t="s">
        <v>626</v>
      </c>
      <c r="D428" s="20" t="s">
        <v>366</v>
      </c>
      <c r="E428" s="20" t="s">
        <v>113</v>
      </c>
      <c r="F428" s="21" t="s">
        <v>627</v>
      </c>
      <c r="G428">
        <f t="shared" si="18"/>
        <v>0.58333333333333337</v>
      </c>
      <c r="H428" t="str">
        <f>VLOOKUP(F428,'Tipo Parada Forno 04 07'!$A$2:I436,2,FALSE())</f>
        <v>NP</v>
      </c>
      <c r="I428">
        <f t="shared" si="19"/>
        <v>0</v>
      </c>
      <c r="J428">
        <f t="shared" si="20"/>
        <v>0.58333333333333337</v>
      </c>
    </row>
    <row r="429" spans="1:10" x14ac:dyDescent="0.3">
      <c r="A429" s="18" t="s">
        <v>485</v>
      </c>
      <c r="B429" s="19">
        <v>45036</v>
      </c>
      <c r="C429" s="20" t="s">
        <v>628</v>
      </c>
      <c r="D429" s="20" t="s">
        <v>379</v>
      </c>
      <c r="E429" s="20" t="s">
        <v>76</v>
      </c>
      <c r="F429" s="21" t="s">
        <v>523</v>
      </c>
      <c r="G429">
        <f t="shared" si="18"/>
        <v>0.15</v>
      </c>
      <c r="H429" t="str">
        <f>VLOOKUP(F429,'Tipo Parada Forno 04 07'!$A$2:I437,2,FALSE())</f>
        <v>NP</v>
      </c>
      <c r="I429">
        <f t="shared" si="19"/>
        <v>0</v>
      </c>
      <c r="J429">
        <f t="shared" si="20"/>
        <v>0.15</v>
      </c>
    </row>
    <row r="430" spans="1:10" x14ac:dyDescent="0.3">
      <c r="A430" s="18" t="s">
        <v>485</v>
      </c>
      <c r="B430" s="19">
        <v>45036</v>
      </c>
      <c r="C430" s="20" t="s">
        <v>629</v>
      </c>
      <c r="D430" s="20" t="s">
        <v>630</v>
      </c>
      <c r="E430" s="20" t="s">
        <v>317</v>
      </c>
      <c r="F430" s="21" t="s">
        <v>105</v>
      </c>
      <c r="G430">
        <f t="shared" si="18"/>
        <v>0.46666666666666667</v>
      </c>
      <c r="H430" t="str">
        <f>VLOOKUP(F430,'Tipo Parada Forno 04 07'!$A$2:I438,2,FALSE())</f>
        <v>NP</v>
      </c>
      <c r="I430">
        <f t="shared" si="19"/>
        <v>0</v>
      </c>
      <c r="J430">
        <f t="shared" si="20"/>
        <v>0.46666666666666667</v>
      </c>
    </row>
    <row r="431" spans="1:10" x14ac:dyDescent="0.3">
      <c r="A431" s="18" t="s">
        <v>485</v>
      </c>
      <c r="B431" s="19">
        <v>45036</v>
      </c>
      <c r="C431" s="20" t="s">
        <v>631</v>
      </c>
      <c r="D431" s="20" t="s">
        <v>365</v>
      </c>
      <c r="E431" s="20" t="s">
        <v>632</v>
      </c>
      <c r="F431" s="21" t="s">
        <v>253</v>
      </c>
      <c r="G431">
        <f t="shared" si="18"/>
        <v>2.6</v>
      </c>
      <c r="H431" t="str">
        <f>VLOOKUP(F431,'Tipo Parada Forno 04 07'!$A$2:I439,2,FALSE())</f>
        <v>P</v>
      </c>
      <c r="I431">
        <f t="shared" si="19"/>
        <v>2.6</v>
      </c>
      <c r="J431">
        <f t="shared" si="20"/>
        <v>0</v>
      </c>
    </row>
    <row r="432" spans="1:10" x14ac:dyDescent="0.3">
      <c r="A432" s="18" t="s">
        <v>485</v>
      </c>
      <c r="B432" s="19">
        <v>45036</v>
      </c>
      <c r="C432" s="20" t="s">
        <v>251</v>
      </c>
      <c r="D432" s="20" t="s">
        <v>365</v>
      </c>
      <c r="E432" s="20" t="s">
        <v>633</v>
      </c>
      <c r="F432" s="21" t="s">
        <v>253</v>
      </c>
      <c r="G432">
        <f t="shared" si="18"/>
        <v>1.5166666666666666</v>
      </c>
      <c r="H432" t="str">
        <f>VLOOKUP(F432,'Tipo Parada Forno 04 07'!$A$2:I440,2,FALSE())</f>
        <v>P</v>
      </c>
      <c r="I432">
        <f t="shared" si="19"/>
        <v>1.5166666666666666</v>
      </c>
      <c r="J432">
        <f t="shared" si="20"/>
        <v>0</v>
      </c>
    </row>
    <row r="433" spans="1:10" x14ac:dyDescent="0.3">
      <c r="A433" s="18" t="s">
        <v>485</v>
      </c>
      <c r="B433" s="19">
        <v>45037</v>
      </c>
      <c r="C433" s="20" t="s">
        <v>634</v>
      </c>
      <c r="D433" s="20" t="s">
        <v>635</v>
      </c>
      <c r="E433" s="20" t="s">
        <v>73</v>
      </c>
      <c r="F433" s="21" t="s">
        <v>74</v>
      </c>
      <c r="G433">
        <f t="shared" si="18"/>
        <v>0.16666666666666666</v>
      </c>
      <c r="H433" t="str">
        <f>VLOOKUP(F433,'Tipo Parada Forno 04 07'!$A$2:I441,2,FALSE())</f>
        <v>NP</v>
      </c>
      <c r="I433">
        <f t="shared" si="19"/>
        <v>0</v>
      </c>
      <c r="J433">
        <f t="shared" si="20"/>
        <v>0.16666666666666666</v>
      </c>
    </row>
    <row r="434" spans="1:10" x14ac:dyDescent="0.3">
      <c r="A434" s="18" t="s">
        <v>485</v>
      </c>
      <c r="B434" s="19">
        <v>45037</v>
      </c>
      <c r="C434" s="20" t="s">
        <v>419</v>
      </c>
      <c r="D434" s="20" t="s">
        <v>636</v>
      </c>
      <c r="E434" s="20" t="s">
        <v>264</v>
      </c>
      <c r="F434" s="21" t="s">
        <v>105</v>
      </c>
      <c r="G434">
        <f t="shared" si="18"/>
        <v>0.66666666666666663</v>
      </c>
      <c r="H434" t="str">
        <f>VLOOKUP(F434,'Tipo Parada Forno 04 07'!$A$2:I442,2,FALSE())</f>
        <v>NP</v>
      </c>
      <c r="I434">
        <f t="shared" si="19"/>
        <v>0</v>
      </c>
      <c r="J434">
        <f t="shared" si="20"/>
        <v>0.66666666666666663</v>
      </c>
    </row>
    <row r="435" spans="1:10" x14ac:dyDescent="0.3">
      <c r="A435" s="18" t="s">
        <v>485</v>
      </c>
      <c r="B435" s="19">
        <v>45037</v>
      </c>
      <c r="C435" s="20" t="s">
        <v>637</v>
      </c>
      <c r="D435" s="20" t="s">
        <v>638</v>
      </c>
      <c r="E435" s="20" t="s">
        <v>355</v>
      </c>
      <c r="F435" s="21" t="s">
        <v>74</v>
      </c>
      <c r="G435">
        <f t="shared" si="18"/>
        <v>0.31666666666666665</v>
      </c>
      <c r="H435" t="str">
        <f>VLOOKUP(F435,'Tipo Parada Forno 04 07'!$A$2:I443,2,FALSE())</f>
        <v>NP</v>
      </c>
      <c r="I435">
        <f t="shared" si="19"/>
        <v>0</v>
      </c>
      <c r="J435">
        <f t="shared" si="20"/>
        <v>0.31666666666666665</v>
      </c>
    </row>
    <row r="436" spans="1:10" x14ac:dyDescent="0.3">
      <c r="A436" s="18" t="s">
        <v>485</v>
      </c>
      <c r="B436" s="19">
        <v>45037</v>
      </c>
      <c r="C436" s="20" t="s">
        <v>384</v>
      </c>
      <c r="D436" s="20" t="s">
        <v>511</v>
      </c>
      <c r="E436" s="20" t="s">
        <v>65</v>
      </c>
      <c r="F436" s="21" t="s">
        <v>69</v>
      </c>
      <c r="G436">
        <f t="shared" si="18"/>
        <v>8.3333333333333329E-2</v>
      </c>
      <c r="H436" t="str">
        <f>VLOOKUP(F436,'Tipo Parada Forno 04 07'!$A$2:I444,2,FALSE())</f>
        <v>NP</v>
      </c>
      <c r="I436">
        <f t="shared" si="19"/>
        <v>0</v>
      </c>
      <c r="J436">
        <f t="shared" si="20"/>
        <v>8.3333333333333329E-2</v>
      </c>
    </row>
    <row r="437" spans="1:10" x14ac:dyDescent="0.3">
      <c r="A437" s="18" t="s">
        <v>485</v>
      </c>
      <c r="B437" s="19">
        <v>45037</v>
      </c>
      <c r="C437" s="20" t="s">
        <v>197</v>
      </c>
      <c r="D437" s="20" t="s">
        <v>639</v>
      </c>
      <c r="E437" s="20" t="s">
        <v>317</v>
      </c>
      <c r="F437" s="21" t="s">
        <v>105</v>
      </c>
      <c r="G437">
        <f t="shared" si="18"/>
        <v>0.46666666666666667</v>
      </c>
      <c r="H437" t="str">
        <f>VLOOKUP(F437,'Tipo Parada Forno 04 07'!$A$2:I445,2,FALSE())</f>
        <v>NP</v>
      </c>
      <c r="I437">
        <f t="shared" si="19"/>
        <v>0</v>
      </c>
      <c r="J437">
        <f t="shared" si="20"/>
        <v>0.46666666666666667</v>
      </c>
    </row>
    <row r="438" spans="1:10" x14ac:dyDescent="0.3">
      <c r="A438" s="18" t="s">
        <v>485</v>
      </c>
      <c r="B438" s="19">
        <v>45037</v>
      </c>
      <c r="C438" s="20" t="s">
        <v>640</v>
      </c>
      <c r="D438" s="20" t="s">
        <v>344</v>
      </c>
      <c r="E438" s="20" t="s">
        <v>76</v>
      </c>
      <c r="F438" s="21" t="s">
        <v>74</v>
      </c>
      <c r="G438">
        <f t="shared" si="18"/>
        <v>0.15</v>
      </c>
      <c r="H438" t="str">
        <f>VLOOKUP(F438,'Tipo Parada Forno 04 07'!$A$2:I446,2,FALSE())</f>
        <v>NP</v>
      </c>
      <c r="I438">
        <f t="shared" si="19"/>
        <v>0</v>
      </c>
      <c r="J438">
        <f t="shared" si="20"/>
        <v>0.15</v>
      </c>
    </row>
    <row r="439" spans="1:10" x14ac:dyDescent="0.3">
      <c r="A439" s="18" t="s">
        <v>485</v>
      </c>
      <c r="B439" s="19">
        <v>45038</v>
      </c>
      <c r="C439" s="20" t="s">
        <v>641</v>
      </c>
      <c r="D439" s="20" t="s">
        <v>642</v>
      </c>
      <c r="E439" s="20" t="s">
        <v>65</v>
      </c>
      <c r="F439" s="21" t="s">
        <v>69</v>
      </c>
      <c r="G439">
        <f t="shared" si="18"/>
        <v>8.3333333333333329E-2</v>
      </c>
      <c r="H439" t="str">
        <f>VLOOKUP(F439,'Tipo Parada Forno 04 07'!$A$2:I447,2,FALSE())</f>
        <v>NP</v>
      </c>
      <c r="I439">
        <f t="shared" si="19"/>
        <v>0</v>
      </c>
      <c r="J439">
        <f t="shared" si="20"/>
        <v>8.3333333333333329E-2</v>
      </c>
    </row>
    <row r="440" spans="1:10" x14ac:dyDescent="0.3">
      <c r="A440" s="18" t="s">
        <v>485</v>
      </c>
      <c r="B440" s="19">
        <v>45038</v>
      </c>
      <c r="C440" s="20" t="s">
        <v>601</v>
      </c>
      <c r="D440" s="20" t="s">
        <v>643</v>
      </c>
      <c r="E440" s="20" t="s">
        <v>151</v>
      </c>
      <c r="F440" s="21" t="s">
        <v>74</v>
      </c>
      <c r="G440">
        <f t="shared" si="18"/>
        <v>0.28333333333333333</v>
      </c>
      <c r="H440" t="str">
        <f>VLOOKUP(F440,'Tipo Parada Forno 04 07'!$A$2:I448,2,FALSE())</f>
        <v>NP</v>
      </c>
      <c r="I440">
        <f t="shared" si="19"/>
        <v>0</v>
      </c>
      <c r="J440">
        <f t="shared" si="20"/>
        <v>0.28333333333333333</v>
      </c>
    </row>
    <row r="441" spans="1:10" x14ac:dyDescent="0.3">
      <c r="A441" s="18" t="s">
        <v>485</v>
      </c>
      <c r="B441" s="19">
        <v>45038</v>
      </c>
      <c r="C441" s="20" t="s">
        <v>200</v>
      </c>
      <c r="D441" s="20" t="s">
        <v>644</v>
      </c>
      <c r="E441" s="20" t="s">
        <v>65</v>
      </c>
      <c r="F441" s="21" t="s">
        <v>69</v>
      </c>
      <c r="G441">
        <f t="shared" si="18"/>
        <v>8.3333333333333329E-2</v>
      </c>
      <c r="H441" t="str">
        <f>VLOOKUP(F441,'Tipo Parada Forno 04 07'!$A$2:I449,2,FALSE())</f>
        <v>NP</v>
      </c>
      <c r="I441">
        <f t="shared" si="19"/>
        <v>0</v>
      </c>
      <c r="J441">
        <f t="shared" si="20"/>
        <v>8.3333333333333329E-2</v>
      </c>
    </row>
    <row r="442" spans="1:10" x14ac:dyDescent="0.3">
      <c r="A442" s="18" t="s">
        <v>485</v>
      </c>
      <c r="B442" s="19">
        <v>45038</v>
      </c>
      <c r="C442" s="20" t="s">
        <v>644</v>
      </c>
      <c r="D442" s="20" t="s">
        <v>639</v>
      </c>
      <c r="E442" s="20" t="s">
        <v>65</v>
      </c>
      <c r="F442" s="21" t="s">
        <v>71</v>
      </c>
      <c r="G442">
        <f t="shared" si="18"/>
        <v>8.3333333333333329E-2</v>
      </c>
      <c r="H442" t="str">
        <f>VLOOKUP(F442,'Tipo Parada Forno 04 07'!$A$2:I450,2,FALSE())</f>
        <v>NP</v>
      </c>
      <c r="I442">
        <f t="shared" si="19"/>
        <v>0</v>
      </c>
      <c r="J442">
        <f t="shared" si="20"/>
        <v>8.3333333333333329E-2</v>
      </c>
    </row>
    <row r="443" spans="1:10" x14ac:dyDescent="0.3">
      <c r="A443" s="18" t="s">
        <v>485</v>
      </c>
      <c r="B443" s="19">
        <v>45038</v>
      </c>
      <c r="C443" s="20" t="s">
        <v>639</v>
      </c>
      <c r="D443" s="20" t="s">
        <v>101</v>
      </c>
      <c r="E443" s="20" t="s">
        <v>140</v>
      </c>
      <c r="F443" s="21" t="s">
        <v>74</v>
      </c>
      <c r="G443">
        <f t="shared" si="18"/>
        <v>0.41666666666666669</v>
      </c>
      <c r="H443" t="str">
        <f>VLOOKUP(F443,'Tipo Parada Forno 04 07'!$A$2:I451,2,FALSE())</f>
        <v>NP</v>
      </c>
      <c r="I443">
        <f t="shared" si="19"/>
        <v>0</v>
      </c>
      <c r="J443">
        <f t="shared" si="20"/>
        <v>0.41666666666666669</v>
      </c>
    </row>
    <row r="444" spans="1:10" x14ac:dyDescent="0.3">
      <c r="A444" s="18" t="s">
        <v>485</v>
      </c>
      <c r="B444" s="19">
        <v>45038</v>
      </c>
      <c r="C444" s="20" t="s">
        <v>101</v>
      </c>
      <c r="D444" s="20" t="s">
        <v>180</v>
      </c>
      <c r="E444" s="20" t="s">
        <v>87</v>
      </c>
      <c r="F444" s="21" t="s">
        <v>248</v>
      </c>
      <c r="G444">
        <f t="shared" si="18"/>
        <v>0.33333333333333331</v>
      </c>
      <c r="H444" t="str">
        <f>VLOOKUP(F444,'Tipo Parada Forno 04 07'!$A$2:I452,2,FALSE())</f>
        <v>NP</v>
      </c>
      <c r="I444">
        <f t="shared" si="19"/>
        <v>0</v>
      </c>
      <c r="J444">
        <f t="shared" si="20"/>
        <v>0.33333333333333331</v>
      </c>
    </row>
    <row r="445" spans="1:10" x14ac:dyDescent="0.3">
      <c r="A445" s="18" t="s">
        <v>485</v>
      </c>
      <c r="B445" s="19">
        <v>45039</v>
      </c>
      <c r="C445" s="20" t="s">
        <v>495</v>
      </c>
      <c r="D445" s="20" t="s">
        <v>645</v>
      </c>
      <c r="E445" s="20" t="s">
        <v>228</v>
      </c>
      <c r="F445" s="21" t="s">
        <v>74</v>
      </c>
      <c r="G445">
        <f t="shared" si="18"/>
        <v>0.13333333333333333</v>
      </c>
      <c r="H445" t="str">
        <f>VLOOKUP(F445,'Tipo Parada Forno 04 07'!$A$2:I453,2,FALSE())</f>
        <v>NP</v>
      </c>
      <c r="I445">
        <f t="shared" si="19"/>
        <v>0</v>
      </c>
      <c r="J445">
        <f t="shared" si="20"/>
        <v>0.13333333333333333</v>
      </c>
    </row>
    <row r="446" spans="1:10" x14ac:dyDescent="0.3">
      <c r="A446" s="18" t="s">
        <v>485</v>
      </c>
      <c r="B446" s="19">
        <v>45039</v>
      </c>
      <c r="C446" s="20" t="s">
        <v>646</v>
      </c>
      <c r="D446" s="20" t="s">
        <v>474</v>
      </c>
      <c r="E446" s="20" t="s">
        <v>425</v>
      </c>
      <c r="F446" s="21" t="s">
        <v>105</v>
      </c>
      <c r="G446">
        <f t="shared" si="18"/>
        <v>0.6166666666666667</v>
      </c>
      <c r="H446" t="str">
        <f>VLOOKUP(F446,'Tipo Parada Forno 04 07'!$A$2:I454,2,FALSE())</f>
        <v>NP</v>
      </c>
      <c r="I446">
        <f t="shared" si="19"/>
        <v>0</v>
      </c>
      <c r="J446">
        <f t="shared" si="20"/>
        <v>0.6166666666666667</v>
      </c>
    </row>
    <row r="447" spans="1:10" x14ac:dyDescent="0.3">
      <c r="A447" s="18" t="s">
        <v>485</v>
      </c>
      <c r="B447" s="19">
        <v>45039</v>
      </c>
      <c r="C447" s="20" t="s">
        <v>356</v>
      </c>
      <c r="D447" s="20" t="s">
        <v>647</v>
      </c>
      <c r="E447" s="20" t="s">
        <v>292</v>
      </c>
      <c r="F447" s="21" t="s">
        <v>74</v>
      </c>
      <c r="G447">
        <f t="shared" si="18"/>
        <v>0.18333333333333332</v>
      </c>
      <c r="H447" t="str">
        <f>VLOOKUP(F447,'Tipo Parada Forno 04 07'!$A$2:I455,2,FALSE())</f>
        <v>NP</v>
      </c>
      <c r="I447">
        <f t="shared" si="19"/>
        <v>0</v>
      </c>
      <c r="J447">
        <f t="shared" si="20"/>
        <v>0.18333333333333332</v>
      </c>
    </row>
    <row r="448" spans="1:10" x14ac:dyDescent="0.3">
      <c r="A448" s="18" t="s">
        <v>485</v>
      </c>
      <c r="B448" s="19">
        <v>45039</v>
      </c>
      <c r="C448" s="20" t="s">
        <v>512</v>
      </c>
      <c r="D448" s="20" t="s">
        <v>648</v>
      </c>
      <c r="E448" s="20" t="s">
        <v>129</v>
      </c>
      <c r="F448" s="21" t="s">
        <v>105</v>
      </c>
      <c r="G448">
        <f t="shared" si="18"/>
        <v>0.65</v>
      </c>
      <c r="H448" t="str">
        <f>VLOOKUP(F448,'Tipo Parada Forno 04 07'!$A$2:I456,2,FALSE())</f>
        <v>NP</v>
      </c>
      <c r="I448">
        <f t="shared" si="19"/>
        <v>0</v>
      </c>
      <c r="J448">
        <f t="shared" si="20"/>
        <v>0.65</v>
      </c>
    </row>
    <row r="449" spans="1:10" x14ac:dyDescent="0.3">
      <c r="A449" s="18" t="s">
        <v>485</v>
      </c>
      <c r="B449" s="19">
        <v>45040</v>
      </c>
      <c r="C449" s="20" t="s">
        <v>649</v>
      </c>
      <c r="D449" s="20" t="s">
        <v>90</v>
      </c>
      <c r="E449" s="20" t="s">
        <v>151</v>
      </c>
      <c r="F449" s="21" t="s">
        <v>74</v>
      </c>
      <c r="G449">
        <f t="shared" si="18"/>
        <v>0.28333333333333333</v>
      </c>
      <c r="H449" t="str">
        <f>VLOOKUP(F449,'Tipo Parada Forno 04 07'!$A$2:I457,2,FALSE())</f>
        <v>NP</v>
      </c>
      <c r="I449">
        <f t="shared" si="19"/>
        <v>0</v>
      </c>
      <c r="J449">
        <f t="shared" si="20"/>
        <v>0.28333333333333333</v>
      </c>
    </row>
    <row r="450" spans="1:10" x14ac:dyDescent="0.3">
      <c r="A450" s="18" t="s">
        <v>485</v>
      </c>
      <c r="B450" s="19">
        <v>45040</v>
      </c>
      <c r="C450" s="20" t="s">
        <v>650</v>
      </c>
      <c r="D450" s="20" t="s">
        <v>651</v>
      </c>
      <c r="E450" s="20" t="s">
        <v>546</v>
      </c>
      <c r="F450" s="21" t="s">
        <v>74</v>
      </c>
      <c r="G450">
        <f t="shared" ref="G450:G482" si="21">VALUE(MID(E450,1,2)+VALUE(MID(E450,4,2))/60)</f>
        <v>0.55000000000000004</v>
      </c>
      <c r="H450" t="str">
        <f>VLOOKUP(F450,'Tipo Parada Forno 04 07'!$A$2:I458,2,FALSE())</f>
        <v>NP</v>
      </c>
      <c r="I450">
        <f t="shared" ref="I450:I513" si="22">IF(H450="P",G450,0)</f>
        <v>0</v>
      </c>
      <c r="J450">
        <f t="shared" ref="J450:J482" si="23">IF(H450="NP",G450,0)</f>
        <v>0.55000000000000004</v>
      </c>
    </row>
    <row r="451" spans="1:10" x14ac:dyDescent="0.3">
      <c r="A451" s="18" t="s">
        <v>485</v>
      </c>
      <c r="B451" s="19">
        <v>45040</v>
      </c>
      <c r="C451" s="20" t="s">
        <v>652</v>
      </c>
      <c r="D451" s="20" t="s">
        <v>653</v>
      </c>
      <c r="E451" s="20" t="s">
        <v>151</v>
      </c>
      <c r="F451" s="21" t="s">
        <v>74</v>
      </c>
      <c r="G451">
        <f t="shared" si="21"/>
        <v>0.28333333333333333</v>
      </c>
      <c r="H451" t="str">
        <f>VLOOKUP(F451,'Tipo Parada Forno 04 07'!$A$2:I459,2,FALSE())</f>
        <v>NP</v>
      </c>
      <c r="I451">
        <f t="shared" si="22"/>
        <v>0</v>
      </c>
      <c r="J451">
        <f t="shared" si="23"/>
        <v>0.28333333333333333</v>
      </c>
    </row>
    <row r="452" spans="1:10" x14ac:dyDescent="0.3">
      <c r="A452" s="18" t="s">
        <v>485</v>
      </c>
      <c r="B452" s="19">
        <v>45040</v>
      </c>
      <c r="C452" s="20" t="s">
        <v>545</v>
      </c>
      <c r="D452" s="20" t="s">
        <v>654</v>
      </c>
      <c r="E452" s="20" t="s">
        <v>442</v>
      </c>
      <c r="F452" s="21" t="s">
        <v>105</v>
      </c>
      <c r="G452">
        <f t="shared" si="21"/>
        <v>0.6</v>
      </c>
      <c r="H452" t="str">
        <f>VLOOKUP(F452,'Tipo Parada Forno 04 07'!$A$2:I460,2,FALSE())</f>
        <v>NP</v>
      </c>
      <c r="I452">
        <f t="shared" si="22"/>
        <v>0</v>
      </c>
      <c r="J452">
        <f t="shared" si="23"/>
        <v>0.6</v>
      </c>
    </row>
    <row r="453" spans="1:10" x14ac:dyDescent="0.3">
      <c r="A453" s="18" t="s">
        <v>485</v>
      </c>
      <c r="B453" s="19">
        <v>45041</v>
      </c>
      <c r="C453" s="20" t="s">
        <v>209</v>
      </c>
      <c r="D453" s="20" t="s">
        <v>655</v>
      </c>
      <c r="E453" s="20" t="s">
        <v>452</v>
      </c>
      <c r="F453" s="21" t="s">
        <v>74</v>
      </c>
      <c r="G453">
        <f t="shared" si="21"/>
        <v>0.53333333333333333</v>
      </c>
      <c r="H453" t="str">
        <f>VLOOKUP(F453,'Tipo Parada Forno 04 07'!$A$2:I461,2,FALSE())</f>
        <v>NP</v>
      </c>
      <c r="I453">
        <f t="shared" si="22"/>
        <v>0</v>
      </c>
      <c r="J453">
        <f t="shared" si="23"/>
        <v>0.53333333333333333</v>
      </c>
    </row>
    <row r="454" spans="1:10" x14ac:dyDescent="0.3">
      <c r="A454" s="18" t="s">
        <v>485</v>
      </c>
      <c r="B454" s="19">
        <v>45041</v>
      </c>
      <c r="C454" s="20" t="s">
        <v>656</v>
      </c>
      <c r="D454" s="20" t="s">
        <v>657</v>
      </c>
      <c r="E454" s="20" t="s">
        <v>97</v>
      </c>
      <c r="F454" s="21" t="s">
        <v>69</v>
      </c>
      <c r="G454">
        <f t="shared" si="21"/>
        <v>6.6666666666666666E-2</v>
      </c>
      <c r="H454" t="str">
        <f>VLOOKUP(F454,'Tipo Parada Forno 04 07'!$A$2:I462,2,FALSE())</f>
        <v>NP</v>
      </c>
      <c r="I454">
        <f t="shared" si="22"/>
        <v>0</v>
      </c>
      <c r="J454">
        <f t="shared" si="23"/>
        <v>6.6666666666666666E-2</v>
      </c>
    </row>
    <row r="455" spans="1:10" x14ac:dyDescent="0.3">
      <c r="A455" s="18" t="s">
        <v>485</v>
      </c>
      <c r="B455" s="19">
        <v>45041</v>
      </c>
      <c r="C455" s="20" t="s">
        <v>657</v>
      </c>
      <c r="D455" s="20" t="s">
        <v>658</v>
      </c>
      <c r="E455" s="20" t="s">
        <v>97</v>
      </c>
      <c r="F455" s="21" t="s">
        <v>71</v>
      </c>
      <c r="G455">
        <f t="shared" si="21"/>
        <v>6.6666666666666666E-2</v>
      </c>
      <c r="H455" t="str">
        <f>VLOOKUP(F455,'Tipo Parada Forno 04 07'!$A$2:I463,2,FALSE())</f>
        <v>NP</v>
      </c>
      <c r="I455">
        <f t="shared" si="22"/>
        <v>0</v>
      </c>
      <c r="J455">
        <f t="shared" si="23"/>
        <v>6.6666666666666666E-2</v>
      </c>
    </row>
    <row r="456" spans="1:10" x14ac:dyDescent="0.3">
      <c r="A456" s="18" t="s">
        <v>485</v>
      </c>
      <c r="B456" s="19">
        <v>45041</v>
      </c>
      <c r="C456" s="20" t="s">
        <v>658</v>
      </c>
      <c r="D456" s="20" t="s">
        <v>245</v>
      </c>
      <c r="E456" s="20" t="s">
        <v>491</v>
      </c>
      <c r="F456" s="21" t="s">
        <v>105</v>
      </c>
      <c r="G456">
        <f t="shared" si="21"/>
        <v>0.38333333333333336</v>
      </c>
      <c r="H456" t="str">
        <f>VLOOKUP(F456,'Tipo Parada Forno 04 07'!$A$2:I464,2,FALSE())</f>
        <v>NP</v>
      </c>
      <c r="I456">
        <f t="shared" si="22"/>
        <v>0</v>
      </c>
      <c r="J456">
        <f t="shared" si="23"/>
        <v>0.38333333333333336</v>
      </c>
    </row>
    <row r="457" spans="1:10" x14ac:dyDescent="0.3">
      <c r="A457" s="18" t="s">
        <v>485</v>
      </c>
      <c r="B457" s="19">
        <v>45041</v>
      </c>
      <c r="C457" s="20" t="s">
        <v>245</v>
      </c>
      <c r="D457" s="20" t="s">
        <v>341</v>
      </c>
      <c r="E457" s="20" t="s">
        <v>140</v>
      </c>
      <c r="F457" s="21" t="s">
        <v>89</v>
      </c>
      <c r="G457">
        <f t="shared" si="21"/>
        <v>0.41666666666666669</v>
      </c>
      <c r="H457" t="str">
        <f>VLOOKUP(F457,'Tipo Parada Forno 04 07'!$A$2:I465,2,FALSE())</f>
        <v>NP</v>
      </c>
      <c r="I457">
        <f t="shared" si="22"/>
        <v>0</v>
      </c>
      <c r="J457">
        <f t="shared" si="23"/>
        <v>0.41666666666666669</v>
      </c>
    </row>
    <row r="458" spans="1:10" x14ac:dyDescent="0.3">
      <c r="A458" s="18" t="s">
        <v>485</v>
      </c>
      <c r="B458" s="19">
        <v>45041</v>
      </c>
      <c r="C458" s="20" t="s">
        <v>458</v>
      </c>
      <c r="D458" s="20" t="s">
        <v>394</v>
      </c>
      <c r="E458" s="20" t="s">
        <v>149</v>
      </c>
      <c r="F458" s="21" t="s">
        <v>74</v>
      </c>
      <c r="G458">
        <f t="shared" si="21"/>
        <v>0.26666666666666666</v>
      </c>
      <c r="H458" t="str">
        <f>VLOOKUP(F458,'Tipo Parada Forno 04 07'!$A$2:I466,2,FALSE())</f>
        <v>NP</v>
      </c>
      <c r="I458">
        <f t="shared" si="22"/>
        <v>0</v>
      </c>
      <c r="J458">
        <f t="shared" si="23"/>
        <v>0.26666666666666666</v>
      </c>
    </row>
    <row r="459" spans="1:10" x14ac:dyDescent="0.3">
      <c r="A459" s="18" t="s">
        <v>485</v>
      </c>
      <c r="B459" s="19">
        <v>45041</v>
      </c>
      <c r="C459" s="20" t="s">
        <v>659</v>
      </c>
      <c r="D459" s="20" t="s">
        <v>660</v>
      </c>
      <c r="E459" s="20" t="s">
        <v>73</v>
      </c>
      <c r="F459" s="21" t="s">
        <v>150</v>
      </c>
      <c r="G459">
        <f t="shared" si="21"/>
        <v>0.16666666666666666</v>
      </c>
      <c r="H459" t="str">
        <f>VLOOKUP(F459,'Tipo Parada Forno 04 07'!$A$2:I467,2,FALSE())</f>
        <v>NP</v>
      </c>
      <c r="I459">
        <f t="shared" si="22"/>
        <v>0</v>
      </c>
      <c r="J459">
        <f t="shared" si="23"/>
        <v>0.16666666666666666</v>
      </c>
    </row>
    <row r="460" spans="1:10" x14ac:dyDescent="0.3">
      <c r="A460" s="18" t="s">
        <v>485</v>
      </c>
      <c r="B460" s="19">
        <v>45041</v>
      </c>
      <c r="C460" s="20" t="s">
        <v>328</v>
      </c>
      <c r="D460" s="20" t="s">
        <v>575</v>
      </c>
      <c r="E460" s="20" t="s">
        <v>156</v>
      </c>
      <c r="F460" s="21" t="s">
        <v>661</v>
      </c>
      <c r="G460">
        <f t="shared" si="21"/>
        <v>0.75</v>
      </c>
      <c r="H460" t="str">
        <f>VLOOKUP(F460,'Tipo Parada Forno 04 07'!$A$2:I468,2,FALSE())</f>
        <v>NP</v>
      </c>
      <c r="I460">
        <f t="shared" si="22"/>
        <v>0</v>
      </c>
      <c r="J460">
        <f t="shared" si="23"/>
        <v>0.75</v>
      </c>
    </row>
    <row r="461" spans="1:10" x14ac:dyDescent="0.3">
      <c r="A461" s="18" t="s">
        <v>485</v>
      </c>
      <c r="B461" s="19">
        <v>45042</v>
      </c>
      <c r="C461" s="20" t="s">
        <v>662</v>
      </c>
      <c r="D461" s="20" t="s">
        <v>580</v>
      </c>
      <c r="E461" s="20" t="s">
        <v>355</v>
      </c>
      <c r="F461" s="21" t="s">
        <v>74</v>
      </c>
      <c r="G461">
        <f t="shared" si="21"/>
        <v>0.31666666666666665</v>
      </c>
      <c r="H461" t="str">
        <f>VLOOKUP(F461,'Tipo Parada Forno 04 07'!$A$2:I469,2,FALSE())</f>
        <v>NP</v>
      </c>
      <c r="I461">
        <f t="shared" si="22"/>
        <v>0</v>
      </c>
      <c r="J461">
        <f t="shared" si="23"/>
        <v>0.31666666666666665</v>
      </c>
    </row>
    <row r="462" spans="1:10" x14ac:dyDescent="0.3">
      <c r="A462" s="18" t="s">
        <v>485</v>
      </c>
      <c r="B462" s="19">
        <v>45042</v>
      </c>
      <c r="C462" s="20" t="s">
        <v>663</v>
      </c>
      <c r="D462" s="20" t="s">
        <v>261</v>
      </c>
      <c r="E462" s="20" t="s">
        <v>451</v>
      </c>
      <c r="F462" s="21" t="s">
        <v>105</v>
      </c>
      <c r="G462">
        <f t="shared" si="21"/>
        <v>0.45</v>
      </c>
      <c r="H462" t="str">
        <f>VLOOKUP(F462,'Tipo Parada Forno 04 07'!$A$2:I470,2,FALSE())</f>
        <v>NP</v>
      </c>
      <c r="I462">
        <f t="shared" si="22"/>
        <v>0</v>
      </c>
      <c r="J462">
        <f t="shared" si="23"/>
        <v>0.45</v>
      </c>
    </row>
    <row r="463" spans="1:10" x14ac:dyDescent="0.3">
      <c r="A463" s="18" t="s">
        <v>485</v>
      </c>
      <c r="B463" s="19">
        <v>45042</v>
      </c>
      <c r="C463" s="20" t="s">
        <v>261</v>
      </c>
      <c r="D463" s="20" t="s">
        <v>340</v>
      </c>
      <c r="E463" s="20" t="s">
        <v>664</v>
      </c>
      <c r="F463" s="21" t="s">
        <v>89</v>
      </c>
      <c r="G463">
        <f t="shared" si="21"/>
        <v>1.1333333333333333</v>
      </c>
      <c r="H463" t="str">
        <f>VLOOKUP(F463,'Tipo Parada Forno 04 07'!$A$2:I471,2,FALSE())</f>
        <v>NP</v>
      </c>
      <c r="I463">
        <f t="shared" si="22"/>
        <v>0</v>
      </c>
      <c r="J463">
        <f t="shared" si="23"/>
        <v>1.1333333333333333</v>
      </c>
    </row>
    <row r="464" spans="1:10" x14ac:dyDescent="0.3">
      <c r="A464" s="18" t="s">
        <v>485</v>
      </c>
      <c r="B464" s="19">
        <v>45042</v>
      </c>
      <c r="C464" s="20" t="s">
        <v>665</v>
      </c>
      <c r="D464" s="20" t="s">
        <v>666</v>
      </c>
      <c r="E464" s="20" t="s">
        <v>355</v>
      </c>
      <c r="F464" s="21" t="s">
        <v>74</v>
      </c>
      <c r="G464">
        <f t="shared" si="21"/>
        <v>0.31666666666666665</v>
      </c>
      <c r="H464" t="str">
        <f>VLOOKUP(F464,'Tipo Parada Forno 04 07'!$A$2:I472,2,FALSE())</f>
        <v>NP</v>
      </c>
      <c r="I464">
        <f t="shared" si="22"/>
        <v>0</v>
      </c>
      <c r="J464">
        <f t="shared" si="23"/>
        <v>0.31666666666666665</v>
      </c>
    </row>
    <row r="465" spans="1:10" x14ac:dyDescent="0.3">
      <c r="A465" s="18" t="s">
        <v>485</v>
      </c>
      <c r="B465" s="19">
        <v>45042</v>
      </c>
      <c r="C465" s="20" t="s">
        <v>587</v>
      </c>
      <c r="D465" s="20" t="s">
        <v>251</v>
      </c>
      <c r="E465" s="20" t="s">
        <v>588</v>
      </c>
      <c r="F465" s="21" t="s">
        <v>253</v>
      </c>
      <c r="G465">
        <f t="shared" si="21"/>
        <v>1.9166666666666665</v>
      </c>
      <c r="H465" t="str">
        <f>VLOOKUP(F465,'Tipo Parada Forno 04 07'!$A$2:I473,2,FALSE())</f>
        <v>P</v>
      </c>
      <c r="I465">
        <f t="shared" si="22"/>
        <v>1.9166666666666665</v>
      </c>
      <c r="J465">
        <f t="shared" si="23"/>
        <v>0</v>
      </c>
    </row>
    <row r="466" spans="1:10" x14ac:dyDescent="0.3">
      <c r="A466" s="18" t="s">
        <v>485</v>
      </c>
      <c r="B466" s="19">
        <v>45042</v>
      </c>
      <c r="C466" s="20" t="s">
        <v>250</v>
      </c>
      <c r="D466" s="20" t="s">
        <v>284</v>
      </c>
      <c r="E466" s="20" t="s">
        <v>667</v>
      </c>
      <c r="F466" s="21" t="s">
        <v>253</v>
      </c>
      <c r="G466">
        <f t="shared" si="21"/>
        <v>3.8333333333333335</v>
      </c>
      <c r="H466" t="str">
        <f>VLOOKUP(F466,'Tipo Parada Forno 04 07'!$A$2:I474,2,FALSE())</f>
        <v>P</v>
      </c>
      <c r="I466">
        <f t="shared" si="22"/>
        <v>3.8333333333333335</v>
      </c>
      <c r="J466">
        <f t="shared" si="23"/>
        <v>0</v>
      </c>
    </row>
    <row r="467" spans="1:10" x14ac:dyDescent="0.3">
      <c r="A467" s="18" t="s">
        <v>485</v>
      </c>
      <c r="B467" s="19">
        <v>45043</v>
      </c>
      <c r="C467" s="20" t="s">
        <v>668</v>
      </c>
      <c r="D467" s="20" t="s">
        <v>462</v>
      </c>
      <c r="E467" s="20" t="s">
        <v>546</v>
      </c>
      <c r="F467" s="21" t="s">
        <v>74</v>
      </c>
      <c r="G467">
        <f t="shared" si="21"/>
        <v>0.55000000000000004</v>
      </c>
      <c r="H467" t="str">
        <f>VLOOKUP(F467,'Tipo Parada Forno 04 07'!$A$2:I475,2,FALSE())</f>
        <v>NP</v>
      </c>
      <c r="I467">
        <f t="shared" si="22"/>
        <v>0</v>
      </c>
      <c r="J467">
        <f t="shared" si="23"/>
        <v>0.55000000000000004</v>
      </c>
    </row>
    <row r="468" spans="1:10" x14ac:dyDescent="0.3">
      <c r="A468" s="18" t="s">
        <v>485</v>
      </c>
      <c r="B468" s="19">
        <v>45043</v>
      </c>
      <c r="C468" s="20" t="s">
        <v>587</v>
      </c>
      <c r="D468" s="20" t="s">
        <v>251</v>
      </c>
      <c r="E468" s="20" t="s">
        <v>588</v>
      </c>
      <c r="F468" s="21" t="s">
        <v>253</v>
      </c>
      <c r="G468">
        <f t="shared" si="21"/>
        <v>1.9166666666666665</v>
      </c>
      <c r="H468" t="str">
        <f>VLOOKUP(F468,'Tipo Parada Forno 04 07'!$A$2:I476,2,FALSE())</f>
        <v>P</v>
      </c>
      <c r="I468">
        <f t="shared" si="22"/>
        <v>1.9166666666666665</v>
      </c>
      <c r="J468">
        <f t="shared" si="23"/>
        <v>0</v>
      </c>
    </row>
    <row r="469" spans="1:10" x14ac:dyDescent="0.3">
      <c r="A469" s="18" t="s">
        <v>485</v>
      </c>
      <c r="B469" s="19">
        <v>45043</v>
      </c>
      <c r="C469" s="20" t="s">
        <v>669</v>
      </c>
      <c r="D469" s="20" t="s">
        <v>670</v>
      </c>
      <c r="E469" s="20" t="s">
        <v>667</v>
      </c>
      <c r="F469" s="21" t="s">
        <v>253</v>
      </c>
      <c r="G469">
        <f t="shared" si="21"/>
        <v>3.8333333333333335</v>
      </c>
      <c r="H469" t="str">
        <f>VLOOKUP(F469,'Tipo Parada Forno 04 07'!$A$2:I477,2,FALSE())</f>
        <v>P</v>
      </c>
      <c r="I469">
        <f t="shared" si="22"/>
        <v>3.8333333333333335</v>
      </c>
      <c r="J469">
        <f t="shared" si="23"/>
        <v>0</v>
      </c>
    </row>
    <row r="470" spans="1:10" x14ac:dyDescent="0.3">
      <c r="A470" s="18" t="s">
        <v>485</v>
      </c>
      <c r="B470" s="19">
        <v>45044</v>
      </c>
      <c r="C470" s="20" t="s">
        <v>671</v>
      </c>
      <c r="D470" s="20" t="s">
        <v>672</v>
      </c>
      <c r="E470" s="20" t="s">
        <v>442</v>
      </c>
      <c r="F470" s="21" t="s">
        <v>105</v>
      </c>
      <c r="G470">
        <f t="shared" si="21"/>
        <v>0.6</v>
      </c>
      <c r="H470" t="str">
        <f>VLOOKUP(F470,'Tipo Parada Forno 04 07'!$A$2:I478,2,FALSE())</f>
        <v>NP</v>
      </c>
      <c r="I470">
        <f t="shared" si="22"/>
        <v>0</v>
      </c>
      <c r="J470">
        <f t="shared" si="23"/>
        <v>0.6</v>
      </c>
    </row>
    <row r="471" spans="1:10" x14ac:dyDescent="0.3">
      <c r="A471" s="18" t="s">
        <v>485</v>
      </c>
      <c r="B471" s="19">
        <v>45044</v>
      </c>
      <c r="C471" s="20" t="s">
        <v>673</v>
      </c>
      <c r="D471" s="20" t="s">
        <v>674</v>
      </c>
      <c r="E471" s="20" t="s">
        <v>133</v>
      </c>
      <c r="F471" s="21" t="s">
        <v>74</v>
      </c>
      <c r="G471">
        <f t="shared" si="21"/>
        <v>0.2</v>
      </c>
      <c r="H471" t="str">
        <f>VLOOKUP(F471,'Tipo Parada Forno 04 07'!$A$2:I479,2,FALSE())</f>
        <v>NP</v>
      </c>
      <c r="I471">
        <f t="shared" si="22"/>
        <v>0</v>
      </c>
      <c r="J471">
        <f t="shared" si="23"/>
        <v>0.2</v>
      </c>
    </row>
    <row r="472" spans="1:10" x14ac:dyDescent="0.3">
      <c r="A472" s="18" t="s">
        <v>485</v>
      </c>
      <c r="B472" s="19">
        <v>45044</v>
      </c>
      <c r="C472" s="20" t="s">
        <v>237</v>
      </c>
      <c r="D472" s="20" t="s">
        <v>238</v>
      </c>
      <c r="E472" s="20" t="s">
        <v>65</v>
      </c>
      <c r="F472" s="21" t="s">
        <v>69</v>
      </c>
      <c r="G472">
        <f t="shared" si="21"/>
        <v>8.3333333333333329E-2</v>
      </c>
      <c r="H472" t="str">
        <f>VLOOKUP(F472,'Tipo Parada Forno 04 07'!$A$2:I480,2,FALSE())</f>
        <v>NP</v>
      </c>
      <c r="I472">
        <f t="shared" si="22"/>
        <v>0</v>
      </c>
      <c r="J472">
        <f t="shared" si="23"/>
        <v>8.3333333333333329E-2</v>
      </c>
    </row>
    <row r="473" spans="1:10" x14ac:dyDescent="0.3">
      <c r="A473" s="18" t="s">
        <v>485</v>
      </c>
      <c r="B473" s="19">
        <v>45044</v>
      </c>
      <c r="C473" s="20" t="s">
        <v>675</v>
      </c>
      <c r="D473" s="20" t="s">
        <v>620</v>
      </c>
      <c r="E473" s="20" t="s">
        <v>113</v>
      </c>
      <c r="F473" s="21" t="s">
        <v>105</v>
      </c>
      <c r="G473">
        <f t="shared" si="21"/>
        <v>0.58333333333333337</v>
      </c>
      <c r="H473" t="str">
        <f>VLOOKUP(F473,'Tipo Parada Forno 04 07'!$A$2:I481,2,FALSE())</f>
        <v>NP</v>
      </c>
      <c r="I473">
        <f t="shared" si="22"/>
        <v>0</v>
      </c>
      <c r="J473">
        <f t="shared" si="23"/>
        <v>0.58333333333333337</v>
      </c>
    </row>
    <row r="474" spans="1:10" x14ac:dyDescent="0.3">
      <c r="A474" s="18" t="s">
        <v>485</v>
      </c>
      <c r="B474" s="19">
        <v>45045</v>
      </c>
      <c r="C474" s="20" t="s">
        <v>568</v>
      </c>
      <c r="D474" s="20" t="s">
        <v>68</v>
      </c>
      <c r="E474" s="20" t="s">
        <v>176</v>
      </c>
      <c r="F474" s="21" t="s">
        <v>74</v>
      </c>
      <c r="G474">
        <f t="shared" si="21"/>
        <v>0.3</v>
      </c>
      <c r="H474" t="str">
        <f>VLOOKUP(F474,'Tipo Parada Forno 04 07'!$A$2:I482,2,FALSE())</f>
        <v>NP</v>
      </c>
      <c r="I474">
        <f t="shared" si="22"/>
        <v>0</v>
      </c>
      <c r="J474">
        <f t="shared" si="23"/>
        <v>0.3</v>
      </c>
    </row>
    <row r="475" spans="1:10" x14ac:dyDescent="0.3">
      <c r="A475" s="18" t="s">
        <v>485</v>
      </c>
      <c r="B475" s="19">
        <v>45045</v>
      </c>
      <c r="C475" s="20" t="s">
        <v>650</v>
      </c>
      <c r="D475" s="20" t="s">
        <v>651</v>
      </c>
      <c r="E475" s="20" t="s">
        <v>546</v>
      </c>
      <c r="F475" s="21" t="s">
        <v>105</v>
      </c>
      <c r="G475">
        <f t="shared" si="21"/>
        <v>0.55000000000000004</v>
      </c>
      <c r="H475" t="str">
        <f>VLOOKUP(F475,'Tipo Parada Forno 04 07'!$A$2:I483,2,FALSE())</f>
        <v>NP</v>
      </c>
      <c r="I475">
        <f t="shared" si="22"/>
        <v>0</v>
      </c>
      <c r="J475">
        <f t="shared" si="23"/>
        <v>0.55000000000000004</v>
      </c>
    </row>
    <row r="476" spans="1:10" x14ac:dyDescent="0.3">
      <c r="A476" s="18" t="s">
        <v>485</v>
      </c>
      <c r="B476" s="19">
        <v>45045</v>
      </c>
      <c r="C476" s="20" t="s">
        <v>283</v>
      </c>
      <c r="D476" s="20" t="s">
        <v>676</v>
      </c>
      <c r="E476" s="20" t="s">
        <v>122</v>
      </c>
      <c r="F476" s="21" t="s">
        <v>74</v>
      </c>
      <c r="G476">
        <f t="shared" si="21"/>
        <v>0.25</v>
      </c>
      <c r="H476" t="str">
        <f>VLOOKUP(F476,'Tipo Parada Forno 04 07'!$A$2:I484,2,FALSE())</f>
        <v>NP</v>
      </c>
      <c r="I476">
        <f t="shared" si="22"/>
        <v>0</v>
      </c>
      <c r="J476">
        <f t="shared" si="23"/>
        <v>0.25</v>
      </c>
    </row>
    <row r="477" spans="1:10" x14ac:dyDescent="0.3">
      <c r="A477" s="18" t="s">
        <v>485</v>
      </c>
      <c r="B477" s="19">
        <v>45045</v>
      </c>
      <c r="C477" s="20" t="s">
        <v>236</v>
      </c>
      <c r="D477" s="20" t="s">
        <v>677</v>
      </c>
      <c r="E477" s="20" t="s">
        <v>264</v>
      </c>
      <c r="F477" s="21" t="s">
        <v>105</v>
      </c>
      <c r="G477">
        <f t="shared" si="21"/>
        <v>0.66666666666666663</v>
      </c>
      <c r="H477" t="str">
        <f>VLOOKUP(F477,'Tipo Parada Forno 04 07'!$A$2:I485,2,FALSE())</f>
        <v>NP</v>
      </c>
      <c r="I477">
        <f t="shared" si="22"/>
        <v>0</v>
      </c>
      <c r="J477">
        <f t="shared" si="23"/>
        <v>0.66666666666666663</v>
      </c>
    </row>
    <row r="478" spans="1:10" x14ac:dyDescent="0.3">
      <c r="A478" s="18" t="s">
        <v>485</v>
      </c>
      <c r="B478" s="19">
        <v>45046</v>
      </c>
      <c r="C478" s="20" t="s">
        <v>580</v>
      </c>
      <c r="D478" s="20" t="s">
        <v>678</v>
      </c>
      <c r="E478" s="20" t="s">
        <v>87</v>
      </c>
      <c r="F478" s="21" t="s">
        <v>74</v>
      </c>
      <c r="G478">
        <f t="shared" si="21"/>
        <v>0.33333333333333331</v>
      </c>
      <c r="H478" t="str">
        <f>VLOOKUP(F478,'Tipo Parada Forno 04 07'!$A$2:I486,2,FALSE())</f>
        <v>NP</v>
      </c>
      <c r="I478">
        <f t="shared" si="22"/>
        <v>0</v>
      </c>
      <c r="J478">
        <f t="shared" si="23"/>
        <v>0.33333333333333331</v>
      </c>
    </row>
    <row r="479" spans="1:10" x14ac:dyDescent="0.3">
      <c r="A479" s="18" t="s">
        <v>485</v>
      </c>
      <c r="B479" s="19">
        <v>45046</v>
      </c>
      <c r="C479" s="20" t="s">
        <v>465</v>
      </c>
      <c r="D479" s="20" t="s">
        <v>433</v>
      </c>
      <c r="E479" s="20" t="s">
        <v>451</v>
      </c>
      <c r="F479" s="21" t="s">
        <v>105</v>
      </c>
      <c r="G479">
        <f t="shared" si="21"/>
        <v>0.45</v>
      </c>
      <c r="H479" t="str">
        <f>VLOOKUP(F479,'Tipo Parada Forno 04 07'!$A$2:I487,2,FALSE())</f>
        <v>NP</v>
      </c>
      <c r="I479">
        <f t="shared" si="22"/>
        <v>0</v>
      </c>
      <c r="J479">
        <f t="shared" si="23"/>
        <v>0.45</v>
      </c>
    </row>
    <row r="480" spans="1:10" x14ac:dyDescent="0.3">
      <c r="A480" s="18" t="s">
        <v>485</v>
      </c>
      <c r="B480" s="19">
        <v>45046</v>
      </c>
      <c r="C480" s="20" t="s">
        <v>679</v>
      </c>
      <c r="D480" s="20" t="s">
        <v>680</v>
      </c>
      <c r="E480" s="20" t="s">
        <v>76</v>
      </c>
      <c r="F480" s="21" t="s">
        <v>74</v>
      </c>
      <c r="G480">
        <f t="shared" si="21"/>
        <v>0.15</v>
      </c>
      <c r="H480" t="str">
        <f>VLOOKUP(F480,'Tipo Parada Forno 04 07'!$A$2:I488,2,FALSE())</f>
        <v>NP</v>
      </c>
      <c r="I480">
        <f t="shared" si="22"/>
        <v>0</v>
      </c>
      <c r="J480">
        <f t="shared" si="23"/>
        <v>0.15</v>
      </c>
    </row>
    <row r="481" spans="1:10" x14ac:dyDescent="0.3">
      <c r="A481" s="18" t="s">
        <v>485</v>
      </c>
      <c r="B481" s="19">
        <v>45046</v>
      </c>
      <c r="C481" s="20" t="s">
        <v>681</v>
      </c>
      <c r="D481" s="20" t="s">
        <v>110</v>
      </c>
      <c r="E481" s="20" t="s">
        <v>425</v>
      </c>
      <c r="F481" s="21" t="s">
        <v>105</v>
      </c>
      <c r="G481">
        <f t="shared" si="21"/>
        <v>0.6166666666666667</v>
      </c>
      <c r="H481" t="str">
        <f>VLOOKUP(F481,'Tipo Parada Forno 04 07'!$A$2:I489,2,FALSE())</f>
        <v>NP</v>
      </c>
      <c r="I481">
        <f t="shared" si="22"/>
        <v>0</v>
      </c>
      <c r="J481">
        <f t="shared" si="23"/>
        <v>0.6166666666666667</v>
      </c>
    </row>
    <row r="482" spans="1:10" x14ac:dyDescent="0.3">
      <c r="A482" s="18" t="s">
        <v>485</v>
      </c>
      <c r="B482" s="19">
        <v>45046</v>
      </c>
      <c r="C482" s="20" t="s">
        <v>179</v>
      </c>
      <c r="D482" s="20" t="s">
        <v>682</v>
      </c>
      <c r="E482" s="20" t="s">
        <v>503</v>
      </c>
      <c r="F482" s="21" t="s">
        <v>105</v>
      </c>
      <c r="G482">
        <f t="shared" si="21"/>
        <v>0.78333333333333333</v>
      </c>
      <c r="H482" t="str">
        <f>VLOOKUP(F482,'Tipo Parada Forno 04 07'!$A$2:I490,2,FALSE())</f>
        <v>NP</v>
      </c>
      <c r="I482">
        <f t="shared" si="22"/>
        <v>0</v>
      </c>
      <c r="J482">
        <f t="shared" si="23"/>
        <v>0.78333333333333333</v>
      </c>
    </row>
    <row r="483" spans="1:10" x14ac:dyDescent="0.3">
      <c r="G483">
        <f>SUM(G2:G482)</f>
        <v>189.59999999999997</v>
      </c>
      <c r="I483">
        <f>SUM(I2:I482)</f>
        <v>71.716666666666654</v>
      </c>
      <c r="J483">
        <f>SUM(J2:J482)</f>
        <v>117.88333333333325</v>
      </c>
    </row>
    <row r="484" spans="1:10" x14ac:dyDescent="0.3">
      <c r="F484" s="26"/>
      <c r="G484" s="23"/>
      <c r="I484" s="27"/>
      <c r="J484" s="27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1"/>
  <sheetViews>
    <sheetView topLeftCell="A67" zoomScaleNormal="100" workbookViewId="0">
      <selection activeCell="D80" sqref="D80"/>
    </sheetView>
  </sheetViews>
  <sheetFormatPr defaultColWidth="8.44140625" defaultRowHeight="15.05" x14ac:dyDescent="0.3"/>
  <cols>
    <col min="2" max="2" width="10.5546875" customWidth="1"/>
    <col min="6" max="6" width="43.109375" customWidth="1"/>
  </cols>
  <sheetData>
    <row r="1" spans="1:9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G1" s="17" t="s">
        <v>28</v>
      </c>
      <c r="H1" s="17" t="s">
        <v>29</v>
      </c>
      <c r="I1" s="17" t="s">
        <v>30</v>
      </c>
    </row>
    <row r="2" spans="1:9" x14ac:dyDescent="0.3">
      <c r="A2" s="18" t="s">
        <v>683</v>
      </c>
      <c r="B2" s="19">
        <v>45017</v>
      </c>
      <c r="C2" s="20">
        <v>0.12777777777777799</v>
      </c>
      <c r="D2" s="20">
        <v>0.13055555555555601</v>
      </c>
      <c r="E2" s="20">
        <v>2.7777777777777701E-3</v>
      </c>
      <c r="F2" s="21" t="s">
        <v>684</v>
      </c>
      <c r="G2" t="str">
        <f>VLOOKUP(F2,'Tipo Parada Fab 2'!$A$1:$B$105,2,FALSE())</f>
        <v>NP</v>
      </c>
      <c r="H2">
        <f t="shared" ref="H2:H33" si="0">IF(G2="P",E2,0)</f>
        <v>0</v>
      </c>
      <c r="I2">
        <f t="shared" ref="I2:I33" si="1">IF(G2="NP",E2,0)</f>
        <v>2.7777777777777701E-3</v>
      </c>
    </row>
    <row r="3" spans="1:9" x14ac:dyDescent="0.3">
      <c r="A3" s="18" t="s">
        <v>683</v>
      </c>
      <c r="B3" s="19">
        <v>45018</v>
      </c>
      <c r="C3" s="20">
        <v>0.12777777777777799</v>
      </c>
      <c r="D3" s="20">
        <v>0.13055555555555601</v>
      </c>
      <c r="E3" s="20">
        <v>2.7777777777777701E-3</v>
      </c>
      <c r="F3" s="21" t="s">
        <v>684</v>
      </c>
      <c r="G3" t="str">
        <f>VLOOKUP(F3,'Tipo Parada Fab 2'!$A$1:$B$105,2,FALSE())</f>
        <v>NP</v>
      </c>
      <c r="H3">
        <f t="shared" si="0"/>
        <v>0</v>
      </c>
      <c r="I3" s="22">
        <f t="shared" si="1"/>
        <v>2.7777777777777701E-3</v>
      </c>
    </row>
    <row r="4" spans="1:9" x14ac:dyDescent="0.3">
      <c r="A4" s="18" t="s">
        <v>683</v>
      </c>
      <c r="B4" s="19">
        <v>45019</v>
      </c>
      <c r="C4" s="20">
        <v>0.74756944444444395</v>
      </c>
      <c r="D4" s="20">
        <v>0.8125</v>
      </c>
      <c r="E4" s="20">
        <v>6.4930555555555602E-2</v>
      </c>
      <c r="F4" s="21" t="s">
        <v>685</v>
      </c>
      <c r="G4" t="str">
        <f>VLOOKUP(F4,'Tipo Parada Fab 2'!$A$1:$B$105,2,FALSE())</f>
        <v>P</v>
      </c>
      <c r="H4" s="22">
        <f t="shared" si="0"/>
        <v>6.4930555555555602E-2</v>
      </c>
      <c r="I4">
        <f t="shared" si="1"/>
        <v>0</v>
      </c>
    </row>
    <row r="5" spans="1:9" x14ac:dyDescent="0.3">
      <c r="A5" s="18" t="s">
        <v>683</v>
      </c>
      <c r="B5" s="19">
        <v>45019</v>
      </c>
      <c r="C5" s="20">
        <v>0.8125</v>
      </c>
      <c r="D5" s="20">
        <v>0.87708333333333299</v>
      </c>
      <c r="E5" s="20">
        <v>6.4583333333333298E-2</v>
      </c>
      <c r="F5" s="21" t="s">
        <v>685</v>
      </c>
      <c r="G5" t="str">
        <f>VLOOKUP(F5,'Tipo Parada Fab 2'!$A$1:$B$105,2,FALSE())</f>
        <v>P</v>
      </c>
      <c r="H5" s="22">
        <f t="shared" si="0"/>
        <v>6.4583333333333298E-2</v>
      </c>
      <c r="I5">
        <f t="shared" si="1"/>
        <v>0</v>
      </c>
    </row>
    <row r="6" spans="1:9" x14ac:dyDescent="0.3">
      <c r="A6" s="18" t="s">
        <v>683</v>
      </c>
      <c r="B6" s="19">
        <v>45020</v>
      </c>
      <c r="C6" s="20">
        <v>6.25E-2</v>
      </c>
      <c r="D6" s="20">
        <v>0.24583333333333299</v>
      </c>
      <c r="E6" s="20">
        <v>0.18333333333333299</v>
      </c>
      <c r="F6" s="21" t="s">
        <v>686</v>
      </c>
      <c r="G6" t="str">
        <f>VLOOKUP(F6,'Tipo Parada Fab 2'!$A$1:$B$105,2,FALSE())</f>
        <v>NP</v>
      </c>
      <c r="H6">
        <f t="shared" si="0"/>
        <v>0</v>
      </c>
      <c r="I6" s="22">
        <f t="shared" si="1"/>
        <v>0.18333333333333299</v>
      </c>
    </row>
    <row r="7" spans="1:9" x14ac:dyDescent="0.3">
      <c r="A7" s="18" t="s">
        <v>683</v>
      </c>
      <c r="B7" s="19">
        <v>45020</v>
      </c>
      <c r="C7" s="20">
        <v>0.57152777777777797</v>
      </c>
      <c r="D7" s="20">
        <v>0.75</v>
      </c>
      <c r="E7" s="20">
        <v>0.178472222222222</v>
      </c>
      <c r="F7" s="21" t="s">
        <v>687</v>
      </c>
      <c r="G7" t="str">
        <f>VLOOKUP(F7,'Tipo Parada Fab 2'!$A$1:$B$105,2,FALSE())</f>
        <v>NP</v>
      </c>
      <c r="H7">
        <f t="shared" si="0"/>
        <v>0</v>
      </c>
      <c r="I7" s="22">
        <f t="shared" si="1"/>
        <v>0.178472222222222</v>
      </c>
    </row>
    <row r="8" spans="1:9" x14ac:dyDescent="0.3">
      <c r="A8" s="18" t="s">
        <v>683</v>
      </c>
      <c r="B8" s="19">
        <v>45020</v>
      </c>
      <c r="C8" s="20">
        <v>0.75</v>
      </c>
      <c r="D8" s="20">
        <v>0.8125</v>
      </c>
      <c r="E8" s="20">
        <v>6.25E-2</v>
      </c>
      <c r="F8" s="21" t="s">
        <v>685</v>
      </c>
      <c r="G8" t="str">
        <f>VLOOKUP(F8,'Tipo Parada Fab 2'!$A$1:$B$105,2,FALSE())</f>
        <v>P</v>
      </c>
      <c r="H8" s="22">
        <f t="shared" si="0"/>
        <v>6.25E-2</v>
      </c>
      <c r="I8">
        <f t="shared" si="1"/>
        <v>0</v>
      </c>
    </row>
    <row r="9" spans="1:9" x14ac:dyDescent="0.3">
      <c r="A9" s="18" t="s">
        <v>683</v>
      </c>
      <c r="B9" s="19">
        <v>45020</v>
      </c>
      <c r="C9" s="20">
        <v>0.8125</v>
      </c>
      <c r="D9" s="20">
        <v>0.875</v>
      </c>
      <c r="E9" s="20">
        <v>6.25E-2</v>
      </c>
      <c r="F9" s="21" t="s">
        <v>685</v>
      </c>
      <c r="G9" t="str">
        <f>VLOOKUP(F9,'Tipo Parada Fab 2'!$A$1:$B$105,2,FALSE())</f>
        <v>P</v>
      </c>
      <c r="H9" s="22">
        <f t="shared" si="0"/>
        <v>6.25E-2</v>
      </c>
      <c r="I9">
        <f t="shared" si="1"/>
        <v>0</v>
      </c>
    </row>
    <row r="10" spans="1:9" x14ac:dyDescent="0.3">
      <c r="A10" s="18" t="s">
        <v>683</v>
      </c>
      <c r="B10" s="19">
        <v>45020</v>
      </c>
      <c r="C10" s="20">
        <v>0.875</v>
      </c>
      <c r="D10" s="20">
        <v>6.25E-2</v>
      </c>
      <c r="E10" s="20">
        <v>0.1875</v>
      </c>
      <c r="F10" s="21" t="s">
        <v>688</v>
      </c>
      <c r="G10" t="str">
        <f>VLOOKUP(F10,'Tipo Parada Fab 2'!$A$1:$B$105,2,FALSE())</f>
        <v>NP</v>
      </c>
      <c r="H10">
        <f t="shared" si="0"/>
        <v>0</v>
      </c>
      <c r="I10" s="22">
        <f t="shared" si="1"/>
        <v>0.1875</v>
      </c>
    </row>
    <row r="11" spans="1:9" x14ac:dyDescent="0.3">
      <c r="A11" s="18" t="s">
        <v>683</v>
      </c>
      <c r="B11" s="19">
        <v>45021</v>
      </c>
      <c r="C11" s="20">
        <v>6.25E-2</v>
      </c>
      <c r="D11" s="20">
        <v>0.24583333333333299</v>
      </c>
      <c r="E11" s="20">
        <v>0.18333333333333299</v>
      </c>
      <c r="F11" s="21" t="s">
        <v>686</v>
      </c>
      <c r="G11" t="str">
        <f>VLOOKUP(F11,'Tipo Parada Fab 2'!$A$1:$B$105,2,FALSE())</f>
        <v>NP</v>
      </c>
      <c r="H11">
        <f t="shared" si="0"/>
        <v>0</v>
      </c>
      <c r="I11" s="22">
        <f t="shared" si="1"/>
        <v>0.18333333333333299</v>
      </c>
    </row>
    <row r="12" spans="1:9" x14ac:dyDescent="0.3">
      <c r="A12" s="18" t="s">
        <v>683</v>
      </c>
      <c r="B12" s="19">
        <v>45021</v>
      </c>
      <c r="C12" s="20">
        <v>0.68472222222222201</v>
      </c>
      <c r="D12" s="20">
        <v>0.75</v>
      </c>
      <c r="E12" s="20">
        <v>6.5277777777777796E-2</v>
      </c>
      <c r="F12" s="21" t="s">
        <v>689</v>
      </c>
      <c r="G12" t="str">
        <f>VLOOKUP(F12,'Tipo Parada Fab 2'!$A$1:$B$105,2,FALSE())</f>
        <v>NP</v>
      </c>
      <c r="H12">
        <f t="shared" si="0"/>
        <v>0</v>
      </c>
      <c r="I12" s="22">
        <f t="shared" si="1"/>
        <v>6.5277777777777796E-2</v>
      </c>
    </row>
    <row r="13" spans="1:9" x14ac:dyDescent="0.3">
      <c r="A13" s="18" t="s">
        <v>683</v>
      </c>
      <c r="B13" s="19">
        <v>45021</v>
      </c>
      <c r="C13" s="20">
        <v>0.75</v>
      </c>
      <c r="D13" s="20">
        <v>0.8125</v>
      </c>
      <c r="E13" s="20">
        <v>6.25E-2</v>
      </c>
      <c r="F13" s="21" t="s">
        <v>685</v>
      </c>
      <c r="G13" t="str">
        <f>VLOOKUP(F13,'Tipo Parada Fab 2'!$A$1:$B$105,2,FALSE())</f>
        <v>P</v>
      </c>
      <c r="H13" s="22">
        <f t="shared" si="0"/>
        <v>6.25E-2</v>
      </c>
      <c r="I13">
        <f t="shared" si="1"/>
        <v>0</v>
      </c>
    </row>
    <row r="14" spans="1:9" x14ac:dyDescent="0.3">
      <c r="A14" s="18" t="s">
        <v>683</v>
      </c>
      <c r="B14" s="19">
        <v>45021</v>
      </c>
      <c r="C14" s="20">
        <v>0.8125</v>
      </c>
      <c r="D14" s="20">
        <v>0.88263888888888897</v>
      </c>
      <c r="E14" s="20">
        <v>7.0138888888888903E-2</v>
      </c>
      <c r="F14" s="21" t="s">
        <v>685</v>
      </c>
      <c r="G14" t="str">
        <f>VLOOKUP(F14,'Tipo Parada Fab 2'!$A$1:$B$105,2,FALSE())</f>
        <v>P</v>
      </c>
      <c r="H14" s="22">
        <f t="shared" si="0"/>
        <v>7.0138888888888903E-2</v>
      </c>
      <c r="I14">
        <f t="shared" si="1"/>
        <v>0</v>
      </c>
    </row>
    <row r="15" spans="1:9" x14ac:dyDescent="0.3">
      <c r="A15" s="18" t="s">
        <v>683</v>
      </c>
      <c r="B15" s="19">
        <v>45022</v>
      </c>
      <c r="C15" s="20">
        <v>0.74861111111111101</v>
      </c>
      <c r="D15" s="20">
        <v>0.8125</v>
      </c>
      <c r="E15" s="20">
        <v>6.3888888888888995E-2</v>
      </c>
      <c r="F15" s="21" t="s">
        <v>685</v>
      </c>
      <c r="G15" t="str">
        <f>VLOOKUP(F15,'Tipo Parada Fab 2'!$A$1:$B$105,2,FALSE())</f>
        <v>P</v>
      </c>
      <c r="H15" s="22">
        <f t="shared" si="0"/>
        <v>6.3888888888888995E-2</v>
      </c>
      <c r="I15">
        <f t="shared" si="1"/>
        <v>0</v>
      </c>
    </row>
    <row r="16" spans="1:9" x14ac:dyDescent="0.3">
      <c r="A16" s="18" t="s">
        <v>683</v>
      </c>
      <c r="B16" s="19">
        <v>45022</v>
      </c>
      <c r="C16" s="20">
        <v>0.8125</v>
      </c>
      <c r="D16" s="20">
        <v>0.88194444444444398</v>
      </c>
      <c r="E16" s="20">
        <v>6.9444444444444503E-2</v>
      </c>
      <c r="F16" s="21" t="s">
        <v>685</v>
      </c>
      <c r="G16" t="str">
        <f>VLOOKUP(F16,'Tipo Parada Fab 2'!$A$1:$B$105,2,FALSE())</f>
        <v>P</v>
      </c>
      <c r="H16" s="22">
        <f t="shared" si="0"/>
        <v>6.9444444444444503E-2</v>
      </c>
      <c r="I16">
        <f t="shared" si="1"/>
        <v>0</v>
      </c>
    </row>
    <row r="17" spans="1:9" x14ac:dyDescent="0.3">
      <c r="A17" s="18" t="s">
        <v>683</v>
      </c>
      <c r="B17" s="19">
        <v>45023</v>
      </c>
      <c r="C17" s="20">
        <v>0.41666666666666702</v>
      </c>
      <c r="D17" s="20">
        <v>0.420833333333333</v>
      </c>
      <c r="E17" s="20">
        <v>4.1666666666666501E-3</v>
      </c>
      <c r="F17" s="21" t="s">
        <v>690</v>
      </c>
      <c r="G17" t="str">
        <f>VLOOKUP(F17,'Tipo Parada Fab 2'!$A$1:$B$105,2,FALSE())</f>
        <v>NP</v>
      </c>
      <c r="H17">
        <f t="shared" si="0"/>
        <v>0</v>
      </c>
      <c r="I17" s="22">
        <f t="shared" si="1"/>
        <v>4.1666666666666501E-3</v>
      </c>
    </row>
    <row r="18" spans="1:9" x14ac:dyDescent="0.3">
      <c r="A18" s="18" t="s">
        <v>683</v>
      </c>
      <c r="B18" s="19">
        <v>45024</v>
      </c>
      <c r="C18" s="20">
        <v>0.37847222222222199</v>
      </c>
      <c r="D18" s="20">
        <v>0.38402777777777802</v>
      </c>
      <c r="E18" s="20">
        <v>5.5555555555555402E-3</v>
      </c>
      <c r="F18" s="21" t="s">
        <v>691</v>
      </c>
      <c r="G18" t="str">
        <f>VLOOKUP(F18,'Tipo Parada Fab 2'!$A$1:$B$105,2,FALSE())</f>
        <v>NP</v>
      </c>
      <c r="H18">
        <f t="shared" si="0"/>
        <v>0</v>
      </c>
      <c r="I18" s="22">
        <f t="shared" si="1"/>
        <v>5.5555555555555402E-3</v>
      </c>
    </row>
    <row r="19" spans="1:9" x14ac:dyDescent="0.3">
      <c r="A19" s="18" t="s">
        <v>683</v>
      </c>
      <c r="B19" s="19">
        <v>45026</v>
      </c>
      <c r="C19" s="20">
        <v>0.74722222222222201</v>
      </c>
      <c r="D19" s="20">
        <v>0.8125</v>
      </c>
      <c r="E19" s="20">
        <v>6.5277777777777796E-2</v>
      </c>
      <c r="F19" s="21" t="s">
        <v>685</v>
      </c>
      <c r="G19" t="str">
        <f>VLOOKUP(F19,'Tipo Parada Fab 2'!$A$1:$B$105,2,FALSE())</f>
        <v>P</v>
      </c>
      <c r="H19" s="22">
        <f t="shared" si="0"/>
        <v>6.5277777777777796E-2</v>
      </c>
      <c r="I19">
        <f t="shared" si="1"/>
        <v>0</v>
      </c>
    </row>
    <row r="20" spans="1:9" x14ac:dyDescent="0.3">
      <c r="A20" s="18" t="s">
        <v>683</v>
      </c>
      <c r="B20" s="19">
        <v>45026</v>
      </c>
      <c r="C20" s="20">
        <v>0.79374999999999996</v>
      </c>
      <c r="D20" s="20">
        <v>0.875694444444444</v>
      </c>
      <c r="E20" s="20">
        <v>8.1944444444444403E-2</v>
      </c>
      <c r="F20" s="21" t="s">
        <v>685</v>
      </c>
      <c r="G20" t="str">
        <f>VLOOKUP(F20,'Tipo Parada Fab 2'!$A$1:$B$105,2,FALSE())</f>
        <v>P</v>
      </c>
      <c r="H20" s="22">
        <f t="shared" si="0"/>
        <v>8.1944444444444403E-2</v>
      </c>
      <c r="I20">
        <f t="shared" si="1"/>
        <v>0</v>
      </c>
    </row>
    <row r="21" spans="1:9" x14ac:dyDescent="0.3">
      <c r="A21" s="18" t="s">
        <v>683</v>
      </c>
      <c r="B21" s="19">
        <v>45027</v>
      </c>
      <c r="C21" s="20">
        <v>0.46041666666666697</v>
      </c>
      <c r="D21" s="20">
        <v>0.46250000000000002</v>
      </c>
      <c r="E21" s="20">
        <v>2.08333333333327E-3</v>
      </c>
      <c r="F21" s="21" t="s">
        <v>692</v>
      </c>
      <c r="G21" t="str">
        <f>VLOOKUP(F21,'Tipo Parada Fab 2'!$A$1:$B$105,2,FALSE())</f>
        <v>NP</v>
      </c>
      <c r="H21">
        <f t="shared" si="0"/>
        <v>0</v>
      </c>
      <c r="I21" s="22">
        <f t="shared" si="1"/>
        <v>2.08333333333327E-3</v>
      </c>
    </row>
    <row r="22" spans="1:9" x14ac:dyDescent="0.3">
      <c r="A22" s="18" t="s">
        <v>683</v>
      </c>
      <c r="B22" s="19">
        <v>45027</v>
      </c>
      <c r="C22" s="20">
        <v>0.74722222222222201</v>
      </c>
      <c r="D22" s="20">
        <v>0.8125</v>
      </c>
      <c r="E22" s="20">
        <v>6.5277777777777796E-2</v>
      </c>
      <c r="F22" s="21" t="s">
        <v>685</v>
      </c>
      <c r="G22" t="str">
        <f>VLOOKUP(F22,'Tipo Parada Fab 2'!$A$1:$B$105,2,FALSE())</f>
        <v>P</v>
      </c>
      <c r="H22" s="22">
        <f t="shared" si="0"/>
        <v>6.5277777777777796E-2</v>
      </c>
      <c r="I22">
        <f t="shared" si="1"/>
        <v>0</v>
      </c>
    </row>
    <row r="23" spans="1:9" x14ac:dyDescent="0.3">
      <c r="A23" s="18" t="s">
        <v>683</v>
      </c>
      <c r="B23" s="19">
        <v>45027</v>
      </c>
      <c r="C23" s="20">
        <v>0.8125</v>
      </c>
      <c r="D23" s="20">
        <v>0.87708333333333299</v>
      </c>
      <c r="E23" s="20">
        <v>6.4583333333333298E-2</v>
      </c>
      <c r="F23" s="21" t="s">
        <v>685</v>
      </c>
      <c r="G23" t="str">
        <f>VLOOKUP(F23,'Tipo Parada Fab 2'!$A$1:$B$105,2,FALSE())</f>
        <v>P</v>
      </c>
      <c r="H23" s="22">
        <f t="shared" si="0"/>
        <v>6.4583333333333298E-2</v>
      </c>
      <c r="I23">
        <f t="shared" si="1"/>
        <v>0</v>
      </c>
    </row>
    <row r="24" spans="1:9" x14ac:dyDescent="0.3">
      <c r="A24" s="18" t="s">
        <v>683</v>
      </c>
      <c r="B24" s="19">
        <v>45028</v>
      </c>
      <c r="C24" s="20">
        <v>0.74791666666666701</v>
      </c>
      <c r="D24" s="20">
        <v>0.8125</v>
      </c>
      <c r="E24" s="20">
        <v>6.4583333333333298E-2</v>
      </c>
      <c r="F24" s="21" t="s">
        <v>685</v>
      </c>
      <c r="G24" t="str">
        <f>VLOOKUP(F24,'Tipo Parada Fab 2'!$A$1:$B$105,2,FALSE())</f>
        <v>P</v>
      </c>
      <c r="H24" s="22">
        <f t="shared" si="0"/>
        <v>6.4583333333333298E-2</v>
      </c>
      <c r="I24">
        <f t="shared" si="1"/>
        <v>0</v>
      </c>
    </row>
    <row r="25" spans="1:9" x14ac:dyDescent="0.3">
      <c r="A25" s="18" t="s">
        <v>683</v>
      </c>
      <c r="B25" s="19">
        <v>45028</v>
      </c>
      <c r="C25" s="20">
        <v>0.8125</v>
      </c>
      <c r="D25" s="20">
        <v>0.875</v>
      </c>
      <c r="E25" s="20">
        <v>6.25E-2</v>
      </c>
      <c r="F25" s="21" t="s">
        <v>685</v>
      </c>
      <c r="G25" t="str">
        <f>VLOOKUP(F25,'Tipo Parada Fab 2'!$A$1:$B$105,2,FALSE())</f>
        <v>P</v>
      </c>
      <c r="H25" s="22">
        <f t="shared" si="0"/>
        <v>6.25E-2</v>
      </c>
      <c r="I25">
        <f t="shared" si="1"/>
        <v>0</v>
      </c>
    </row>
    <row r="26" spans="1:9" x14ac:dyDescent="0.3">
      <c r="A26" s="18" t="s">
        <v>683</v>
      </c>
      <c r="B26" s="19">
        <v>45028</v>
      </c>
      <c r="C26" s="20">
        <v>0.875</v>
      </c>
      <c r="D26" s="20">
        <v>0.88958333333333295</v>
      </c>
      <c r="E26" s="20">
        <v>1.4583333333333399E-2</v>
      </c>
      <c r="F26" s="21" t="s">
        <v>693</v>
      </c>
      <c r="G26" t="str">
        <f>VLOOKUP(F26,'Tipo Parada Fab 2'!$A$1:$B$105,2,FALSE())</f>
        <v>NP</v>
      </c>
      <c r="H26">
        <f t="shared" si="0"/>
        <v>0</v>
      </c>
      <c r="I26" s="22">
        <f t="shared" si="1"/>
        <v>1.4583333333333399E-2</v>
      </c>
    </row>
    <row r="27" spans="1:9" x14ac:dyDescent="0.3">
      <c r="A27" s="18" t="s">
        <v>683</v>
      </c>
      <c r="B27" s="19">
        <v>45029</v>
      </c>
      <c r="C27" s="20">
        <v>0.74861111111111101</v>
      </c>
      <c r="D27" s="20">
        <v>0.8125</v>
      </c>
      <c r="E27" s="20">
        <v>6.3888888888888995E-2</v>
      </c>
      <c r="F27" s="21" t="s">
        <v>685</v>
      </c>
      <c r="G27" t="str">
        <f>VLOOKUP(F27,'Tipo Parada Fab 2'!$A$1:$B$105,2,FALSE())</f>
        <v>P</v>
      </c>
      <c r="H27" s="22">
        <f t="shared" si="0"/>
        <v>6.3888888888888995E-2</v>
      </c>
      <c r="I27">
        <f t="shared" si="1"/>
        <v>0</v>
      </c>
    </row>
    <row r="28" spans="1:9" x14ac:dyDescent="0.3">
      <c r="A28" s="18" t="s">
        <v>683</v>
      </c>
      <c r="B28" s="19">
        <v>45029</v>
      </c>
      <c r="C28" s="20">
        <v>0.8125</v>
      </c>
      <c r="D28" s="20">
        <v>0.875</v>
      </c>
      <c r="E28" s="20">
        <v>6.25E-2</v>
      </c>
      <c r="F28" s="21" t="s">
        <v>685</v>
      </c>
      <c r="G28" t="str">
        <f>VLOOKUP(F28,'Tipo Parada Fab 2'!$A$1:$B$105,2,FALSE())</f>
        <v>P</v>
      </c>
      <c r="H28" s="22">
        <f t="shared" si="0"/>
        <v>6.25E-2</v>
      </c>
      <c r="I28">
        <f t="shared" si="1"/>
        <v>0</v>
      </c>
    </row>
    <row r="29" spans="1:9" x14ac:dyDescent="0.3">
      <c r="A29" s="18" t="s">
        <v>683</v>
      </c>
      <c r="B29" s="19">
        <v>45030</v>
      </c>
      <c r="C29" s="20">
        <v>0.74791666666666701</v>
      </c>
      <c r="D29" s="20">
        <v>0.8125</v>
      </c>
      <c r="E29" s="20">
        <v>6.4583333333333298E-2</v>
      </c>
      <c r="F29" s="21" t="s">
        <v>685</v>
      </c>
      <c r="G29" t="str">
        <f>VLOOKUP(F29,'Tipo Parada Fab 2'!$A$1:$B$105,2,FALSE())</f>
        <v>P</v>
      </c>
      <c r="H29" s="22">
        <f t="shared" si="0"/>
        <v>6.4583333333333298E-2</v>
      </c>
      <c r="I29">
        <f t="shared" si="1"/>
        <v>0</v>
      </c>
    </row>
    <row r="30" spans="1:9" x14ac:dyDescent="0.3">
      <c r="A30" s="18" t="s">
        <v>683</v>
      </c>
      <c r="B30" s="19">
        <v>45030</v>
      </c>
      <c r="C30" s="20">
        <v>0.8125</v>
      </c>
      <c r="D30" s="20">
        <v>0.875</v>
      </c>
      <c r="E30" s="20">
        <v>6.25E-2</v>
      </c>
      <c r="F30" s="21" t="s">
        <v>685</v>
      </c>
      <c r="G30" t="str">
        <f>VLOOKUP(F30,'Tipo Parada Fab 2'!$A$1:$B$105,2,FALSE())</f>
        <v>P</v>
      </c>
      <c r="H30" s="22">
        <f t="shared" si="0"/>
        <v>6.25E-2</v>
      </c>
      <c r="I30">
        <f t="shared" si="1"/>
        <v>0</v>
      </c>
    </row>
    <row r="31" spans="1:9" x14ac:dyDescent="0.3">
      <c r="A31" s="18" t="s">
        <v>683</v>
      </c>
      <c r="B31" s="19">
        <v>45032</v>
      </c>
      <c r="C31" s="20">
        <v>0.99236111111111103</v>
      </c>
      <c r="D31" s="20">
        <v>0.99513888888888902</v>
      </c>
      <c r="E31" s="20">
        <v>2.7777777777777701E-3</v>
      </c>
      <c r="F31" s="21" t="s">
        <v>694</v>
      </c>
      <c r="G31" t="str">
        <f>VLOOKUP(F31,'Tipo Parada Fab 2'!$A$1:$B$105,2,FALSE())</f>
        <v>NP</v>
      </c>
      <c r="H31">
        <f t="shared" si="0"/>
        <v>0</v>
      </c>
      <c r="I31" s="22">
        <f t="shared" si="1"/>
        <v>2.7777777777777701E-3</v>
      </c>
    </row>
    <row r="32" spans="1:9" x14ac:dyDescent="0.3">
      <c r="A32" s="18" t="s">
        <v>683</v>
      </c>
      <c r="B32" s="19">
        <v>45033</v>
      </c>
      <c r="C32" s="20">
        <v>0.47847222222222202</v>
      </c>
      <c r="D32" s="20">
        <v>0.48055555555555601</v>
      </c>
      <c r="E32" s="20">
        <v>2.0833333333333801E-3</v>
      </c>
      <c r="F32" s="21" t="s">
        <v>695</v>
      </c>
      <c r="G32" t="str">
        <f>VLOOKUP(F32,'Tipo Parada Fab 2'!$A$1:$B$105,2,FALSE())</f>
        <v>NP</v>
      </c>
      <c r="H32">
        <f t="shared" si="0"/>
        <v>0</v>
      </c>
      <c r="I32" s="22">
        <f t="shared" si="1"/>
        <v>2.0833333333333801E-3</v>
      </c>
    </row>
    <row r="33" spans="1:9" x14ac:dyDescent="0.3">
      <c r="A33" s="18" t="s">
        <v>683</v>
      </c>
      <c r="B33" s="19">
        <v>45033</v>
      </c>
      <c r="C33" s="20">
        <v>0.484027777777778</v>
      </c>
      <c r="D33" s="20">
        <v>0.48819444444444399</v>
      </c>
      <c r="E33" s="20">
        <v>4.1666666666666501E-3</v>
      </c>
      <c r="F33" s="21" t="s">
        <v>695</v>
      </c>
      <c r="G33" t="str">
        <f>VLOOKUP(F33,'Tipo Parada Fab 2'!$A$1:$B$105,2,FALSE())</f>
        <v>NP</v>
      </c>
      <c r="H33">
        <f t="shared" si="0"/>
        <v>0</v>
      </c>
      <c r="I33" s="22">
        <f t="shared" si="1"/>
        <v>4.1666666666666501E-3</v>
      </c>
    </row>
    <row r="34" spans="1:9" x14ac:dyDescent="0.3">
      <c r="A34" s="18" t="s">
        <v>683</v>
      </c>
      <c r="B34" s="19">
        <v>45033</v>
      </c>
      <c r="C34" s="20">
        <v>0.49027777777777798</v>
      </c>
      <c r="D34" s="20">
        <v>0.50208333333333299</v>
      </c>
      <c r="E34" s="20">
        <v>1.18055555555555E-2</v>
      </c>
      <c r="F34" s="21" t="s">
        <v>695</v>
      </c>
      <c r="G34" t="str">
        <f>VLOOKUP(F34,'Tipo Parada Fab 2'!$A$1:$B$105,2,FALSE())</f>
        <v>NP</v>
      </c>
      <c r="H34">
        <f t="shared" ref="H34:H65" si="2">IF(G34="P",E34,0)</f>
        <v>0</v>
      </c>
      <c r="I34" s="22">
        <f t="shared" ref="I34:I65" si="3">IF(G34="NP",E34,0)</f>
        <v>1.18055555555555E-2</v>
      </c>
    </row>
    <row r="35" spans="1:9" x14ac:dyDescent="0.3">
      <c r="A35" s="18" t="s">
        <v>683</v>
      </c>
      <c r="B35" s="19">
        <v>45033</v>
      </c>
      <c r="C35" s="20">
        <v>0.50208333333333299</v>
      </c>
      <c r="D35" s="20">
        <v>0.50833333333333297</v>
      </c>
      <c r="E35" s="20">
        <v>6.2499999999999804E-3</v>
      </c>
      <c r="F35" s="21" t="s">
        <v>695</v>
      </c>
      <c r="G35" t="str">
        <f>VLOOKUP(F35,'Tipo Parada Fab 2'!$A$1:$B$105,2,FALSE())</f>
        <v>NP</v>
      </c>
      <c r="H35">
        <f t="shared" si="2"/>
        <v>0</v>
      </c>
      <c r="I35" s="22">
        <f t="shared" si="3"/>
        <v>6.2499999999999804E-3</v>
      </c>
    </row>
    <row r="36" spans="1:9" x14ac:dyDescent="0.3">
      <c r="A36" s="18" t="s">
        <v>683</v>
      </c>
      <c r="B36" s="19">
        <v>45033</v>
      </c>
      <c r="C36" s="20">
        <v>0.51805555555555605</v>
      </c>
      <c r="D36" s="20">
        <v>0.52083333333333304</v>
      </c>
      <c r="E36" s="20">
        <v>2.7777777777777701E-3</v>
      </c>
      <c r="F36" s="21" t="s">
        <v>695</v>
      </c>
      <c r="G36" t="str">
        <f>VLOOKUP(F36,'Tipo Parada Fab 2'!$A$1:$B$105,2,FALSE())</f>
        <v>NP</v>
      </c>
      <c r="H36">
        <f t="shared" si="2"/>
        <v>0</v>
      </c>
      <c r="I36" s="22">
        <f t="shared" si="3"/>
        <v>2.7777777777777701E-3</v>
      </c>
    </row>
    <row r="37" spans="1:9" x14ac:dyDescent="0.3">
      <c r="A37" s="18" t="s">
        <v>683</v>
      </c>
      <c r="B37" s="19">
        <v>45033</v>
      </c>
      <c r="C37" s="20">
        <v>0.74722222222222201</v>
      </c>
      <c r="D37" s="20">
        <v>0.8125</v>
      </c>
      <c r="E37" s="20">
        <v>6.5277777777777796E-2</v>
      </c>
      <c r="F37" s="21" t="s">
        <v>685</v>
      </c>
      <c r="G37" t="str">
        <f>VLOOKUP(F37,'Tipo Parada Fab 2'!$A$1:$B$105,2,FALSE())</f>
        <v>P</v>
      </c>
      <c r="H37" s="22">
        <f t="shared" si="2"/>
        <v>6.5277777777777796E-2</v>
      </c>
      <c r="I37">
        <f t="shared" si="3"/>
        <v>0</v>
      </c>
    </row>
    <row r="38" spans="1:9" x14ac:dyDescent="0.3">
      <c r="A38" s="18" t="s">
        <v>683</v>
      </c>
      <c r="B38" s="19">
        <v>45033</v>
      </c>
      <c r="C38" s="20">
        <v>0.8125</v>
      </c>
      <c r="D38" s="20">
        <v>0.87638888888888899</v>
      </c>
      <c r="E38" s="20">
        <v>6.3888888888888995E-2</v>
      </c>
      <c r="F38" s="21" t="s">
        <v>685</v>
      </c>
      <c r="G38" t="str">
        <f>VLOOKUP(F38,'Tipo Parada Fab 2'!$A$1:$B$105,2,FALSE())</f>
        <v>P</v>
      </c>
      <c r="H38" s="22">
        <f t="shared" si="2"/>
        <v>6.3888888888888995E-2</v>
      </c>
      <c r="I38">
        <f t="shared" si="3"/>
        <v>0</v>
      </c>
    </row>
    <row r="39" spans="1:9" x14ac:dyDescent="0.3">
      <c r="A39" s="18" t="s">
        <v>683</v>
      </c>
      <c r="B39" s="19">
        <v>45033</v>
      </c>
      <c r="C39" s="20">
        <v>4.4444444444444398E-2</v>
      </c>
      <c r="D39" s="20">
        <v>4.7916666666666698E-2</v>
      </c>
      <c r="E39" s="20">
        <v>3.4722222222222199E-3</v>
      </c>
      <c r="F39" s="21" t="s">
        <v>691</v>
      </c>
      <c r="G39" t="str">
        <f>VLOOKUP(F39,'Tipo Parada Fab 2'!$A$1:$B$105,2,FALSE())</f>
        <v>NP</v>
      </c>
      <c r="H39">
        <f t="shared" si="2"/>
        <v>0</v>
      </c>
      <c r="I39" s="22">
        <f t="shared" si="3"/>
        <v>3.4722222222222199E-3</v>
      </c>
    </row>
    <row r="40" spans="1:9" x14ac:dyDescent="0.3">
      <c r="A40" s="18" t="s">
        <v>683</v>
      </c>
      <c r="B40" s="19">
        <v>45034</v>
      </c>
      <c r="C40" s="20">
        <v>0.11874999999999999</v>
      </c>
      <c r="D40" s="20">
        <v>0.120833333333333</v>
      </c>
      <c r="E40" s="20">
        <v>2.0833333333333298E-3</v>
      </c>
      <c r="F40" s="21" t="s">
        <v>695</v>
      </c>
      <c r="G40" t="str">
        <f>VLOOKUP(F40,'Tipo Parada Fab 2'!$A$1:$B$105,2,FALSE())</f>
        <v>NP</v>
      </c>
      <c r="H40">
        <f t="shared" si="2"/>
        <v>0</v>
      </c>
      <c r="I40" s="22">
        <f t="shared" si="3"/>
        <v>2.0833333333333298E-3</v>
      </c>
    </row>
    <row r="41" spans="1:9" x14ac:dyDescent="0.3">
      <c r="A41" s="18" t="s">
        <v>683</v>
      </c>
      <c r="B41" s="19">
        <v>45034</v>
      </c>
      <c r="C41" s="20">
        <v>0.47847222222222202</v>
      </c>
      <c r="D41" s="20">
        <v>0.48055555555555601</v>
      </c>
      <c r="E41" s="20">
        <v>2.0833333333333801E-3</v>
      </c>
      <c r="F41" s="21" t="s">
        <v>695</v>
      </c>
      <c r="G41" t="str">
        <f>VLOOKUP(F41,'Tipo Parada Fab 2'!$A$1:$B$105,2,FALSE())</f>
        <v>NP</v>
      </c>
      <c r="H41">
        <f t="shared" si="2"/>
        <v>0</v>
      </c>
      <c r="I41" s="22">
        <f t="shared" si="3"/>
        <v>2.0833333333333801E-3</v>
      </c>
    </row>
    <row r="42" spans="1:9" x14ac:dyDescent="0.3">
      <c r="A42" s="18" t="s">
        <v>683</v>
      </c>
      <c r="B42" s="19">
        <v>45034</v>
      </c>
      <c r="C42" s="20">
        <v>0.484027777777778</v>
      </c>
      <c r="D42" s="20">
        <v>0.48819444444444399</v>
      </c>
      <c r="E42" s="20">
        <v>4.1666666666666501E-3</v>
      </c>
      <c r="F42" s="21" t="s">
        <v>695</v>
      </c>
      <c r="G42" t="str">
        <f>VLOOKUP(F42,'Tipo Parada Fab 2'!$A$1:$B$105,2,FALSE())</f>
        <v>NP</v>
      </c>
      <c r="H42">
        <f t="shared" si="2"/>
        <v>0</v>
      </c>
      <c r="I42" s="22">
        <f t="shared" si="3"/>
        <v>4.1666666666666501E-3</v>
      </c>
    </row>
    <row r="43" spans="1:9" x14ac:dyDescent="0.3">
      <c r="A43" s="18" t="s">
        <v>683</v>
      </c>
      <c r="B43" s="19">
        <v>45034</v>
      </c>
      <c r="C43" s="20">
        <v>0.49027777777777798</v>
      </c>
      <c r="D43" s="20">
        <v>0.50208333333333299</v>
      </c>
      <c r="E43" s="20">
        <v>1.18055555555555E-2</v>
      </c>
      <c r="F43" s="21" t="s">
        <v>695</v>
      </c>
      <c r="G43" t="str">
        <f>VLOOKUP(F43,'Tipo Parada Fab 2'!$A$1:$B$105,2,FALSE())</f>
        <v>NP</v>
      </c>
      <c r="H43">
        <f t="shared" si="2"/>
        <v>0</v>
      </c>
      <c r="I43" s="22">
        <f t="shared" si="3"/>
        <v>1.18055555555555E-2</v>
      </c>
    </row>
    <row r="44" spans="1:9" x14ac:dyDescent="0.3">
      <c r="A44" s="18" t="s">
        <v>683</v>
      </c>
      <c r="B44" s="19">
        <v>45034</v>
      </c>
      <c r="C44" s="20">
        <v>0.50208333333333299</v>
      </c>
      <c r="D44" s="20">
        <v>0.50833333333333297</v>
      </c>
      <c r="E44" s="20">
        <v>6.2499999999999804E-3</v>
      </c>
      <c r="F44" s="21" t="s">
        <v>695</v>
      </c>
      <c r="G44" t="str">
        <f>VLOOKUP(F44,'Tipo Parada Fab 2'!$A$1:$B$105,2,FALSE())</f>
        <v>NP</v>
      </c>
      <c r="H44">
        <f t="shared" si="2"/>
        <v>0</v>
      </c>
      <c r="I44" s="22">
        <f t="shared" si="3"/>
        <v>6.2499999999999804E-3</v>
      </c>
    </row>
    <row r="45" spans="1:9" x14ac:dyDescent="0.3">
      <c r="A45" s="18" t="s">
        <v>683</v>
      </c>
      <c r="B45" s="19">
        <v>45034</v>
      </c>
      <c r="C45" s="20">
        <v>0.51805555555555605</v>
      </c>
      <c r="D45" s="20">
        <v>0.52083333333333304</v>
      </c>
      <c r="E45" s="20">
        <v>2.7777777777777701E-3</v>
      </c>
      <c r="F45" s="21" t="s">
        <v>695</v>
      </c>
      <c r="G45" t="str">
        <f>VLOOKUP(F45,'Tipo Parada Fab 2'!$A$1:$B$105,2,FALSE())</f>
        <v>NP</v>
      </c>
      <c r="H45">
        <f t="shared" si="2"/>
        <v>0</v>
      </c>
      <c r="I45" s="22">
        <f t="shared" si="3"/>
        <v>2.7777777777777701E-3</v>
      </c>
    </row>
    <row r="46" spans="1:9" x14ac:dyDescent="0.3">
      <c r="A46" s="18" t="s">
        <v>683</v>
      </c>
      <c r="B46" s="19">
        <v>45034</v>
      </c>
      <c r="C46" s="20">
        <v>0.74652777777777801</v>
      </c>
      <c r="D46" s="20">
        <v>0.8125</v>
      </c>
      <c r="E46" s="20">
        <v>6.5972222222222196E-2</v>
      </c>
      <c r="F46" s="21" t="s">
        <v>685</v>
      </c>
      <c r="G46" t="str">
        <f>VLOOKUP(F46,'Tipo Parada Fab 2'!$A$1:$B$105,2,FALSE())</f>
        <v>P</v>
      </c>
      <c r="H46" s="22">
        <f t="shared" si="2"/>
        <v>6.5972222222222196E-2</v>
      </c>
      <c r="I46">
        <f t="shared" si="3"/>
        <v>0</v>
      </c>
    </row>
    <row r="47" spans="1:9" x14ac:dyDescent="0.3">
      <c r="A47" s="18" t="s">
        <v>683</v>
      </c>
      <c r="B47" s="19">
        <v>45034</v>
      </c>
      <c r="C47" s="20">
        <v>0.8125</v>
      </c>
      <c r="D47" s="20">
        <v>0.87708333333333299</v>
      </c>
      <c r="E47" s="20">
        <v>6.4583333333333298E-2</v>
      </c>
      <c r="F47" s="21" t="s">
        <v>685</v>
      </c>
      <c r="G47" t="str">
        <f>VLOOKUP(F47,'Tipo Parada Fab 2'!$A$1:$B$105,2,FALSE())</f>
        <v>P</v>
      </c>
      <c r="H47" s="22">
        <f t="shared" si="2"/>
        <v>6.4583333333333298E-2</v>
      </c>
      <c r="I47">
        <f t="shared" si="3"/>
        <v>0</v>
      </c>
    </row>
    <row r="48" spans="1:9" x14ac:dyDescent="0.3">
      <c r="A48" s="18" t="s">
        <v>683</v>
      </c>
      <c r="B48" s="19">
        <v>45035</v>
      </c>
      <c r="C48" s="20">
        <v>0.11874999999999999</v>
      </c>
      <c r="D48" s="20">
        <v>0.120833333333333</v>
      </c>
      <c r="E48" s="20">
        <v>2.0833333333333298E-3</v>
      </c>
      <c r="F48" s="21" t="s">
        <v>695</v>
      </c>
      <c r="G48" t="str">
        <f>VLOOKUP(F48,'Tipo Parada Fab 2'!$A$1:$B$105,2,FALSE())</f>
        <v>NP</v>
      </c>
      <c r="H48">
        <f t="shared" si="2"/>
        <v>0</v>
      </c>
      <c r="I48" s="22">
        <f t="shared" si="3"/>
        <v>2.0833333333333298E-3</v>
      </c>
    </row>
    <row r="49" spans="1:9" x14ac:dyDescent="0.3">
      <c r="A49" s="18" t="s">
        <v>683</v>
      </c>
      <c r="B49" s="19">
        <v>45035</v>
      </c>
      <c r="C49" s="20">
        <v>0.74756944444444395</v>
      </c>
      <c r="D49" s="20">
        <v>0.8125</v>
      </c>
      <c r="E49" s="20">
        <v>6.4930555555555602E-2</v>
      </c>
      <c r="F49" s="21" t="s">
        <v>685</v>
      </c>
      <c r="G49" t="str">
        <f>VLOOKUP(F49,'Tipo Parada Fab 2'!$A$1:$B$105,2,FALSE())</f>
        <v>P</v>
      </c>
      <c r="H49" s="22">
        <f t="shared" si="2"/>
        <v>6.4930555555555602E-2</v>
      </c>
      <c r="I49">
        <f t="shared" si="3"/>
        <v>0</v>
      </c>
    </row>
    <row r="50" spans="1:9" x14ac:dyDescent="0.3">
      <c r="A50" s="18" t="s">
        <v>683</v>
      </c>
      <c r="B50" s="19">
        <v>45035</v>
      </c>
      <c r="C50" s="20">
        <v>0.8125</v>
      </c>
      <c r="D50" s="20">
        <v>0.875694444444444</v>
      </c>
      <c r="E50" s="20">
        <v>6.31944444444444E-2</v>
      </c>
      <c r="F50" s="21" t="s">
        <v>685</v>
      </c>
      <c r="G50" t="str">
        <f>VLOOKUP(F50,'Tipo Parada Fab 2'!$A$1:$B$105,2,FALSE())</f>
        <v>P</v>
      </c>
      <c r="H50" s="22">
        <f t="shared" si="2"/>
        <v>6.31944444444444E-2</v>
      </c>
      <c r="I50">
        <f t="shared" si="3"/>
        <v>0</v>
      </c>
    </row>
    <row r="51" spans="1:9" x14ac:dyDescent="0.3">
      <c r="A51" s="18" t="s">
        <v>683</v>
      </c>
      <c r="B51" s="19">
        <v>45035</v>
      </c>
      <c r="C51" s="20">
        <v>0.97152777777777799</v>
      </c>
      <c r="D51" s="20">
        <v>0.97430555555555598</v>
      </c>
      <c r="E51" s="20">
        <v>2.7777777777777701E-3</v>
      </c>
      <c r="F51" s="21" t="s">
        <v>695</v>
      </c>
      <c r="G51" t="str">
        <f>VLOOKUP(F51,'Tipo Parada Fab 2'!$A$1:$B$105,2,FALSE())</f>
        <v>NP</v>
      </c>
      <c r="H51">
        <f t="shared" si="2"/>
        <v>0</v>
      </c>
      <c r="I51" s="22">
        <f t="shared" si="3"/>
        <v>2.7777777777777701E-3</v>
      </c>
    </row>
    <row r="52" spans="1:9" x14ac:dyDescent="0.3">
      <c r="A52" s="18" t="s">
        <v>683</v>
      </c>
      <c r="B52" s="19">
        <v>45036</v>
      </c>
      <c r="C52" s="20">
        <v>6.31944444444444E-2</v>
      </c>
      <c r="D52" s="20">
        <v>6.5972222222222196E-2</v>
      </c>
      <c r="E52" s="20">
        <v>2.7777777777777801E-3</v>
      </c>
      <c r="F52" s="21" t="s">
        <v>695</v>
      </c>
      <c r="G52" t="str">
        <f>VLOOKUP(F52,'Tipo Parada Fab 2'!$A$1:$B$105,2,FALSE())</f>
        <v>NP</v>
      </c>
      <c r="H52">
        <f t="shared" si="2"/>
        <v>0</v>
      </c>
      <c r="I52" s="22">
        <f t="shared" si="3"/>
        <v>2.7777777777777801E-3</v>
      </c>
    </row>
    <row r="53" spans="1:9" x14ac:dyDescent="0.3">
      <c r="A53" s="18" t="s">
        <v>683</v>
      </c>
      <c r="B53" s="19">
        <v>45036</v>
      </c>
      <c r="C53" s="20">
        <v>0.114583333333333</v>
      </c>
      <c r="D53" s="20">
        <v>0.116666666666667</v>
      </c>
      <c r="E53" s="20">
        <v>2.0833333333333298E-3</v>
      </c>
      <c r="F53" s="21" t="s">
        <v>695</v>
      </c>
      <c r="G53" t="str">
        <f>VLOOKUP(F53,'Tipo Parada Fab 2'!$A$1:$B$105,2,FALSE())</f>
        <v>NP</v>
      </c>
      <c r="H53">
        <f t="shared" si="2"/>
        <v>0</v>
      </c>
      <c r="I53" s="22">
        <f t="shared" si="3"/>
        <v>2.0833333333333298E-3</v>
      </c>
    </row>
    <row r="54" spans="1:9" x14ac:dyDescent="0.3">
      <c r="A54" s="18" t="s">
        <v>683</v>
      </c>
      <c r="B54" s="19">
        <v>45036</v>
      </c>
      <c r="C54" s="20">
        <v>0.15902777777777799</v>
      </c>
      <c r="D54" s="20">
        <v>0.16180555555555601</v>
      </c>
      <c r="E54" s="20">
        <v>2.7777777777778E-3</v>
      </c>
      <c r="F54" s="21" t="s">
        <v>695</v>
      </c>
      <c r="G54" t="str">
        <f>VLOOKUP(F54,'Tipo Parada Fab 2'!$A$1:$B$105,2,FALSE())</f>
        <v>NP</v>
      </c>
      <c r="H54">
        <f t="shared" si="2"/>
        <v>0</v>
      </c>
      <c r="I54" s="22">
        <f t="shared" si="3"/>
        <v>2.7777777777778E-3</v>
      </c>
    </row>
    <row r="55" spans="1:9" x14ac:dyDescent="0.3">
      <c r="A55" s="18" t="s">
        <v>683</v>
      </c>
      <c r="B55" s="19">
        <v>45036</v>
      </c>
      <c r="C55" s="20">
        <v>0.20902777777777801</v>
      </c>
      <c r="D55" s="20">
        <v>0.21249999999999999</v>
      </c>
      <c r="E55" s="20">
        <v>3.4722222222222099E-3</v>
      </c>
      <c r="F55" s="21" t="s">
        <v>695</v>
      </c>
      <c r="G55" t="str">
        <f>VLOOKUP(F55,'Tipo Parada Fab 2'!$A$1:$B$105,2,FALSE())</f>
        <v>NP</v>
      </c>
      <c r="H55">
        <f t="shared" si="2"/>
        <v>0</v>
      </c>
      <c r="I55" s="22">
        <f t="shared" si="3"/>
        <v>3.4722222222222099E-3</v>
      </c>
    </row>
    <row r="56" spans="1:9" x14ac:dyDescent="0.3">
      <c r="A56" s="18" t="s">
        <v>683</v>
      </c>
      <c r="B56" s="19">
        <v>45036</v>
      </c>
      <c r="C56" s="20">
        <v>0.74861111111111101</v>
      </c>
      <c r="D56" s="20">
        <v>0.8125</v>
      </c>
      <c r="E56" s="20">
        <v>6.3888888888888995E-2</v>
      </c>
      <c r="F56" s="21" t="s">
        <v>685</v>
      </c>
      <c r="G56" t="str">
        <f>VLOOKUP(F56,'Tipo Parada Fab 2'!$A$1:$B$105,2,FALSE())</f>
        <v>P</v>
      </c>
      <c r="H56" s="22">
        <f t="shared" si="2"/>
        <v>6.3888888888888995E-2</v>
      </c>
      <c r="I56">
        <f t="shared" si="3"/>
        <v>0</v>
      </c>
    </row>
    <row r="57" spans="1:9" x14ac:dyDescent="0.3">
      <c r="A57" s="18" t="s">
        <v>683</v>
      </c>
      <c r="B57" s="19">
        <v>45037</v>
      </c>
      <c r="C57" s="20">
        <v>6.31944444444444E-2</v>
      </c>
      <c r="D57" s="20">
        <v>6.5972222222222196E-2</v>
      </c>
      <c r="E57" s="20">
        <v>2.7777777777777801E-3</v>
      </c>
      <c r="F57" s="21" t="s">
        <v>695</v>
      </c>
      <c r="G57" t="str">
        <f>VLOOKUP(F57,'Tipo Parada Fab 2'!$A$1:$B$105,2,FALSE())</f>
        <v>NP</v>
      </c>
      <c r="H57">
        <f t="shared" si="2"/>
        <v>0</v>
      </c>
      <c r="I57" s="22">
        <f t="shared" si="3"/>
        <v>2.7777777777777801E-3</v>
      </c>
    </row>
    <row r="58" spans="1:9" x14ac:dyDescent="0.3">
      <c r="A58" s="18" t="s">
        <v>683</v>
      </c>
      <c r="B58" s="19">
        <v>45037</v>
      </c>
      <c r="C58" s="20">
        <v>0.114583333333333</v>
      </c>
      <c r="D58" s="20">
        <v>0.116666666666667</v>
      </c>
      <c r="E58" s="20">
        <v>2.0833333333333298E-3</v>
      </c>
      <c r="F58" s="21" t="s">
        <v>695</v>
      </c>
      <c r="G58" t="str">
        <f>VLOOKUP(F58,'Tipo Parada Fab 2'!$A$1:$B$105,2,FALSE())</f>
        <v>NP</v>
      </c>
      <c r="H58">
        <f t="shared" si="2"/>
        <v>0</v>
      </c>
      <c r="I58" s="22">
        <f t="shared" si="3"/>
        <v>2.0833333333333298E-3</v>
      </c>
    </row>
    <row r="59" spans="1:9" x14ac:dyDescent="0.3">
      <c r="A59" s="18" t="s">
        <v>683</v>
      </c>
      <c r="B59" s="19">
        <v>45037</v>
      </c>
      <c r="C59" s="20">
        <v>0.15902777777777799</v>
      </c>
      <c r="D59" s="20">
        <v>0.16180555555555601</v>
      </c>
      <c r="E59" s="20">
        <v>2.7777777777778E-3</v>
      </c>
      <c r="F59" s="21" t="s">
        <v>695</v>
      </c>
      <c r="G59" t="str">
        <f>VLOOKUP(F59,'Tipo Parada Fab 2'!$A$1:$B$105,2,FALSE())</f>
        <v>NP</v>
      </c>
      <c r="H59">
        <f t="shared" si="2"/>
        <v>0</v>
      </c>
      <c r="I59" s="22">
        <f t="shared" si="3"/>
        <v>2.7777777777778E-3</v>
      </c>
    </row>
    <row r="60" spans="1:9" x14ac:dyDescent="0.3">
      <c r="A60" s="18" t="s">
        <v>683</v>
      </c>
      <c r="B60" s="19">
        <v>45037</v>
      </c>
      <c r="C60" s="20">
        <v>0.20902777777777801</v>
      </c>
      <c r="D60" s="20">
        <v>0.21249999999999999</v>
      </c>
      <c r="E60" s="20">
        <v>3.4722222222222099E-3</v>
      </c>
      <c r="F60" s="21" t="s">
        <v>695</v>
      </c>
      <c r="G60" t="str">
        <f>VLOOKUP(F60,'Tipo Parada Fab 2'!$A$1:$B$105,2,FALSE())</f>
        <v>NP</v>
      </c>
      <c r="H60">
        <f t="shared" si="2"/>
        <v>0</v>
      </c>
      <c r="I60" s="22">
        <f t="shared" si="3"/>
        <v>3.4722222222222099E-3</v>
      </c>
    </row>
    <row r="61" spans="1:9" x14ac:dyDescent="0.3">
      <c r="A61" s="18" t="s">
        <v>683</v>
      </c>
      <c r="B61" s="19">
        <v>45037</v>
      </c>
      <c r="C61" s="20">
        <v>0.28125</v>
      </c>
      <c r="D61" s="20">
        <v>0.28333333333333299</v>
      </c>
      <c r="E61" s="20">
        <v>2.0833333333333298E-3</v>
      </c>
      <c r="F61" s="21" t="s">
        <v>695</v>
      </c>
      <c r="G61" t="str">
        <f>VLOOKUP(F61,'Tipo Parada Fab 2'!$A$1:$B$105,2,FALSE())</f>
        <v>NP</v>
      </c>
      <c r="H61">
        <f t="shared" si="2"/>
        <v>0</v>
      </c>
      <c r="I61" s="22">
        <f t="shared" si="3"/>
        <v>2.0833333333333298E-3</v>
      </c>
    </row>
    <row r="62" spans="1:9" x14ac:dyDescent="0.3">
      <c r="A62" s="18" t="s">
        <v>683</v>
      </c>
      <c r="B62" s="19">
        <v>45038</v>
      </c>
      <c r="C62" s="20">
        <v>0.1125</v>
      </c>
      <c r="D62" s="20">
        <v>0.120833333333333</v>
      </c>
      <c r="E62" s="20">
        <v>8.3333333333333297E-3</v>
      </c>
      <c r="F62" s="21" t="s">
        <v>696</v>
      </c>
      <c r="G62" t="str">
        <f>VLOOKUP(F62,'Tipo Parada Fab 2'!$A$1:$B$105,2,FALSE())</f>
        <v>NP</v>
      </c>
      <c r="H62">
        <f t="shared" si="2"/>
        <v>0</v>
      </c>
      <c r="I62" s="22">
        <f t="shared" si="3"/>
        <v>8.3333333333333297E-3</v>
      </c>
    </row>
    <row r="63" spans="1:9" x14ac:dyDescent="0.3">
      <c r="A63" s="18" t="s">
        <v>683</v>
      </c>
      <c r="B63" s="19">
        <v>45039</v>
      </c>
      <c r="C63" s="20">
        <v>0.1125</v>
      </c>
      <c r="D63" s="20">
        <v>0.120833333333333</v>
      </c>
      <c r="E63" s="20">
        <v>8.3333333333333297E-3</v>
      </c>
      <c r="F63" s="21" t="s">
        <v>696</v>
      </c>
      <c r="G63" t="str">
        <f>VLOOKUP(F63,'Tipo Parada Fab 2'!$A$1:$B$105,2,FALSE())</f>
        <v>NP</v>
      </c>
      <c r="H63">
        <f t="shared" si="2"/>
        <v>0</v>
      </c>
      <c r="I63" s="22">
        <f t="shared" si="3"/>
        <v>8.3333333333333297E-3</v>
      </c>
    </row>
    <row r="64" spans="1:9" x14ac:dyDescent="0.3">
      <c r="A64" s="18" t="s">
        <v>683</v>
      </c>
      <c r="B64" s="19">
        <v>45040</v>
      </c>
      <c r="C64" s="20">
        <v>0.74791666666666701</v>
      </c>
      <c r="D64" s="20">
        <v>0.8125</v>
      </c>
      <c r="E64" s="20">
        <v>6.4583333333333298E-2</v>
      </c>
      <c r="F64" s="21" t="s">
        <v>685</v>
      </c>
      <c r="G64" t="str">
        <f>VLOOKUP(F64,'Tipo Parada Fab 2'!$A$1:$B$105,2,FALSE())</f>
        <v>P</v>
      </c>
      <c r="H64" s="22">
        <f t="shared" si="2"/>
        <v>6.4583333333333298E-2</v>
      </c>
      <c r="I64">
        <f t="shared" si="3"/>
        <v>0</v>
      </c>
    </row>
    <row r="65" spans="1:9" x14ac:dyDescent="0.3">
      <c r="A65" s="18" t="s">
        <v>683</v>
      </c>
      <c r="B65" s="19">
        <v>45040</v>
      </c>
      <c r="C65" s="20">
        <v>0.8125</v>
      </c>
      <c r="D65" s="20">
        <v>0.87534722222222205</v>
      </c>
      <c r="E65" s="20">
        <v>6.2847222222222193E-2</v>
      </c>
      <c r="F65" s="21" t="s">
        <v>685</v>
      </c>
      <c r="G65" t="str">
        <f>VLOOKUP(F65,'Tipo Parada Fab 2'!$A$1:$B$105,2,FALSE())</f>
        <v>P</v>
      </c>
      <c r="H65" s="22">
        <f t="shared" si="2"/>
        <v>6.2847222222222193E-2</v>
      </c>
      <c r="I65">
        <f t="shared" si="3"/>
        <v>0</v>
      </c>
    </row>
    <row r="66" spans="1:9" x14ac:dyDescent="0.3">
      <c r="A66" s="18" t="s">
        <v>683</v>
      </c>
      <c r="B66" s="19">
        <v>45041</v>
      </c>
      <c r="C66" s="20">
        <v>0.74722222222222201</v>
      </c>
      <c r="D66" s="20">
        <v>0.8125</v>
      </c>
      <c r="E66" s="20">
        <v>6.5277777777777796E-2</v>
      </c>
      <c r="F66" s="21" t="s">
        <v>685</v>
      </c>
      <c r="G66" t="str">
        <f>VLOOKUP(F66,'Tipo Parada Fab 2'!$A$1:$B$105,2,FALSE())</f>
        <v>P</v>
      </c>
      <c r="H66" s="22">
        <f t="shared" ref="H66:H97" si="4">IF(G66="P",E66,0)</f>
        <v>6.5277777777777796E-2</v>
      </c>
      <c r="I66">
        <f t="shared" ref="I66:I78" si="5">IF(G66="NP",E66,0)</f>
        <v>0</v>
      </c>
    </row>
    <row r="67" spans="1:9" x14ac:dyDescent="0.3">
      <c r="A67" s="18" t="s">
        <v>683</v>
      </c>
      <c r="B67" s="19">
        <v>45041</v>
      </c>
      <c r="C67" s="20">
        <v>0.8125</v>
      </c>
      <c r="D67" s="20">
        <v>0.875694444444444</v>
      </c>
      <c r="E67" s="20">
        <v>6.31944444444444E-2</v>
      </c>
      <c r="F67" s="21" t="s">
        <v>685</v>
      </c>
      <c r="G67" t="str">
        <f>VLOOKUP(F67,'Tipo Parada Fab 2'!$A$1:$B$105,2,FALSE())</f>
        <v>P</v>
      </c>
      <c r="H67" s="22">
        <f t="shared" si="4"/>
        <v>6.31944444444444E-2</v>
      </c>
      <c r="I67">
        <f t="shared" si="5"/>
        <v>0</v>
      </c>
    </row>
    <row r="68" spans="1:9" x14ac:dyDescent="0.3">
      <c r="A68" s="18" t="s">
        <v>683</v>
      </c>
      <c r="B68" s="19">
        <v>45042</v>
      </c>
      <c r="C68" s="20">
        <v>0.74722222222222201</v>
      </c>
      <c r="D68" s="20">
        <v>0.8125</v>
      </c>
      <c r="E68" s="20">
        <v>6.5277777777777796E-2</v>
      </c>
      <c r="F68" s="21" t="s">
        <v>685</v>
      </c>
      <c r="G68" t="str">
        <f>VLOOKUP(F68,'Tipo Parada Fab 2'!$A$1:$B$105,2,FALSE())</f>
        <v>P</v>
      </c>
      <c r="H68" s="22">
        <f t="shared" si="4"/>
        <v>6.5277777777777796E-2</v>
      </c>
      <c r="I68">
        <f t="shared" si="5"/>
        <v>0</v>
      </c>
    </row>
    <row r="69" spans="1:9" x14ac:dyDescent="0.3">
      <c r="A69" s="18" t="s">
        <v>683</v>
      </c>
      <c r="B69" s="19">
        <v>45042</v>
      </c>
      <c r="C69" s="20">
        <v>0.8125</v>
      </c>
      <c r="D69" s="20">
        <v>0.875694444444444</v>
      </c>
      <c r="E69" s="20">
        <v>6.31944444444444E-2</v>
      </c>
      <c r="F69" s="21" t="s">
        <v>685</v>
      </c>
      <c r="G69" t="str">
        <f>VLOOKUP(F69,'Tipo Parada Fab 2'!$A$1:$B$105,2,FALSE())</f>
        <v>P</v>
      </c>
      <c r="H69" s="22">
        <f t="shared" si="4"/>
        <v>6.31944444444444E-2</v>
      </c>
      <c r="I69">
        <f t="shared" si="5"/>
        <v>0</v>
      </c>
    </row>
    <row r="70" spans="1:9" x14ac:dyDescent="0.3">
      <c r="A70" s="18" t="s">
        <v>683</v>
      </c>
      <c r="B70" s="19">
        <v>45043</v>
      </c>
      <c r="C70" s="20">
        <v>0.74791666666666701</v>
      </c>
      <c r="D70" s="20">
        <v>0.8125</v>
      </c>
      <c r="E70" s="20">
        <v>6.4583333333333298E-2</v>
      </c>
      <c r="F70" s="21" t="s">
        <v>685</v>
      </c>
      <c r="G70" t="str">
        <f>VLOOKUP(F70,'Tipo Parada Fab 2'!$A$1:$B$105,2,FALSE())</f>
        <v>P</v>
      </c>
      <c r="H70" s="22">
        <f t="shared" si="4"/>
        <v>6.4583333333333298E-2</v>
      </c>
      <c r="I70">
        <f t="shared" si="5"/>
        <v>0</v>
      </c>
    </row>
    <row r="71" spans="1:9" x14ac:dyDescent="0.3">
      <c r="A71" s="18" t="s">
        <v>683</v>
      </c>
      <c r="B71" s="19">
        <v>45043</v>
      </c>
      <c r="C71" s="20">
        <v>0.8125</v>
      </c>
      <c r="D71" s="20">
        <v>0.87847222222222199</v>
      </c>
      <c r="E71" s="20">
        <v>6.5972222222222196E-2</v>
      </c>
      <c r="F71" s="21" t="s">
        <v>685</v>
      </c>
      <c r="G71" t="str">
        <f>VLOOKUP(F71,'Tipo Parada Fab 2'!$A$1:$B$105,2,FALSE())</f>
        <v>P</v>
      </c>
      <c r="H71" s="22">
        <f t="shared" si="4"/>
        <v>6.5972222222222196E-2</v>
      </c>
      <c r="I71">
        <f t="shared" si="5"/>
        <v>0</v>
      </c>
    </row>
    <row r="72" spans="1:9" x14ac:dyDescent="0.3">
      <c r="A72" s="18" t="s">
        <v>683</v>
      </c>
      <c r="B72" s="19">
        <v>45044</v>
      </c>
      <c r="C72" s="20">
        <v>0.375694444444444</v>
      </c>
      <c r="D72" s="20">
        <v>0.37986111111111098</v>
      </c>
      <c r="E72" s="20">
        <v>4.1666666666666501E-3</v>
      </c>
      <c r="F72" s="21" t="s">
        <v>695</v>
      </c>
      <c r="G72" t="str">
        <f>VLOOKUP(F72,'Tipo Parada Fab 2'!$A$1:$B$105,2,FALSE())</f>
        <v>NP</v>
      </c>
      <c r="H72">
        <f t="shared" si="4"/>
        <v>0</v>
      </c>
      <c r="I72" s="22">
        <f t="shared" si="5"/>
        <v>4.1666666666666501E-3</v>
      </c>
    </row>
    <row r="73" spans="1:9" x14ac:dyDescent="0.3">
      <c r="A73" s="18" t="s">
        <v>683</v>
      </c>
      <c r="B73" s="19">
        <v>45044</v>
      </c>
      <c r="C73" s="20">
        <v>0.59097222222222201</v>
      </c>
      <c r="D73" s="20">
        <v>0.59861111111111098</v>
      </c>
      <c r="E73" s="20">
        <v>7.63888888888886E-3</v>
      </c>
      <c r="F73" s="21" t="s">
        <v>691</v>
      </c>
      <c r="G73" t="str">
        <f>VLOOKUP(F73,'Tipo Parada Fab 2'!$A$1:$B$105,2,FALSE())</f>
        <v>NP</v>
      </c>
      <c r="H73">
        <f t="shared" si="4"/>
        <v>0</v>
      </c>
      <c r="I73" s="22">
        <f t="shared" si="5"/>
        <v>7.63888888888886E-3</v>
      </c>
    </row>
    <row r="74" spans="1:9" x14ac:dyDescent="0.3">
      <c r="A74" s="18" t="s">
        <v>683</v>
      </c>
      <c r="B74" s="19">
        <v>45044</v>
      </c>
      <c r="C74" s="20">
        <v>0.74722222222222201</v>
      </c>
      <c r="D74" s="20">
        <v>0.8125</v>
      </c>
      <c r="E74" s="20">
        <v>6.5277777777777796E-2</v>
      </c>
      <c r="F74" s="21" t="s">
        <v>685</v>
      </c>
      <c r="G74" t="str">
        <f>VLOOKUP(F74,'Tipo Parada Fab 2'!$A$1:$B$105,2,FALSE())</f>
        <v>P</v>
      </c>
      <c r="H74" s="22">
        <f t="shared" si="4"/>
        <v>6.5277777777777796E-2</v>
      </c>
      <c r="I74">
        <f t="shared" si="5"/>
        <v>0</v>
      </c>
    </row>
    <row r="75" spans="1:9" x14ac:dyDescent="0.3">
      <c r="A75" s="18" t="s">
        <v>683</v>
      </c>
      <c r="B75" s="19">
        <v>45044</v>
      </c>
      <c r="C75" s="20">
        <v>0.8125</v>
      </c>
      <c r="D75" s="20">
        <v>0.875694444444444</v>
      </c>
      <c r="E75" s="20">
        <v>6.31944444444444E-2</v>
      </c>
      <c r="F75" s="21" t="s">
        <v>685</v>
      </c>
      <c r="G75" t="str">
        <f>VLOOKUP(F75,'Tipo Parada Fab 2'!$A$1:$B$105,2,FALSE())</f>
        <v>P</v>
      </c>
      <c r="H75" s="22">
        <f t="shared" si="4"/>
        <v>6.31944444444444E-2</v>
      </c>
      <c r="I75">
        <f t="shared" si="5"/>
        <v>0</v>
      </c>
    </row>
    <row r="76" spans="1:9" x14ac:dyDescent="0.3">
      <c r="A76" s="18" t="s">
        <v>683</v>
      </c>
      <c r="B76" s="19">
        <v>45045</v>
      </c>
      <c r="C76" s="20">
        <v>0.57847222222222205</v>
      </c>
      <c r="D76" s="20">
        <v>0.58194444444444404</v>
      </c>
      <c r="E76" s="20">
        <v>3.47222222222232E-3</v>
      </c>
      <c r="F76" s="21" t="s">
        <v>697</v>
      </c>
      <c r="G76" t="str">
        <f>VLOOKUP(F76,'Tipo Parada Fab 2'!$A$1:$B$105,2,FALSE())</f>
        <v>NP</v>
      </c>
      <c r="H76">
        <f t="shared" si="4"/>
        <v>0</v>
      </c>
      <c r="I76" s="22">
        <f t="shared" si="5"/>
        <v>3.47222222222232E-3</v>
      </c>
    </row>
    <row r="77" spans="1:9" x14ac:dyDescent="0.3">
      <c r="A77" s="18" t="s">
        <v>683</v>
      </c>
      <c r="B77" s="19">
        <v>45045</v>
      </c>
      <c r="C77" s="20">
        <v>0.61666666666666703</v>
      </c>
      <c r="D77" s="20">
        <v>0.79444444444444395</v>
      </c>
      <c r="E77" s="20">
        <v>0.17777777777777801</v>
      </c>
      <c r="F77" s="21" t="s">
        <v>698</v>
      </c>
      <c r="G77" t="str">
        <f>VLOOKUP(F77,'Tipo Parada Fab 2'!$A$1:$B$105,2,FALSE())</f>
        <v>NP</v>
      </c>
      <c r="H77">
        <f t="shared" si="4"/>
        <v>0</v>
      </c>
      <c r="I77" s="22">
        <f t="shared" si="5"/>
        <v>0.17777777777777801</v>
      </c>
    </row>
    <row r="78" spans="1:9" x14ac:dyDescent="0.3">
      <c r="A78" s="18" t="s">
        <v>683</v>
      </c>
      <c r="B78" s="19">
        <v>45045</v>
      </c>
      <c r="C78" s="20">
        <v>0.97638888888888897</v>
      </c>
      <c r="D78" s="20">
        <v>0.99305555555555503</v>
      </c>
      <c r="E78" s="20">
        <v>1.6666666666666601E-2</v>
      </c>
      <c r="F78" s="21" t="s">
        <v>699</v>
      </c>
      <c r="G78" t="str">
        <f>VLOOKUP(F78,'Tipo Parada Fab 2'!$A$1:$B$105,2,FALSE())</f>
        <v>NP</v>
      </c>
      <c r="H78">
        <f t="shared" si="4"/>
        <v>0</v>
      </c>
      <c r="I78" s="22">
        <f t="shared" si="5"/>
        <v>1.6666666666666601E-2</v>
      </c>
    </row>
    <row r="79" spans="1:9" x14ac:dyDescent="0.3">
      <c r="E79" s="22">
        <f>SUM(E2:E78)</f>
        <v>3.4211805555555541</v>
      </c>
      <c r="H79" s="22">
        <f>SUM(H2:H78)</f>
        <v>2.2732638888888888</v>
      </c>
      <c r="I79" s="22">
        <f>SUM(I2:I78)</f>
        <v>1.1479166666666656</v>
      </c>
    </row>
    <row r="81" spans="5:9" x14ac:dyDescent="0.3">
      <c r="E81" s="23"/>
      <c r="H81" s="23"/>
      <c r="I81" s="2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1"/>
  <sheetViews>
    <sheetView topLeftCell="A346" zoomScaleNormal="100" workbookViewId="0">
      <selection activeCell="F367" sqref="F367"/>
    </sheetView>
  </sheetViews>
  <sheetFormatPr defaultColWidth="8.44140625" defaultRowHeight="15.05" x14ac:dyDescent="0.3"/>
  <cols>
    <col min="2" max="2" width="10.5546875" customWidth="1"/>
    <col min="5" max="5" width="9.109375" customWidth="1"/>
    <col min="6" max="6" width="67.109375" customWidth="1"/>
    <col min="7" max="7" width="7.44140625" customWidth="1"/>
    <col min="8" max="8" width="9.109375" customWidth="1"/>
    <col min="9" max="9" width="12" customWidth="1"/>
  </cols>
  <sheetData>
    <row r="1" spans="1:9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G1" s="17" t="s">
        <v>28</v>
      </c>
      <c r="H1" s="17" t="s">
        <v>29</v>
      </c>
      <c r="I1" s="17" t="s">
        <v>30</v>
      </c>
    </row>
    <row r="2" spans="1:9" x14ac:dyDescent="0.3">
      <c r="A2" s="18" t="s">
        <v>700</v>
      </c>
      <c r="B2" s="19">
        <v>45017</v>
      </c>
      <c r="C2" s="20">
        <v>0.178472222222222</v>
      </c>
      <c r="D2" s="20">
        <v>0.18333333333333299</v>
      </c>
      <c r="E2" s="20">
        <v>4.8611111111111199E-3</v>
      </c>
      <c r="F2" s="21" t="s">
        <v>701</v>
      </c>
      <c r="G2" t="str">
        <f>VLOOKUP(F2,'Tipo Parada Fab 2'!$A$1:$B$105,2,FALSE())</f>
        <v>NP</v>
      </c>
      <c r="H2">
        <f t="shared" ref="H2:H65" si="0">IF(G2="P",E2,0)</f>
        <v>0</v>
      </c>
      <c r="I2">
        <f t="shared" ref="I2:I65" si="1">IF(G2="NP",E2,0)</f>
        <v>4.8611111111111199E-3</v>
      </c>
    </row>
    <row r="3" spans="1:9" x14ac:dyDescent="0.3">
      <c r="A3" s="18" t="s">
        <v>700</v>
      </c>
      <c r="B3" s="19">
        <v>45017</v>
      </c>
      <c r="C3" s="20">
        <v>0.195833333333333</v>
      </c>
      <c r="D3" s="20">
        <v>0.20486111111111099</v>
      </c>
      <c r="E3" s="20">
        <v>9.0277777777777995E-3</v>
      </c>
      <c r="F3" s="21" t="s">
        <v>701</v>
      </c>
      <c r="G3" t="str">
        <f>VLOOKUP(F3,'Tipo Parada Fab 2'!$A$1:$B$105,2,FALSE())</f>
        <v>NP</v>
      </c>
      <c r="H3">
        <f t="shared" si="0"/>
        <v>0</v>
      </c>
      <c r="I3" s="22">
        <f t="shared" si="1"/>
        <v>9.0277777777777995E-3</v>
      </c>
    </row>
    <row r="4" spans="1:9" x14ac:dyDescent="0.3">
      <c r="A4" s="18" t="s">
        <v>700</v>
      </c>
      <c r="B4" s="19">
        <v>45017</v>
      </c>
      <c r="C4" s="20">
        <v>0.52013888888888904</v>
      </c>
      <c r="D4" s="20">
        <v>0.52361111111111103</v>
      </c>
      <c r="E4" s="20">
        <v>3.47222222222232E-3</v>
      </c>
      <c r="F4" s="21" t="s">
        <v>702</v>
      </c>
      <c r="G4" t="str">
        <f>VLOOKUP(F4,'Tipo Parada Fab 2'!$A$1:$B$105,2,FALSE())</f>
        <v>NP</v>
      </c>
      <c r="H4">
        <f t="shared" si="0"/>
        <v>0</v>
      </c>
      <c r="I4" s="22">
        <f t="shared" si="1"/>
        <v>3.47222222222232E-3</v>
      </c>
    </row>
    <row r="5" spans="1:9" x14ac:dyDescent="0.3">
      <c r="A5" s="18" t="s">
        <v>700</v>
      </c>
      <c r="B5" s="19">
        <v>45017</v>
      </c>
      <c r="C5" s="20">
        <v>0.625694444444444</v>
      </c>
      <c r="D5" s="20">
        <v>0.62916666666666698</v>
      </c>
      <c r="E5" s="20">
        <v>3.4722222222222099E-3</v>
      </c>
      <c r="F5" s="21" t="s">
        <v>688</v>
      </c>
      <c r="G5" t="str">
        <f>VLOOKUP(F5,'Tipo Parada Fab 2'!$A$1:$B$105,2,FALSE())</f>
        <v>NP</v>
      </c>
      <c r="H5">
        <f t="shared" si="0"/>
        <v>0</v>
      </c>
      <c r="I5" s="22">
        <f t="shared" si="1"/>
        <v>3.4722222222222099E-3</v>
      </c>
    </row>
    <row r="6" spans="1:9" x14ac:dyDescent="0.3">
      <c r="A6" s="18" t="s">
        <v>700</v>
      </c>
      <c r="B6" s="19">
        <v>45018</v>
      </c>
      <c r="C6" s="20">
        <v>0.84027777777777801</v>
      </c>
      <c r="D6" s="20">
        <v>0.86805555555555503</v>
      </c>
      <c r="E6" s="20">
        <v>2.77777777777777E-2</v>
      </c>
      <c r="F6" s="21" t="s">
        <v>703</v>
      </c>
      <c r="G6" t="str">
        <f>VLOOKUP(F6,'Tipo Parada Fab 2'!$A$1:$B$105,2,FALSE())</f>
        <v>NP</v>
      </c>
      <c r="H6">
        <f t="shared" si="0"/>
        <v>0</v>
      </c>
      <c r="I6" s="22">
        <f t="shared" si="1"/>
        <v>2.77777777777777E-2</v>
      </c>
    </row>
    <row r="7" spans="1:9" x14ac:dyDescent="0.3">
      <c r="A7" s="18" t="s">
        <v>700</v>
      </c>
      <c r="B7" s="19">
        <v>45018</v>
      </c>
      <c r="C7" s="20">
        <v>0.84027777777777801</v>
      </c>
      <c r="D7" s="20">
        <v>0.88888888888888895</v>
      </c>
      <c r="E7" s="20">
        <v>4.8611111111111001E-2</v>
      </c>
      <c r="F7" s="21" t="s">
        <v>704</v>
      </c>
      <c r="G7" t="str">
        <f>VLOOKUP(F7,'Tipo Parada Fab 2'!$A$1:$B$105,2,FALSE())</f>
        <v>NP</v>
      </c>
      <c r="H7">
        <f t="shared" si="0"/>
        <v>0</v>
      </c>
      <c r="I7" s="22">
        <f t="shared" si="1"/>
        <v>4.8611111111111001E-2</v>
      </c>
    </row>
    <row r="8" spans="1:9" x14ac:dyDescent="0.3">
      <c r="A8" s="18" t="s">
        <v>700</v>
      </c>
      <c r="B8" s="19">
        <v>45019</v>
      </c>
      <c r="C8" s="20">
        <v>0.74791666666666701</v>
      </c>
      <c r="D8" s="20">
        <v>0.8125</v>
      </c>
      <c r="E8" s="20">
        <v>6.4583333333333298E-2</v>
      </c>
      <c r="F8" s="21" t="s">
        <v>685</v>
      </c>
      <c r="G8" t="str">
        <f>VLOOKUP(F8,'Tipo Parada Fab 2'!$A$1:$B$105,2,FALSE())</f>
        <v>P</v>
      </c>
      <c r="H8" s="22">
        <f t="shared" si="0"/>
        <v>6.4583333333333298E-2</v>
      </c>
      <c r="I8">
        <f t="shared" si="1"/>
        <v>0</v>
      </c>
    </row>
    <row r="9" spans="1:9" x14ac:dyDescent="0.3">
      <c r="A9" s="18" t="s">
        <v>700</v>
      </c>
      <c r="B9" s="19">
        <v>45019</v>
      </c>
      <c r="C9" s="20">
        <v>0.8125</v>
      </c>
      <c r="D9" s="20">
        <v>0.875</v>
      </c>
      <c r="E9" s="20">
        <v>6.25E-2</v>
      </c>
      <c r="F9" s="21" t="s">
        <v>685</v>
      </c>
      <c r="G9" t="str">
        <f>VLOOKUP(F9,'Tipo Parada Fab 2'!$A$1:$B$105,2,FALSE())</f>
        <v>P</v>
      </c>
      <c r="H9" s="22">
        <f t="shared" si="0"/>
        <v>6.25E-2</v>
      </c>
      <c r="I9">
        <f t="shared" si="1"/>
        <v>0</v>
      </c>
    </row>
    <row r="10" spans="1:9" x14ac:dyDescent="0.3">
      <c r="A10" s="18" t="s">
        <v>700</v>
      </c>
      <c r="B10" s="19">
        <v>45019</v>
      </c>
      <c r="C10" s="20">
        <v>0.875</v>
      </c>
      <c r="D10" s="20">
        <v>0.89722222222222203</v>
      </c>
      <c r="E10" s="20">
        <v>2.2222222222222299E-2</v>
      </c>
      <c r="F10" s="21" t="s">
        <v>705</v>
      </c>
      <c r="G10" t="str">
        <f>VLOOKUP(F10,'Tipo Parada Fab 2'!$A$1:$B$105,2,FALSE())</f>
        <v>NP</v>
      </c>
      <c r="H10">
        <f t="shared" si="0"/>
        <v>0</v>
      </c>
      <c r="I10" s="22">
        <f t="shared" si="1"/>
        <v>2.2222222222222299E-2</v>
      </c>
    </row>
    <row r="11" spans="1:9" x14ac:dyDescent="0.3">
      <c r="A11" s="18" t="s">
        <v>700</v>
      </c>
      <c r="B11" s="19">
        <v>45020</v>
      </c>
      <c r="C11" s="20">
        <v>0.74861111111111101</v>
      </c>
      <c r="D11" s="20">
        <v>0.8125</v>
      </c>
      <c r="E11" s="20">
        <v>6.3888888888888995E-2</v>
      </c>
      <c r="F11" s="21" t="s">
        <v>685</v>
      </c>
      <c r="G11" t="str">
        <f>VLOOKUP(F11,'Tipo Parada Fab 2'!$A$1:$B$105,2,FALSE())</f>
        <v>P</v>
      </c>
      <c r="H11" s="22">
        <f t="shared" si="0"/>
        <v>6.3888888888888995E-2</v>
      </c>
      <c r="I11">
        <f t="shared" si="1"/>
        <v>0</v>
      </c>
    </row>
    <row r="12" spans="1:9" x14ac:dyDescent="0.3">
      <c r="A12" s="18" t="s">
        <v>700</v>
      </c>
      <c r="B12" s="19">
        <v>45020</v>
      </c>
      <c r="C12" s="20">
        <v>0.8125</v>
      </c>
      <c r="D12" s="20">
        <v>0.87777777777777799</v>
      </c>
      <c r="E12" s="20">
        <v>6.5277777777777796E-2</v>
      </c>
      <c r="F12" s="21" t="s">
        <v>685</v>
      </c>
      <c r="G12" t="str">
        <f>VLOOKUP(F12,'Tipo Parada Fab 2'!$A$1:$B$105,2,FALSE())</f>
        <v>P</v>
      </c>
      <c r="H12" s="22">
        <f t="shared" si="0"/>
        <v>6.5277777777777796E-2</v>
      </c>
      <c r="I12">
        <f t="shared" si="1"/>
        <v>0</v>
      </c>
    </row>
    <row r="13" spans="1:9" x14ac:dyDescent="0.3">
      <c r="A13" s="18" t="s">
        <v>700</v>
      </c>
      <c r="B13" s="19">
        <v>45022</v>
      </c>
      <c r="C13" s="20">
        <v>0.51736111111111105</v>
      </c>
      <c r="D13" s="20">
        <v>0.52083333333333304</v>
      </c>
      <c r="E13" s="20">
        <v>3.47222222222232E-3</v>
      </c>
      <c r="F13" s="21" t="s">
        <v>684</v>
      </c>
      <c r="G13" t="str">
        <f>VLOOKUP(F13,'Tipo Parada Fab 2'!$A$1:$B$105,2,FALSE())</f>
        <v>NP</v>
      </c>
      <c r="H13">
        <f t="shared" si="0"/>
        <v>0</v>
      </c>
      <c r="I13" s="22">
        <f t="shared" si="1"/>
        <v>3.47222222222232E-3</v>
      </c>
    </row>
    <row r="14" spans="1:9" x14ac:dyDescent="0.3">
      <c r="A14" s="18" t="s">
        <v>700</v>
      </c>
      <c r="B14" s="19">
        <v>45022</v>
      </c>
      <c r="C14" s="20">
        <v>0.58263888888888904</v>
      </c>
      <c r="D14" s="20">
        <v>0.58472222222222203</v>
      </c>
      <c r="E14" s="20">
        <v>2.08333333333344E-3</v>
      </c>
      <c r="F14" s="21" t="s">
        <v>706</v>
      </c>
      <c r="G14" t="str">
        <f>VLOOKUP(F14,'Tipo Parada Fab 2'!$A$1:$B$105,2,FALSE())</f>
        <v>NP</v>
      </c>
      <c r="H14">
        <f t="shared" si="0"/>
        <v>0</v>
      </c>
      <c r="I14" s="22">
        <f t="shared" si="1"/>
        <v>2.08333333333344E-3</v>
      </c>
    </row>
    <row r="15" spans="1:9" x14ac:dyDescent="0.3">
      <c r="A15" s="18" t="s">
        <v>700</v>
      </c>
      <c r="B15" s="19">
        <v>45022</v>
      </c>
      <c r="C15" s="20">
        <v>0.74861111111111101</v>
      </c>
      <c r="D15" s="20">
        <v>0.8125</v>
      </c>
      <c r="E15" s="20">
        <v>6.3888888888888995E-2</v>
      </c>
      <c r="F15" s="21" t="s">
        <v>685</v>
      </c>
      <c r="G15" t="str">
        <f>VLOOKUP(F15,'Tipo Parada Fab 2'!$A$1:$B$105,2,FALSE())</f>
        <v>P</v>
      </c>
      <c r="H15" s="22">
        <f t="shared" si="0"/>
        <v>6.3888888888888995E-2</v>
      </c>
      <c r="I15">
        <f t="shared" si="1"/>
        <v>0</v>
      </c>
    </row>
    <row r="16" spans="1:9" x14ac:dyDescent="0.3">
      <c r="A16" s="18" t="s">
        <v>700</v>
      </c>
      <c r="B16" s="19">
        <v>45022</v>
      </c>
      <c r="C16" s="20">
        <v>0.8125</v>
      </c>
      <c r="D16" s="20">
        <v>0.88124999999999998</v>
      </c>
      <c r="E16" s="20">
        <v>6.8750000000000006E-2</v>
      </c>
      <c r="F16" s="21" t="s">
        <v>685</v>
      </c>
      <c r="G16" t="str">
        <f>VLOOKUP(F16,'Tipo Parada Fab 2'!$A$1:$B$105,2,FALSE())</f>
        <v>P</v>
      </c>
      <c r="H16" s="22">
        <f t="shared" si="0"/>
        <v>6.8750000000000006E-2</v>
      </c>
      <c r="I16">
        <f t="shared" si="1"/>
        <v>0</v>
      </c>
    </row>
    <row r="17" spans="1:9" x14ac:dyDescent="0.3">
      <c r="A17" s="18" t="s">
        <v>700</v>
      </c>
      <c r="B17" s="19">
        <v>45023</v>
      </c>
      <c r="C17" s="20">
        <v>0.38888888888888901</v>
      </c>
      <c r="D17" s="20">
        <v>0.40138888888888902</v>
      </c>
      <c r="E17" s="20">
        <v>1.2500000000000001E-2</v>
      </c>
      <c r="F17" s="21" t="s">
        <v>707</v>
      </c>
      <c r="G17" t="str">
        <f>VLOOKUP(F17,'Tipo Parada Fab 2'!$A$1:$B$105,2,FALSE())</f>
        <v>NP</v>
      </c>
      <c r="H17">
        <f t="shared" si="0"/>
        <v>0</v>
      </c>
      <c r="I17" s="22">
        <f t="shared" si="1"/>
        <v>1.2500000000000001E-2</v>
      </c>
    </row>
    <row r="18" spans="1:9" x14ac:dyDescent="0.3">
      <c r="A18" s="18" t="s">
        <v>700</v>
      </c>
      <c r="B18" s="19">
        <v>45023</v>
      </c>
      <c r="C18" s="20">
        <v>0.8125</v>
      </c>
      <c r="D18" s="20">
        <v>0.81458333333333299</v>
      </c>
      <c r="E18" s="20">
        <v>2.0833333333333298E-3</v>
      </c>
      <c r="F18" s="21" t="s">
        <v>708</v>
      </c>
      <c r="G18" t="str">
        <f>VLOOKUP(F18,'Tipo Parada Fab 2'!$A$1:$B$105,2,FALSE())</f>
        <v>NP</v>
      </c>
      <c r="H18">
        <f t="shared" si="0"/>
        <v>0</v>
      </c>
      <c r="I18" s="22">
        <f t="shared" si="1"/>
        <v>2.0833333333333298E-3</v>
      </c>
    </row>
    <row r="19" spans="1:9" x14ac:dyDescent="0.3">
      <c r="A19" s="18" t="s">
        <v>700</v>
      </c>
      <c r="B19" s="19">
        <v>45024</v>
      </c>
      <c r="C19" s="20">
        <v>0.51041666666666696</v>
      </c>
      <c r="D19" s="20">
        <v>0.51319444444444395</v>
      </c>
      <c r="E19" s="20">
        <v>2.7777777777777701E-3</v>
      </c>
      <c r="F19" s="21" t="s">
        <v>707</v>
      </c>
      <c r="G19" t="str">
        <f>VLOOKUP(F19,'Tipo Parada Fab 2'!$A$1:$B$105,2,FALSE())</f>
        <v>NP</v>
      </c>
      <c r="H19">
        <f t="shared" si="0"/>
        <v>0</v>
      </c>
      <c r="I19" s="22">
        <f t="shared" si="1"/>
        <v>2.7777777777777701E-3</v>
      </c>
    </row>
    <row r="20" spans="1:9" x14ac:dyDescent="0.3">
      <c r="A20" s="18" t="s">
        <v>700</v>
      </c>
      <c r="B20" s="19">
        <v>45024</v>
      </c>
      <c r="C20" s="20">
        <v>0.86111111111111105</v>
      </c>
      <c r="D20" s="20">
        <v>0.87638888888888899</v>
      </c>
      <c r="E20" s="20">
        <v>1.52777777777778E-2</v>
      </c>
      <c r="F20" s="21" t="s">
        <v>691</v>
      </c>
      <c r="G20" t="str">
        <f>VLOOKUP(F20,'Tipo Parada Fab 2'!$A$1:$B$105,2,FALSE())</f>
        <v>NP</v>
      </c>
      <c r="H20">
        <f t="shared" si="0"/>
        <v>0</v>
      </c>
      <c r="I20" s="22">
        <f t="shared" si="1"/>
        <v>1.52777777777778E-2</v>
      </c>
    </row>
    <row r="21" spans="1:9" x14ac:dyDescent="0.3">
      <c r="A21" s="18" t="s">
        <v>700</v>
      </c>
      <c r="B21" s="19">
        <v>45026</v>
      </c>
      <c r="C21" s="20">
        <v>0.74791666666666701</v>
      </c>
      <c r="D21" s="20">
        <v>0.8125</v>
      </c>
      <c r="E21" s="20">
        <v>6.4583333333333298E-2</v>
      </c>
      <c r="F21" s="21" t="s">
        <v>685</v>
      </c>
      <c r="G21" t="str">
        <f>VLOOKUP(F21,'Tipo Parada Fab 2'!$A$1:$B$105,2,FALSE())</f>
        <v>P</v>
      </c>
      <c r="H21" s="22">
        <f t="shared" si="0"/>
        <v>6.4583333333333298E-2</v>
      </c>
      <c r="I21">
        <f t="shared" si="1"/>
        <v>0</v>
      </c>
    </row>
    <row r="22" spans="1:9" x14ac:dyDescent="0.3">
      <c r="A22" s="18" t="s">
        <v>700</v>
      </c>
      <c r="B22" s="19">
        <v>45026</v>
      </c>
      <c r="C22" s="20">
        <v>0.8125</v>
      </c>
      <c r="D22" s="20">
        <v>0.87638888888888899</v>
      </c>
      <c r="E22" s="20">
        <v>6.3888888888888995E-2</v>
      </c>
      <c r="F22" s="21" t="s">
        <v>685</v>
      </c>
      <c r="G22" t="str">
        <f>VLOOKUP(F22,'Tipo Parada Fab 2'!$A$1:$B$105,2,FALSE())</f>
        <v>P</v>
      </c>
      <c r="H22" s="22">
        <f t="shared" si="0"/>
        <v>6.3888888888888995E-2</v>
      </c>
      <c r="I22">
        <f t="shared" si="1"/>
        <v>0</v>
      </c>
    </row>
    <row r="23" spans="1:9" x14ac:dyDescent="0.3">
      <c r="A23" s="18" t="s">
        <v>700</v>
      </c>
      <c r="B23" s="19">
        <v>45027</v>
      </c>
      <c r="C23" s="20">
        <v>0.75</v>
      </c>
      <c r="D23" s="20">
        <v>0.75138888888888899</v>
      </c>
      <c r="E23" s="20">
        <v>1.388888888889E-3</v>
      </c>
      <c r="F23" s="21" t="s">
        <v>709</v>
      </c>
      <c r="G23" t="str">
        <f>VLOOKUP(F23,'Tipo Parada Fab 2'!$A$1:$B$105,2,FALSE())</f>
        <v>NP</v>
      </c>
      <c r="H23">
        <f t="shared" si="0"/>
        <v>0</v>
      </c>
      <c r="I23" s="22">
        <f t="shared" si="1"/>
        <v>1.388888888889E-3</v>
      </c>
    </row>
    <row r="24" spans="1:9" x14ac:dyDescent="0.3">
      <c r="A24" s="18" t="s">
        <v>700</v>
      </c>
      <c r="B24" s="19">
        <v>45027</v>
      </c>
      <c r="C24" s="20">
        <v>0.75486111111111098</v>
      </c>
      <c r="D24" s="20">
        <v>0.75624999999999998</v>
      </c>
      <c r="E24" s="20">
        <v>1.3888888888888801E-3</v>
      </c>
      <c r="F24" s="21" t="s">
        <v>709</v>
      </c>
      <c r="G24" t="str">
        <f>VLOOKUP(F24,'Tipo Parada Fab 2'!$A$1:$B$105,2,FALSE())</f>
        <v>NP</v>
      </c>
      <c r="H24">
        <f t="shared" si="0"/>
        <v>0</v>
      </c>
      <c r="I24" s="22">
        <f t="shared" si="1"/>
        <v>1.3888888888888801E-3</v>
      </c>
    </row>
    <row r="25" spans="1:9" x14ac:dyDescent="0.3">
      <c r="A25" s="18" t="s">
        <v>700</v>
      </c>
      <c r="B25" s="19">
        <v>45028</v>
      </c>
      <c r="C25" s="20">
        <v>6.25E-2</v>
      </c>
      <c r="D25" s="20">
        <v>0.3125</v>
      </c>
      <c r="E25" s="20">
        <v>0.25</v>
      </c>
      <c r="F25" s="21" t="s">
        <v>710</v>
      </c>
      <c r="G25" t="str">
        <f>VLOOKUP(F25,'Tipo Parada Fab 2'!$A$1:$B$105,2,FALSE())</f>
        <v>NP</v>
      </c>
      <c r="H25">
        <f t="shared" si="0"/>
        <v>0</v>
      </c>
      <c r="I25" s="22">
        <f t="shared" si="1"/>
        <v>0.25</v>
      </c>
    </row>
    <row r="26" spans="1:9" x14ac:dyDescent="0.3">
      <c r="A26" s="18" t="s">
        <v>700</v>
      </c>
      <c r="B26" s="19">
        <v>45028</v>
      </c>
      <c r="C26" s="20">
        <v>0.3125</v>
      </c>
      <c r="D26" s="20">
        <v>0.5625</v>
      </c>
      <c r="E26" s="20">
        <v>0.25</v>
      </c>
      <c r="F26" s="21" t="s">
        <v>688</v>
      </c>
      <c r="G26" t="str">
        <f>VLOOKUP(F26,'Tipo Parada Fab 2'!$A$1:$B$105,2,FALSE())</f>
        <v>NP</v>
      </c>
      <c r="H26">
        <f t="shared" si="0"/>
        <v>0</v>
      </c>
      <c r="I26" s="22">
        <f t="shared" si="1"/>
        <v>0.25</v>
      </c>
    </row>
    <row r="27" spans="1:9" x14ac:dyDescent="0.3">
      <c r="A27" s="18" t="s">
        <v>700</v>
      </c>
      <c r="B27" s="19">
        <v>45028</v>
      </c>
      <c r="C27" s="20">
        <v>0.59236111111111101</v>
      </c>
      <c r="D27" s="20">
        <v>0.75</v>
      </c>
      <c r="E27" s="20">
        <v>0.15763888888888899</v>
      </c>
      <c r="F27" s="21" t="s">
        <v>711</v>
      </c>
      <c r="G27" t="str">
        <f>VLOOKUP(F27,'Tipo Parada Fab 2'!$A$1:$B$105,2,FALSE())</f>
        <v>NP</v>
      </c>
      <c r="H27">
        <f t="shared" si="0"/>
        <v>0</v>
      </c>
      <c r="I27" s="22">
        <f t="shared" si="1"/>
        <v>0.15763888888888899</v>
      </c>
    </row>
    <row r="28" spans="1:9" x14ac:dyDescent="0.3">
      <c r="A28" s="18" t="s">
        <v>700</v>
      </c>
      <c r="B28" s="19">
        <v>45028</v>
      </c>
      <c r="C28" s="20">
        <v>0.75</v>
      </c>
      <c r="D28" s="20">
        <v>0.8125</v>
      </c>
      <c r="E28" s="20">
        <v>6.25E-2</v>
      </c>
      <c r="F28" s="21" t="s">
        <v>685</v>
      </c>
      <c r="G28" t="str">
        <f>VLOOKUP(F28,'Tipo Parada Fab 2'!$A$1:$B$105,2,FALSE())</f>
        <v>P</v>
      </c>
      <c r="H28" s="22">
        <f t="shared" si="0"/>
        <v>6.25E-2</v>
      </c>
      <c r="I28">
        <f t="shared" si="1"/>
        <v>0</v>
      </c>
    </row>
    <row r="29" spans="1:9" x14ac:dyDescent="0.3">
      <c r="A29" s="18" t="s">
        <v>700</v>
      </c>
      <c r="B29" s="19">
        <v>45028</v>
      </c>
      <c r="C29" s="20">
        <v>0.8125</v>
      </c>
      <c r="D29" s="20">
        <v>0.875</v>
      </c>
      <c r="E29" s="20">
        <v>6.25E-2</v>
      </c>
      <c r="F29" s="21" t="s">
        <v>685</v>
      </c>
      <c r="G29" t="str">
        <f>VLOOKUP(F29,'Tipo Parada Fab 2'!$A$1:$B$105,2,FALSE())</f>
        <v>P</v>
      </c>
      <c r="H29" s="22">
        <f t="shared" si="0"/>
        <v>6.25E-2</v>
      </c>
      <c r="I29">
        <f t="shared" si="1"/>
        <v>0</v>
      </c>
    </row>
    <row r="30" spans="1:9" x14ac:dyDescent="0.3">
      <c r="A30" s="18" t="s">
        <v>700</v>
      </c>
      <c r="B30" s="19">
        <v>45028</v>
      </c>
      <c r="C30" s="20">
        <v>0.875</v>
      </c>
      <c r="D30" s="20">
        <v>6.25E-2</v>
      </c>
      <c r="E30" s="20">
        <v>0.1875</v>
      </c>
      <c r="F30" s="21" t="s">
        <v>711</v>
      </c>
      <c r="G30" t="str">
        <f>VLOOKUP(F30,'Tipo Parada Fab 2'!$A$1:$B$105,2,FALSE())</f>
        <v>NP</v>
      </c>
      <c r="H30">
        <f t="shared" si="0"/>
        <v>0</v>
      </c>
      <c r="I30" s="22">
        <f t="shared" si="1"/>
        <v>0.1875</v>
      </c>
    </row>
    <row r="31" spans="1:9" x14ac:dyDescent="0.3">
      <c r="A31" s="18" t="s">
        <v>700</v>
      </c>
      <c r="B31" s="19">
        <v>45029</v>
      </c>
      <c r="C31" s="20">
        <v>6.25E-2</v>
      </c>
      <c r="D31" s="20">
        <v>0.3125</v>
      </c>
      <c r="E31" s="20">
        <v>0.25</v>
      </c>
      <c r="F31" s="21" t="s">
        <v>710</v>
      </c>
      <c r="G31" t="str">
        <f>VLOOKUP(F31,'Tipo Parada Fab 2'!$A$1:$B$105,2,FALSE())</f>
        <v>NP</v>
      </c>
      <c r="H31">
        <f t="shared" si="0"/>
        <v>0</v>
      </c>
      <c r="I31" s="22">
        <f t="shared" si="1"/>
        <v>0.25</v>
      </c>
    </row>
    <row r="32" spans="1:9" x14ac:dyDescent="0.3">
      <c r="A32" s="18" t="s">
        <v>700</v>
      </c>
      <c r="B32" s="19">
        <v>45029</v>
      </c>
      <c r="C32" s="20">
        <v>0.3125</v>
      </c>
      <c r="D32" s="20">
        <v>0.5625</v>
      </c>
      <c r="E32" s="20">
        <v>0.25</v>
      </c>
      <c r="F32" s="21" t="s">
        <v>688</v>
      </c>
      <c r="G32" t="str">
        <f>VLOOKUP(F32,'Tipo Parada Fab 2'!$A$1:$B$105,2,FALSE())</f>
        <v>NP</v>
      </c>
      <c r="H32">
        <f t="shared" si="0"/>
        <v>0</v>
      </c>
      <c r="I32" s="22">
        <f t="shared" si="1"/>
        <v>0.25</v>
      </c>
    </row>
    <row r="33" spans="1:9" x14ac:dyDescent="0.3">
      <c r="A33" s="18" t="s">
        <v>700</v>
      </c>
      <c r="B33" s="19">
        <v>45029</v>
      </c>
      <c r="C33" s="20">
        <v>0.5625</v>
      </c>
      <c r="D33" s="20">
        <v>0.71597222222222201</v>
      </c>
      <c r="E33" s="20">
        <v>0.15347222222222201</v>
      </c>
      <c r="F33" s="21" t="s">
        <v>710</v>
      </c>
      <c r="G33" t="str">
        <f>VLOOKUP(F33,'Tipo Parada Fab 2'!$A$1:$B$105,2,FALSE())</f>
        <v>NP</v>
      </c>
      <c r="H33">
        <f t="shared" si="0"/>
        <v>0</v>
      </c>
      <c r="I33" s="22">
        <f t="shared" si="1"/>
        <v>0.15347222222222201</v>
      </c>
    </row>
    <row r="34" spans="1:9" x14ac:dyDescent="0.3">
      <c r="A34" s="18" t="s">
        <v>700</v>
      </c>
      <c r="B34" s="19">
        <v>45029</v>
      </c>
      <c r="C34" s="20">
        <v>0.75694444444444398</v>
      </c>
      <c r="D34" s="20">
        <v>0.75833333333333297</v>
      </c>
      <c r="E34" s="20">
        <v>1.3888888888887699E-3</v>
      </c>
      <c r="F34" s="21" t="s">
        <v>709</v>
      </c>
      <c r="G34" t="str">
        <f>VLOOKUP(F34,'Tipo Parada Fab 2'!$A$1:$B$105,2,FALSE())</f>
        <v>NP</v>
      </c>
      <c r="H34">
        <f t="shared" si="0"/>
        <v>0</v>
      </c>
      <c r="I34" s="22">
        <f t="shared" si="1"/>
        <v>1.3888888888887699E-3</v>
      </c>
    </row>
    <row r="35" spans="1:9" x14ac:dyDescent="0.3">
      <c r="A35" s="18" t="s">
        <v>700</v>
      </c>
      <c r="B35" s="19">
        <v>45029</v>
      </c>
      <c r="C35" s="20">
        <v>0.87916666666666698</v>
      </c>
      <c r="D35" s="20">
        <v>0.88055555555555598</v>
      </c>
      <c r="E35" s="20">
        <v>1.3888888888887699E-3</v>
      </c>
      <c r="F35" s="21" t="s">
        <v>709</v>
      </c>
      <c r="G35" t="str">
        <f>VLOOKUP(F35,'Tipo Parada Fab 2'!$A$1:$B$105,2,FALSE())</f>
        <v>NP</v>
      </c>
      <c r="H35">
        <f t="shared" si="0"/>
        <v>0</v>
      </c>
      <c r="I35" s="22">
        <f t="shared" si="1"/>
        <v>1.3888888888887699E-3</v>
      </c>
    </row>
    <row r="36" spans="1:9" x14ac:dyDescent="0.3">
      <c r="A36" s="18" t="s">
        <v>700</v>
      </c>
      <c r="B36" s="19">
        <v>45030</v>
      </c>
      <c r="C36" s="20">
        <v>0.74652777777777801</v>
      </c>
      <c r="D36" s="20">
        <v>0.749305555555556</v>
      </c>
      <c r="E36" s="20">
        <v>2.7777777777777701E-3</v>
      </c>
      <c r="F36" s="21" t="s">
        <v>709</v>
      </c>
      <c r="G36" t="str">
        <f>VLOOKUP(F36,'Tipo Parada Fab 2'!$A$1:$B$105,2,FALSE())</f>
        <v>NP</v>
      </c>
      <c r="H36">
        <f t="shared" si="0"/>
        <v>0</v>
      </c>
      <c r="I36" s="22">
        <f t="shared" si="1"/>
        <v>2.7777777777777701E-3</v>
      </c>
    </row>
    <row r="37" spans="1:9" x14ac:dyDescent="0.3">
      <c r="A37" s="18" t="s">
        <v>700</v>
      </c>
      <c r="B37" s="19">
        <v>45030</v>
      </c>
      <c r="C37" s="20">
        <v>0.78680555555555598</v>
      </c>
      <c r="D37" s="20">
        <v>0.8125</v>
      </c>
      <c r="E37" s="20">
        <v>2.5694444444444499E-2</v>
      </c>
      <c r="F37" s="21" t="s">
        <v>685</v>
      </c>
      <c r="G37" t="str">
        <f>VLOOKUP(F37,'Tipo Parada Fab 2'!$A$1:$B$105,2,FALSE())</f>
        <v>P</v>
      </c>
      <c r="H37" s="22">
        <f t="shared" si="0"/>
        <v>2.5694444444444499E-2</v>
      </c>
      <c r="I37">
        <f t="shared" si="1"/>
        <v>0</v>
      </c>
    </row>
    <row r="38" spans="1:9" x14ac:dyDescent="0.3">
      <c r="A38" s="18" t="s">
        <v>700</v>
      </c>
      <c r="B38" s="19">
        <v>45030</v>
      </c>
      <c r="C38" s="20">
        <v>0.8125</v>
      </c>
      <c r="D38" s="20">
        <v>0.875694444444444</v>
      </c>
      <c r="E38" s="20">
        <v>6.31944444444444E-2</v>
      </c>
      <c r="F38" s="21" t="s">
        <v>685</v>
      </c>
      <c r="G38" t="str">
        <f>VLOOKUP(F38,'Tipo Parada Fab 2'!$A$1:$B$105,2,FALSE())</f>
        <v>P</v>
      </c>
      <c r="H38" s="22">
        <f t="shared" si="0"/>
        <v>6.31944444444444E-2</v>
      </c>
      <c r="I38">
        <f t="shared" si="1"/>
        <v>0</v>
      </c>
    </row>
    <row r="39" spans="1:9" x14ac:dyDescent="0.3">
      <c r="A39" s="18" t="s">
        <v>700</v>
      </c>
      <c r="B39" s="19">
        <v>45031</v>
      </c>
      <c r="C39" s="20">
        <v>0.16111111111111101</v>
      </c>
      <c r="D39" s="20">
        <v>0.179166666666667</v>
      </c>
      <c r="E39" s="20">
        <v>1.8055555555555498E-2</v>
      </c>
      <c r="F39" s="21" t="s">
        <v>712</v>
      </c>
      <c r="G39" t="str">
        <f>VLOOKUP(F39,'Tipo Parada Fab 2'!$A$1:$B$105,2,FALSE())</f>
        <v>NP</v>
      </c>
      <c r="H39">
        <f t="shared" si="0"/>
        <v>0</v>
      </c>
      <c r="I39" s="22">
        <f t="shared" si="1"/>
        <v>1.8055555555555498E-2</v>
      </c>
    </row>
    <row r="40" spans="1:9" x14ac:dyDescent="0.3">
      <c r="A40" s="18" t="s">
        <v>700</v>
      </c>
      <c r="B40" s="19">
        <v>45031</v>
      </c>
      <c r="C40" s="20">
        <v>0.44722222222222202</v>
      </c>
      <c r="D40" s="20">
        <v>0.47152777777777799</v>
      </c>
      <c r="E40" s="20">
        <v>2.4305555555555601E-2</v>
      </c>
      <c r="F40" s="21" t="s">
        <v>713</v>
      </c>
      <c r="G40" t="str">
        <f>VLOOKUP(F40,'Tipo Parada Fab 2'!$A$1:$B$105,2,FALSE())</f>
        <v>NP</v>
      </c>
      <c r="H40">
        <f t="shared" si="0"/>
        <v>0</v>
      </c>
      <c r="I40" s="22">
        <f t="shared" si="1"/>
        <v>2.4305555555555601E-2</v>
      </c>
    </row>
    <row r="41" spans="1:9" x14ac:dyDescent="0.3">
      <c r="A41" s="18" t="s">
        <v>700</v>
      </c>
      <c r="B41" s="19">
        <v>45031</v>
      </c>
      <c r="C41" s="20">
        <v>0.85416666666666696</v>
      </c>
      <c r="D41" s="20">
        <v>0.85694444444444395</v>
      </c>
      <c r="E41" s="20">
        <v>2.7777777777777701E-3</v>
      </c>
      <c r="F41" s="21" t="s">
        <v>684</v>
      </c>
      <c r="G41" t="str">
        <f>VLOOKUP(F41,'Tipo Parada Fab 2'!$A$1:$B$105,2,FALSE())</f>
        <v>NP</v>
      </c>
      <c r="H41">
        <f t="shared" si="0"/>
        <v>0</v>
      </c>
      <c r="I41" s="22">
        <f t="shared" si="1"/>
        <v>2.7777777777777701E-3</v>
      </c>
    </row>
    <row r="42" spans="1:9" x14ac:dyDescent="0.3">
      <c r="A42" s="18" t="s">
        <v>700</v>
      </c>
      <c r="B42" s="19">
        <v>45031</v>
      </c>
      <c r="C42" s="20">
        <v>0.94027777777777799</v>
      </c>
      <c r="D42" s="20">
        <v>0.95347222222222205</v>
      </c>
      <c r="E42" s="20">
        <v>1.3194444444444399E-2</v>
      </c>
      <c r="F42" s="21" t="s">
        <v>714</v>
      </c>
      <c r="G42" t="str">
        <f>VLOOKUP(F42,'Tipo Parada Fab 2'!$A$1:$B$105,2,FALSE())</f>
        <v>NP</v>
      </c>
      <c r="H42">
        <f t="shared" si="0"/>
        <v>0</v>
      </c>
      <c r="I42" s="22">
        <f t="shared" si="1"/>
        <v>1.3194444444444399E-2</v>
      </c>
    </row>
    <row r="43" spans="1:9" x14ac:dyDescent="0.3">
      <c r="A43" s="18" t="s">
        <v>700</v>
      </c>
      <c r="B43" s="19">
        <v>45032</v>
      </c>
      <c r="C43" s="20">
        <v>0.16111111111111101</v>
      </c>
      <c r="D43" s="20">
        <v>0.179166666666667</v>
      </c>
      <c r="E43" s="20">
        <v>1.8055555555555498E-2</v>
      </c>
      <c r="F43" s="21" t="s">
        <v>712</v>
      </c>
      <c r="G43" t="str">
        <f>VLOOKUP(F43,'Tipo Parada Fab 2'!$A$1:$B$105,2,FALSE())</f>
        <v>NP</v>
      </c>
      <c r="H43">
        <f t="shared" si="0"/>
        <v>0</v>
      </c>
      <c r="I43" s="22">
        <f t="shared" si="1"/>
        <v>1.8055555555555498E-2</v>
      </c>
    </row>
    <row r="44" spans="1:9" x14ac:dyDescent="0.3">
      <c r="A44" s="18" t="s">
        <v>700</v>
      </c>
      <c r="B44" s="19">
        <v>45032</v>
      </c>
      <c r="C44" s="20">
        <v>0.49236111111111103</v>
      </c>
      <c r="D44" s="20">
        <v>0.53819444444444398</v>
      </c>
      <c r="E44" s="20">
        <v>4.5833333333333302E-2</v>
      </c>
      <c r="F44" s="21" t="s">
        <v>715</v>
      </c>
      <c r="G44" t="str">
        <f>VLOOKUP(F44,'Tipo Parada Fab 2'!$A$1:$B$105,2,FALSE())</f>
        <v>NP</v>
      </c>
      <c r="H44">
        <f t="shared" si="0"/>
        <v>0</v>
      </c>
      <c r="I44" s="22">
        <f t="shared" si="1"/>
        <v>4.5833333333333302E-2</v>
      </c>
    </row>
    <row r="45" spans="1:9" x14ac:dyDescent="0.3">
      <c r="A45" s="18" t="s">
        <v>700</v>
      </c>
      <c r="B45" s="19">
        <v>45032</v>
      </c>
      <c r="C45" s="20">
        <v>0.68958333333333299</v>
      </c>
      <c r="D45" s="20">
        <v>0.69652777777777797</v>
      </c>
      <c r="E45" s="20">
        <v>6.9444444444444198E-3</v>
      </c>
      <c r="F45" s="21" t="s">
        <v>716</v>
      </c>
      <c r="G45" t="str">
        <f>VLOOKUP(F45,'Tipo Parada Fab 2'!$A$1:$B$105,2,FALSE())</f>
        <v>NP</v>
      </c>
      <c r="H45">
        <f t="shared" si="0"/>
        <v>0</v>
      </c>
      <c r="I45" s="22">
        <f t="shared" si="1"/>
        <v>6.9444444444444198E-3</v>
      </c>
    </row>
    <row r="46" spans="1:9" x14ac:dyDescent="0.3">
      <c r="A46" s="18" t="s">
        <v>700</v>
      </c>
      <c r="B46" s="19">
        <v>45033</v>
      </c>
      <c r="C46" s="20">
        <v>0.53749999999999998</v>
      </c>
      <c r="D46" s="20">
        <v>0.53958333333333297</v>
      </c>
      <c r="E46" s="20">
        <v>2.0833333333333298E-3</v>
      </c>
      <c r="F46" s="21" t="s">
        <v>708</v>
      </c>
      <c r="G46" t="str">
        <f>VLOOKUP(F46,'Tipo Parada Fab 2'!$A$1:$B$105,2,FALSE())</f>
        <v>NP</v>
      </c>
      <c r="H46">
        <f t="shared" si="0"/>
        <v>0</v>
      </c>
      <c r="I46" s="22">
        <f t="shared" si="1"/>
        <v>2.0833333333333298E-3</v>
      </c>
    </row>
    <row r="47" spans="1:9" x14ac:dyDescent="0.3">
      <c r="A47" s="18" t="s">
        <v>700</v>
      </c>
      <c r="B47" s="19">
        <v>45033</v>
      </c>
      <c r="C47" s="20">
        <v>0.54444444444444395</v>
      </c>
      <c r="D47" s="20">
        <v>0.54652777777777795</v>
      </c>
      <c r="E47" s="20">
        <v>2.08333333333344E-3</v>
      </c>
      <c r="F47" s="21" t="s">
        <v>708</v>
      </c>
      <c r="G47" t="str">
        <f>VLOOKUP(F47,'Tipo Parada Fab 2'!$A$1:$B$105,2,FALSE())</f>
        <v>NP</v>
      </c>
      <c r="H47">
        <f t="shared" si="0"/>
        <v>0</v>
      </c>
      <c r="I47" s="22">
        <f t="shared" si="1"/>
        <v>2.08333333333344E-3</v>
      </c>
    </row>
    <row r="48" spans="1:9" x14ac:dyDescent="0.3">
      <c r="A48" s="18" t="s">
        <v>700</v>
      </c>
      <c r="B48" s="19">
        <v>45033</v>
      </c>
      <c r="C48" s="20">
        <v>0.54861111111111105</v>
      </c>
      <c r="D48" s="20">
        <v>0.55277777777777803</v>
      </c>
      <c r="E48" s="20">
        <v>4.1666666666667603E-3</v>
      </c>
      <c r="F48" s="21" t="s">
        <v>708</v>
      </c>
      <c r="G48" t="str">
        <f>VLOOKUP(F48,'Tipo Parada Fab 2'!$A$1:$B$105,2,FALSE())</f>
        <v>NP</v>
      </c>
      <c r="H48">
        <f t="shared" si="0"/>
        <v>0</v>
      </c>
      <c r="I48" s="22">
        <f t="shared" si="1"/>
        <v>4.1666666666667603E-3</v>
      </c>
    </row>
    <row r="49" spans="1:9" x14ac:dyDescent="0.3">
      <c r="A49" s="18" t="s">
        <v>700</v>
      </c>
      <c r="B49" s="19">
        <v>45033</v>
      </c>
      <c r="C49" s="20">
        <v>0.5625</v>
      </c>
      <c r="D49" s="20">
        <v>0.62013888888888902</v>
      </c>
      <c r="E49" s="20">
        <v>5.7638888888888899E-2</v>
      </c>
      <c r="F49" s="21" t="s">
        <v>717</v>
      </c>
      <c r="G49" t="str">
        <f>VLOOKUP(F49,'Tipo Parada Fab 2'!$A$1:$B$105,2,FALSE())</f>
        <v>NP</v>
      </c>
      <c r="H49">
        <f t="shared" si="0"/>
        <v>0</v>
      </c>
      <c r="I49" s="22">
        <f t="shared" si="1"/>
        <v>5.7638888888888899E-2</v>
      </c>
    </row>
    <row r="50" spans="1:9" x14ac:dyDescent="0.3">
      <c r="A50" s="18" t="s">
        <v>700</v>
      </c>
      <c r="B50" s="19">
        <v>45033</v>
      </c>
      <c r="C50" s="20">
        <v>0.74722222222222201</v>
      </c>
      <c r="D50" s="20">
        <v>0.8125</v>
      </c>
      <c r="E50" s="20">
        <v>6.5277777777777796E-2</v>
      </c>
      <c r="F50" s="21" t="s">
        <v>685</v>
      </c>
      <c r="G50" t="str">
        <f>VLOOKUP(F50,'Tipo Parada Fab 2'!$A$1:$B$105,2,FALSE())</f>
        <v>P</v>
      </c>
      <c r="H50" s="22">
        <f t="shared" si="0"/>
        <v>6.5277777777777796E-2</v>
      </c>
      <c r="I50">
        <f t="shared" si="1"/>
        <v>0</v>
      </c>
    </row>
    <row r="51" spans="1:9" x14ac:dyDescent="0.3">
      <c r="A51" s="18" t="s">
        <v>700</v>
      </c>
      <c r="B51" s="19">
        <v>45033</v>
      </c>
      <c r="C51" s="20">
        <v>0.8125</v>
      </c>
      <c r="D51" s="20">
        <v>0.875</v>
      </c>
      <c r="E51" s="20">
        <v>6.25E-2</v>
      </c>
      <c r="F51" s="21" t="s">
        <v>685</v>
      </c>
      <c r="G51" t="str">
        <f>VLOOKUP(F51,'Tipo Parada Fab 2'!$A$1:$B$105,2,FALSE())</f>
        <v>P</v>
      </c>
      <c r="H51" s="22">
        <f t="shared" si="0"/>
        <v>6.25E-2</v>
      </c>
      <c r="I51">
        <f t="shared" si="1"/>
        <v>0</v>
      </c>
    </row>
    <row r="52" spans="1:9" x14ac:dyDescent="0.3">
      <c r="A52" s="18" t="s">
        <v>700</v>
      </c>
      <c r="B52" s="19">
        <v>45033</v>
      </c>
      <c r="C52" s="20">
        <v>0.875</v>
      </c>
      <c r="D52" s="20">
        <v>0.88819444444444395</v>
      </c>
      <c r="E52" s="20">
        <v>1.3194444444444399E-2</v>
      </c>
      <c r="F52" s="21" t="s">
        <v>718</v>
      </c>
      <c r="G52" t="str">
        <f>VLOOKUP(F52,'Tipo Parada Fab 2'!$A$1:$B$105,2,FALSE())</f>
        <v>NP</v>
      </c>
      <c r="H52">
        <f t="shared" si="0"/>
        <v>0</v>
      </c>
      <c r="I52" s="22">
        <f t="shared" si="1"/>
        <v>1.3194444444444399E-2</v>
      </c>
    </row>
    <row r="53" spans="1:9" x14ac:dyDescent="0.3">
      <c r="A53" s="18" t="s">
        <v>700</v>
      </c>
      <c r="B53" s="19">
        <v>45034</v>
      </c>
      <c r="C53" s="20">
        <v>0.53749999999999998</v>
      </c>
      <c r="D53" s="20">
        <v>0.53958333333333297</v>
      </c>
      <c r="E53" s="20">
        <v>2.0833333333333298E-3</v>
      </c>
      <c r="F53" s="21" t="s">
        <v>708</v>
      </c>
      <c r="G53" t="str">
        <f>VLOOKUP(F53,'Tipo Parada Fab 2'!$A$1:$B$105,2,FALSE())</f>
        <v>NP</v>
      </c>
      <c r="H53">
        <f t="shared" si="0"/>
        <v>0</v>
      </c>
      <c r="I53" s="22">
        <f t="shared" si="1"/>
        <v>2.0833333333333298E-3</v>
      </c>
    </row>
    <row r="54" spans="1:9" x14ac:dyDescent="0.3">
      <c r="A54" s="18" t="s">
        <v>700</v>
      </c>
      <c r="B54" s="19">
        <v>45034</v>
      </c>
      <c r="C54" s="20">
        <v>0.54444444444444395</v>
      </c>
      <c r="D54" s="20">
        <v>0.54652777777777795</v>
      </c>
      <c r="E54" s="20">
        <v>2.08333333333344E-3</v>
      </c>
      <c r="F54" s="21" t="s">
        <v>708</v>
      </c>
      <c r="G54" t="str">
        <f>VLOOKUP(F54,'Tipo Parada Fab 2'!$A$1:$B$105,2,FALSE())</f>
        <v>NP</v>
      </c>
      <c r="H54">
        <f t="shared" si="0"/>
        <v>0</v>
      </c>
      <c r="I54" s="22">
        <f t="shared" si="1"/>
        <v>2.08333333333344E-3</v>
      </c>
    </row>
    <row r="55" spans="1:9" x14ac:dyDescent="0.3">
      <c r="A55" s="18" t="s">
        <v>700</v>
      </c>
      <c r="B55" s="19">
        <v>45034</v>
      </c>
      <c r="C55" s="20">
        <v>0.54861111111111105</v>
      </c>
      <c r="D55" s="20">
        <v>0.55277777777777803</v>
      </c>
      <c r="E55" s="20">
        <v>4.1666666666667603E-3</v>
      </c>
      <c r="F55" s="21" t="s">
        <v>708</v>
      </c>
      <c r="G55" t="str">
        <f>VLOOKUP(F55,'Tipo Parada Fab 2'!$A$1:$B$105,2,FALSE())</f>
        <v>NP</v>
      </c>
      <c r="H55">
        <f t="shared" si="0"/>
        <v>0</v>
      </c>
      <c r="I55" s="22">
        <f t="shared" si="1"/>
        <v>4.1666666666667603E-3</v>
      </c>
    </row>
    <row r="56" spans="1:9" x14ac:dyDescent="0.3">
      <c r="A56" s="18" t="s">
        <v>700</v>
      </c>
      <c r="B56" s="19">
        <v>45035</v>
      </c>
      <c r="C56" s="20">
        <v>0.48125000000000001</v>
      </c>
      <c r="D56" s="20">
        <v>0.48749999999999999</v>
      </c>
      <c r="E56" s="20">
        <v>6.2499999999999804E-3</v>
      </c>
      <c r="F56" s="21" t="s">
        <v>719</v>
      </c>
      <c r="G56" t="str">
        <f>VLOOKUP(F56,'Tipo Parada Fab 2'!$A$1:$B$105,2,FALSE())</f>
        <v>NP</v>
      </c>
      <c r="H56">
        <f t="shared" si="0"/>
        <v>0</v>
      </c>
      <c r="I56" s="22">
        <f t="shared" si="1"/>
        <v>6.2499999999999804E-3</v>
      </c>
    </row>
    <row r="57" spans="1:9" x14ac:dyDescent="0.3">
      <c r="A57" s="18" t="s">
        <v>700</v>
      </c>
      <c r="B57" s="19">
        <v>45036</v>
      </c>
      <c r="C57" s="20">
        <v>0.60347222222222197</v>
      </c>
      <c r="D57" s="20">
        <v>0.61527777777777803</v>
      </c>
      <c r="E57" s="20">
        <v>1.18055555555556E-2</v>
      </c>
      <c r="F57" s="21" t="s">
        <v>720</v>
      </c>
      <c r="G57" t="str">
        <f>VLOOKUP(F57,'Tipo Parada Fab 2'!$A$1:$B$105,2,FALSE())</f>
        <v>NP</v>
      </c>
      <c r="H57">
        <f t="shared" si="0"/>
        <v>0</v>
      </c>
      <c r="I57" s="22">
        <f t="shared" si="1"/>
        <v>1.18055555555556E-2</v>
      </c>
    </row>
    <row r="58" spans="1:9" x14ac:dyDescent="0.3">
      <c r="A58" s="18" t="s">
        <v>700</v>
      </c>
      <c r="B58" s="19">
        <v>45036</v>
      </c>
      <c r="C58" s="20">
        <v>0.74687499999999996</v>
      </c>
      <c r="D58" s="20">
        <v>0.8125</v>
      </c>
      <c r="E58" s="20">
        <v>6.5624999999999906E-2</v>
      </c>
      <c r="F58" s="21" t="s">
        <v>685</v>
      </c>
      <c r="G58" t="str">
        <f>VLOOKUP(F58,'Tipo Parada Fab 2'!$A$1:$B$105,2,FALSE())</f>
        <v>P</v>
      </c>
      <c r="H58" s="22">
        <f t="shared" si="0"/>
        <v>6.5624999999999906E-2</v>
      </c>
      <c r="I58">
        <f t="shared" si="1"/>
        <v>0</v>
      </c>
    </row>
    <row r="59" spans="1:9" x14ac:dyDescent="0.3">
      <c r="A59" s="18" t="s">
        <v>700</v>
      </c>
      <c r="B59" s="19">
        <v>45036</v>
      </c>
      <c r="C59" s="20">
        <v>0.8125</v>
      </c>
      <c r="D59" s="20">
        <v>0.875</v>
      </c>
      <c r="E59" s="20">
        <v>6.25E-2</v>
      </c>
      <c r="F59" s="21" t="s">
        <v>685</v>
      </c>
      <c r="G59" t="str">
        <f>VLOOKUP(F59,'Tipo Parada Fab 2'!$A$1:$B$105,2,FALSE())</f>
        <v>P</v>
      </c>
      <c r="H59" s="22">
        <f t="shared" si="0"/>
        <v>6.25E-2</v>
      </c>
      <c r="I59">
        <f t="shared" si="1"/>
        <v>0</v>
      </c>
    </row>
    <row r="60" spans="1:9" x14ac:dyDescent="0.3">
      <c r="A60" s="18" t="s">
        <v>700</v>
      </c>
      <c r="B60" s="19">
        <v>45036</v>
      </c>
      <c r="C60" s="20">
        <v>0.875</v>
      </c>
      <c r="D60" s="20">
        <v>0.88124999999999998</v>
      </c>
      <c r="E60" s="20">
        <v>6.2499999999999804E-3</v>
      </c>
      <c r="F60" s="21" t="s">
        <v>721</v>
      </c>
      <c r="G60" t="str">
        <f>VLOOKUP(F60,'Tipo Parada Fab 2'!$A$1:$B$105,2,FALSE())</f>
        <v>NP</v>
      </c>
      <c r="H60">
        <f t="shared" si="0"/>
        <v>0</v>
      </c>
      <c r="I60" s="22">
        <f t="shared" si="1"/>
        <v>6.2499999999999804E-3</v>
      </c>
    </row>
    <row r="61" spans="1:9" x14ac:dyDescent="0.3">
      <c r="A61" s="18" t="s">
        <v>700</v>
      </c>
      <c r="B61" s="19">
        <v>45037</v>
      </c>
      <c r="C61" s="20">
        <v>0.781944444444444</v>
      </c>
      <c r="D61" s="20">
        <v>0.78541666666666698</v>
      </c>
      <c r="E61" s="20">
        <v>3.47222222222232E-3</v>
      </c>
      <c r="F61" s="21" t="s">
        <v>706</v>
      </c>
      <c r="G61" t="str">
        <f>VLOOKUP(F61,'Tipo Parada Fab 2'!$A$1:$B$105,2,FALSE())</f>
        <v>NP</v>
      </c>
      <c r="H61">
        <f t="shared" si="0"/>
        <v>0</v>
      </c>
      <c r="I61" s="22">
        <f t="shared" si="1"/>
        <v>3.47222222222232E-3</v>
      </c>
    </row>
    <row r="62" spans="1:9" x14ac:dyDescent="0.3">
      <c r="A62" s="18" t="s">
        <v>700</v>
      </c>
      <c r="B62" s="19">
        <v>45039</v>
      </c>
      <c r="C62" s="20">
        <v>0.264583333333333</v>
      </c>
      <c r="D62" s="20">
        <v>0.26944444444444399</v>
      </c>
      <c r="E62" s="20">
        <v>4.8611111111110904E-3</v>
      </c>
      <c r="F62" s="21" t="s">
        <v>691</v>
      </c>
      <c r="G62" t="str">
        <f>VLOOKUP(F62,'Tipo Parada Fab 2'!$A$1:$B$105,2,FALSE())</f>
        <v>NP</v>
      </c>
      <c r="H62">
        <f t="shared" si="0"/>
        <v>0</v>
      </c>
      <c r="I62" s="22">
        <f t="shared" si="1"/>
        <v>4.8611111111110904E-3</v>
      </c>
    </row>
    <row r="63" spans="1:9" x14ac:dyDescent="0.3">
      <c r="A63" s="18" t="s">
        <v>700</v>
      </c>
      <c r="B63" s="19">
        <v>45040</v>
      </c>
      <c r="C63" s="20">
        <v>0.66041666666666698</v>
      </c>
      <c r="D63" s="20">
        <v>0.67500000000000004</v>
      </c>
      <c r="E63" s="20">
        <v>1.4583333333333301E-2</v>
      </c>
      <c r="F63" s="21" t="s">
        <v>691</v>
      </c>
      <c r="G63" t="str">
        <f>VLOOKUP(F63,'Tipo Parada Fab 2'!$A$1:$B$105,2,FALSE())</f>
        <v>NP</v>
      </c>
      <c r="H63">
        <f t="shared" si="0"/>
        <v>0</v>
      </c>
      <c r="I63" s="22">
        <f t="shared" si="1"/>
        <v>1.4583333333333301E-2</v>
      </c>
    </row>
    <row r="64" spans="1:9" x14ac:dyDescent="0.3">
      <c r="A64" s="18" t="s">
        <v>700</v>
      </c>
      <c r="B64" s="19">
        <v>45041</v>
      </c>
      <c r="C64" s="20">
        <v>0.78819444444444398</v>
      </c>
      <c r="D64" s="20">
        <v>0.78958333333333297</v>
      </c>
      <c r="E64" s="20">
        <v>1.3888888888887699E-3</v>
      </c>
      <c r="F64" s="21" t="s">
        <v>709</v>
      </c>
      <c r="G64" t="str">
        <f>VLOOKUP(F64,'Tipo Parada Fab 2'!$A$1:$B$105,2,FALSE())</f>
        <v>NP</v>
      </c>
      <c r="H64">
        <f t="shared" si="0"/>
        <v>0</v>
      </c>
      <c r="I64" s="22">
        <f t="shared" si="1"/>
        <v>1.3888888888887699E-3</v>
      </c>
    </row>
    <row r="65" spans="1:9" x14ac:dyDescent="0.3">
      <c r="A65" s="18" t="s">
        <v>700</v>
      </c>
      <c r="B65" s="19">
        <v>45041</v>
      </c>
      <c r="C65" s="20">
        <v>0.875694444444444</v>
      </c>
      <c r="D65" s="20">
        <v>0.87638888888888899</v>
      </c>
      <c r="E65" s="20">
        <v>6.94444444444553E-4</v>
      </c>
      <c r="F65" s="21" t="s">
        <v>709</v>
      </c>
      <c r="G65" t="str">
        <f>VLOOKUP(F65,'Tipo Parada Fab 2'!$A$1:$B$105,2,FALSE())</f>
        <v>NP</v>
      </c>
      <c r="H65">
        <f t="shared" si="0"/>
        <v>0</v>
      </c>
      <c r="I65" s="22">
        <f t="shared" si="1"/>
        <v>6.94444444444553E-4</v>
      </c>
    </row>
    <row r="66" spans="1:9" x14ac:dyDescent="0.3">
      <c r="A66" s="18" t="s">
        <v>700</v>
      </c>
      <c r="B66" s="19">
        <v>45042</v>
      </c>
      <c r="C66" s="20">
        <v>0.72708333333333297</v>
      </c>
      <c r="D66" s="20">
        <v>0.73055555555555596</v>
      </c>
      <c r="E66" s="20">
        <v>3.47222222222232E-3</v>
      </c>
      <c r="F66" s="21" t="s">
        <v>699</v>
      </c>
      <c r="G66" t="str">
        <f>VLOOKUP(F66,'Tipo Parada Fab 2'!$A$1:$B$105,2,FALSE())</f>
        <v>NP</v>
      </c>
      <c r="H66">
        <f t="shared" ref="H66:H129" si="2">IF(G66="P",E66,0)</f>
        <v>0</v>
      </c>
      <c r="I66" s="22">
        <f t="shared" ref="I66:I129" si="3">IF(G66="NP",E66,0)</f>
        <v>3.47222222222232E-3</v>
      </c>
    </row>
    <row r="67" spans="1:9" x14ac:dyDescent="0.3">
      <c r="A67" s="18" t="s">
        <v>700</v>
      </c>
      <c r="B67" s="19">
        <v>45042</v>
      </c>
      <c r="C67" s="20">
        <v>6.9444444444444397E-3</v>
      </c>
      <c r="D67" s="20">
        <v>5.2083333333333301E-2</v>
      </c>
      <c r="E67" s="20">
        <v>4.5138888888888902E-2</v>
      </c>
      <c r="F67" s="21" t="s">
        <v>688</v>
      </c>
      <c r="G67" t="str">
        <f>VLOOKUP(F67,'Tipo Parada Fab 2'!$A$1:$B$105,2,FALSE())</f>
        <v>NP</v>
      </c>
      <c r="H67">
        <f t="shared" si="2"/>
        <v>0</v>
      </c>
      <c r="I67" s="22">
        <f t="shared" si="3"/>
        <v>4.5138888888888902E-2</v>
      </c>
    </row>
    <row r="68" spans="1:9" x14ac:dyDescent="0.3">
      <c r="A68" s="18" t="s">
        <v>700</v>
      </c>
      <c r="B68" s="19">
        <v>45043</v>
      </c>
      <c r="C68" s="20">
        <v>6.25E-2</v>
      </c>
      <c r="D68" s="20">
        <v>7.2916666666666699E-2</v>
      </c>
      <c r="E68" s="20">
        <v>1.0416666666666701E-2</v>
      </c>
      <c r="F68" s="21" t="s">
        <v>707</v>
      </c>
      <c r="G68" t="str">
        <f>VLOOKUP(F68,'Tipo Parada Fab 2'!$A$1:$B$105,2,FALSE())</f>
        <v>NP</v>
      </c>
      <c r="H68">
        <f t="shared" si="2"/>
        <v>0</v>
      </c>
      <c r="I68" s="22">
        <f t="shared" si="3"/>
        <v>1.0416666666666701E-2</v>
      </c>
    </row>
    <row r="69" spans="1:9" x14ac:dyDescent="0.3">
      <c r="A69" s="18" t="s">
        <v>700</v>
      </c>
      <c r="B69" s="19">
        <v>45043</v>
      </c>
      <c r="C69" s="20">
        <v>0.74722222222222201</v>
      </c>
      <c r="D69" s="20">
        <v>0.76388888888888895</v>
      </c>
      <c r="E69" s="20">
        <v>1.6666666666666601E-2</v>
      </c>
      <c r="F69" s="21" t="s">
        <v>685</v>
      </c>
      <c r="G69" t="str">
        <f>VLOOKUP(F69,'Tipo Parada Fab 2'!$A$1:$B$105,2,FALSE())</f>
        <v>P</v>
      </c>
      <c r="H69" s="22">
        <f t="shared" si="2"/>
        <v>1.6666666666666601E-2</v>
      </c>
      <c r="I69">
        <f t="shared" si="3"/>
        <v>0</v>
      </c>
    </row>
    <row r="70" spans="1:9" x14ac:dyDescent="0.3">
      <c r="A70" s="18" t="s">
        <v>700</v>
      </c>
      <c r="B70" s="19">
        <v>45043</v>
      </c>
      <c r="C70" s="20">
        <v>0.78472222222222199</v>
      </c>
      <c r="D70" s="20">
        <v>0.78680555555555598</v>
      </c>
      <c r="E70" s="20">
        <v>2.0833333333333298E-3</v>
      </c>
      <c r="F70" s="21" t="s">
        <v>709</v>
      </c>
      <c r="G70" t="str">
        <f>VLOOKUP(F70,'Tipo Parada Fab 2'!$A$1:$B$105,2,FALSE())</f>
        <v>NP</v>
      </c>
      <c r="H70">
        <f t="shared" si="2"/>
        <v>0</v>
      </c>
      <c r="I70" s="22">
        <f t="shared" si="3"/>
        <v>2.0833333333333298E-3</v>
      </c>
    </row>
    <row r="71" spans="1:9" x14ac:dyDescent="0.3">
      <c r="A71" s="18" t="s">
        <v>700</v>
      </c>
      <c r="B71" s="19">
        <v>45043</v>
      </c>
      <c r="C71" s="20">
        <v>0.87708333333333299</v>
      </c>
      <c r="D71" s="20">
        <v>0.87847222222222199</v>
      </c>
      <c r="E71" s="20">
        <v>1.3888888888888801E-3</v>
      </c>
      <c r="F71" s="21" t="s">
        <v>709</v>
      </c>
      <c r="G71" t="str">
        <f>VLOOKUP(F71,'Tipo Parada Fab 2'!$A$1:$B$105,2,FALSE())</f>
        <v>NP</v>
      </c>
      <c r="H71">
        <f t="shared" si="2"/>
        <v>0</v>
      </c>
      <c r="I71" s="22">
        <f t="shared" si="3"/>
        <v>1.3888888888888801E-3</v>
      </c>
    </row>
    <row r="72" spans="1:9" x14ac:dyDescent="0.3">
      <c r="A72" s="18" t="s">
        <v>700</v>
      </c>
      <c r="B72" s="19">
        <v>45043</v>
      </c>
      <c r="C72" s="20">
        <v>5.1388888888888901E-2</v>
      </c>
      <c r="D72" s="20">
        <v>0</v>
      </c>
      <c r="E72" s="20">
        <v>0.94861111111111096</v>
      </c>
      <c r="F72" s="21" t="s">
        <v>706</v>
      </c>
      <c r="G72" t="str">
        <f>VLOOKUP(F72,'Tipo Parada Fab 2'!$A$1:$B$105,2,FALSE())</f>
        <v>NP</v>
      </c>
      <c r="H72">
        <f t="shared" si="2"/>
        <v>0</v>
      </c>
      <c r="I72" s="22">
        <f t="shared" si="3"/>
        <v>0.94861111111111096</v>
      </c>
    </row>
    <row r="73" spans="1:9" x14ac:dyDescent="0.3">
      <c r="A73" s="18" t="s">
        <v>700</v>
      </c>
      <c r="B73" s="19">
        <v>45044</v>
      </c>
      <c r="C73" s="20">
        <v>6.25E-2</v>
      </c>
      <c r="D73" s="20">
        <v>7.2916666666666699E-2</v>
      </c>
      <c r="E73" s="20">
        <v>1.0416666666666701E-2</v>
      </c>
      <c r="F73" s="21" t="s">
        <v>707</v>
      </c>
      <c r="G73" t="str">
        <f>VLOOKUP(F73,'Tipo Parada Fab 2'!$A$1:$B$105,2,FALSE())</f>
        <v>NP</v>
      </c>
      <c r="H73">
        <f t="shared" si="2"/>
        <v>0</v>
      </c>
      <c r="I73" s="22">
        <f t="shared" si="3"/>
        <v>1.0416666666666701E-2</v>
      </c>
    </row>
    <row r="74" spans="1:9" x14ac:dyDescent="0.3">
      <c r="A74" s="18" t="s">
        <v>700</v>
      </c>
      <c r="B74" s="19">
        <v>45044</v>
      </c>
      <c r="C74" s="20">
        <v>0.33541666666666697</v>
      </c>
      <c r="D74" s="20">
        <v>0.34027777777777801</v>
      </c>
      <c r="E74" s="20">
        <v>4.8611111111110401E-3</v>
      </c>
      <c r="F74" s="21" t="s">
        <v>722</v>
      </c>
      <c r="G74" t="str">
        <f>VLOOKUP(F74,'Tipo Parada Fab 2'!$A$1:$B$105,2,FALSE())</f>
        <v>NP</v>
      </c>
      <c r="H74">
        <f t="shared" si="2"/>
        <v>0</v>
      </c>
      <c r="I74" s="22">
        <f t="shared" si="3"/>
        <v>4.8611111111110401E-3</v>
      </c>
    </row>
    <row r="75" spans="1:9" x14ac:dyDescent="0.3">
      <c r="A75" s="18" t="s">
        <v>700</v>
      </c>
      <c r="B75" s="19">
        <v>45044</v>
      </c>
      <c r="C75" s="20">
        <v>0.74791666666666701</v>
      </c>
      <c r="D75" s="20">
        <v>0.8125</v>
      </c>
      <c r="E75" s="20">
        <v>6.4583333333333298E-2</v>
      </c>
      <c r="F75" s="21" t="s">
        <v>685</v>
      </c>
      <c r="G75" t="str">
        <f>VLOOKUP(F75,'Tipo Parada Fab 2'!$A$1:$B$105,2,FALSE())</f>
        <v>P</v>
      </c>
      <c r="H75" s="22">
        <f t="shared" si="2"/>
        <v>6.4583333333333298E-2</v>
      </c>
      <c r="I75">
        <f t="shared" si="3"/>
        <v>0</v>
      </c>
    </row>
    <row r="76" spans="1:9" x14ac:dyDescent="0.3">
      <c r="A76" s="18" t="s">
        <v>700</v>
      </c>
      <c r="B76" s="19">
        <v>45044</v>
      </c>
      <c r="C76" s="20">
        <v>0.8125</v>
      </c>
      <c r="D76" s="20">
        <v>0.875</v>
      </c>
      <c r="E76" s="20">
        <v>6.25E-2</v>
      </c>
      <c r="F76" s="21" t="s">
        <v>685</v>
      </c>
      <c r="G76" t="str">
        <f>VLOOKUP(F76,'Tipo Parada Fab 2'!$A$1:$B$105,2,FALSE())</f>
        <v>P</v>
      </c>
      <c r="H76" s="22">
        <f t="shared" si="2"/>
        <v>6.25E-2</v>
      </c>
      <c r="I76">
        <f t="shared" si="3"/>
        <v>0</v>
      </c>
    </row>
    <row r="77" spans="1:9" x14ac:dyDescent="0.3">
      <c r="A77" s="18" t="s">
        <v>700</v>
      </c>
      <c r="B77" s="19">
        <v>45044</v>
      </c>
      <c r="C77" s="20">
        <v>0.875</v>
      </c>
      <c r="D77" s="20">
        <v>0.88055555555555598</v>
      </c>
      <c r="E77" s="20">
        <v>5.5555555555555402E-3</v>
      </c>
      <c r="F77" s="21" t="s">
        <v>723</v>
      </c>
      <c r="G77" t="str">
        <f>VLOOKUP(F77,'Tipo Parada Fab 2'!$A$1:$B$105,2,FALSE())</f>
        <v>NP</v>
      </c>
      <c r="H77">
        <f t="shared" si="2"/>
        <v>0</v>
      </c>
      <c r="I77" s="22">
        <f t="shared" si="3"/>
        <v>5.5555555555555402E-3</v>
      </c>
    </row>
    <row r="78" spans="1:9" x14ac:dyDescent="0.3">
      <c r="A78" s="18" t="s">
        <v>700</v>
      </c>
      <c r="B78" s="19">
        <v>45045</v>
      </c>
      <c r="C78" s="20">
        <v>0.23611111111111099</v>
      </c>
      <c r="D78" s="20">
        <v>0.23888888888888901</v>
      </c>
      <c r="E78" s="20">
        <v>2.7777777777777701E-3</v>
      </c>
      <c r="F78" s="21" t="s">
        <v>706</v>
      </c>
      <c r="G78" t="str">
        <f>VLOOKUP(F78,'Tipo Parada Fab 2'!$A$1:$B$105,2,FALSE())</f>
        <v>NP</v>
      </c>
      <c r="H78">
        <f t="shared" si="2"/>
        <v>0</v>
      </c>
      <c r="I78" s="22">
        <f t="shared" si="3"/>
        <v>2.7777777777777701E-3</v>
      </c>
    </row>
    <row r="79" spans="1:9" x14ac:dyDescent="0.3">
      <c r="A79" s="18" t="s">
        <v>700</v>
      </c>
      <c r="B79" s="19">
        <v>45046</v>
      </c>
      <c r="C79" s="20">
        <v>0.29444444444444401</v>
      </c>
      <c r="D79" s="20">
        <v>0</v>
      </c>
      <c r="E79" s="20">
        <v>0.70555555555555505</v>
      </c>
      <c r="F79" s="21" t="s">
        <v>688</v>
      </c>
      <c r="G79" t="str">
        <f>VLOOKUP(F79,'Tipo Parada Fab 2'!$A$1:$B$105,2,FALSE())</f>
        <v>NP</v>
      </c>
      <c r="H79">
        <f t="shared" si="2"/>
        <v>0</v>
      </c>
      <c r="I79" s="22">
        <f t="shared" si="3"/>
        <v>0.70555555555555505</v>
      </c>
    </row>
    <row r="80" spans="1:9" x14ac:dyDescent="0.3">
      <c r="A80" s="18" t="s">
        <v>700</v>
      </c>
      <c r="B80" s="19">
        <v>45046</v>
      </c>
      <c r="C80" s="20">
        <v>0.3125</v>
      </c>
      <c r="D80" s="20">
        <v>0.32222222222222202</v>
      </c>
      <c r="E80" s="20">
        <v>9.7222222222222397E-3</v>
      </c>
      <c r="F80" s="21" t="s">
        <v>724</v>
      </c>
      <c r="G80" t="str">
        <f>VLOOKUP(F80,'Tipo Parada Fab 2'!$A$1:$B$105,2,FALSE())</f>
        <v>NP</v>
      </c>
      <c r="H80">
        <f t="shared" si="2"/>
        <v>0</v>
      </c>
      <c r="I80" s="22">
        <f t="shared" si="3"/>
        <v>9.7222222222222397E-3</v>
      </c>
    </row>
    <row r="81" spans="1:9" x14ac:dyDescent="0.3">
      <c r="A81" s="18" t="s">
        <v>725</v>
      </c>
      <c r="B81" s="19">
        <v>45017</v>
      </c>
      <c r="C81" s="20">
        <v>0.44861111111111102</v>
      </c>
      <c r="D81" s="20">
        <v>0.54097222222222197</v>
      </c>
      <c r="E81" s="20">
        <v>9.2361111111111102E-2</v>
      </c>
      <c r="F81" s="21" t="s">
        <v>726</v>
      </c>
      <c r="G81" t="str">
        <f>VLOOKUP(F81,'Tipo Parada Fab 2'!$A$1:$B$105,2,FALSE())</f>
        <v>NP</v>
      </c>
      <c r="H81">
        <f t="shared" si="2"/>
        <v>0</v>
      </c>
      <c r="I81" s="22">
        <f t="shared" si="3"/>
        <v>9.2361111111111102E-2</v>
      </c>
    </row>
    <row r="82" spans="1:9" x14ac:dyDescent="0.3">
      <c r="A82" s="18" t="s">
        <v>725</v>
      </c>
      <c r="B82" s="19">
        <v>45017</v>
      </c>
      <c r="C82" s="20">
        <v>0.82222222222222197</v>
      </c>
      <c r="D82" s="20">
        <v>0.84027777777777801</v>
      </c>
      <c r="E82" s="20">
        <v>1.8055555555555498E-2</v>
      </c>
      <c r="F82" s="21" t="s">
        <v>685</v>
      </c>
      <c r="G82" t="str">
        <f>VLOOKUP(F82,'Tipo Parada Fab 2'!$A$1:$B$105,2,FALSE())</f>
        <v>P</v>
      </c>
      <c r="H82" s="22">
        <f t="shared" si="2"/>
        <v>1.8055555555555498E-2</v>
      </c>
      <c r="I82">
        <f t="shared" si="3"/>
        <v>0</v>
      </c>
    </row>
    <row r="83" spans="1:9" x14ac:dyDescent="0.3">
      <c r="A83" s="18" t="s">
        <v>725</v>
      </c>
      <c r="B83" s="19">
        <v>45019</v>
      </c>
      <c r="C83" s="20">
        <v>0.39444444444444399</v>
      </c>
      <c r="D83" s="20">
        <v>0.43888888888888899</v>
      </c>
      <c r="E83" s="20">
        <v>4.4444444444444502E-2</v>
      </c>
      <c r="F83" s="21" t="s">
        <v>727</v>
      </c>
      <c r="G83" t="str">
        <f>VLOOKUP(F83,'Tipo Parada Fab 2'!$A$1:$B$105,2,FALSE())</f>
        <v>NP</v>
      </c>
      <c r="H83">
        <f t="shared" si="2"/>
        <v>0</v>
      </c>
      <c r="I83" s="22">
        <f t="shared" si="3"/>
        <v>4.4444444444444502E-2</v>
      </c>
    </row>
    <row r="84" spans="1:9" x14ac:dyDescent="0.3">
      <c r="A84" s="18" t="s">
        <v>725</v>
      </c>
      <c r="B84" s="19">
        <v>45019</v>
      </c>
      <c r="C84" s="20">
        <v>0.74826388888888895</v>
      </c>
      <c r="D84" s="20">
        <v>0.8125</v>
      </c>
      <c r="E84" s="20">
        <v>6.4236111111111202E-2</v>
      </c>
      <c r="F84" s="21" t="s">
        <v>685</v>
      </c>
      <c r="G84" t="str">
        <f>VLOOKUP(F84,'Tipo Parada Fab 2'!$A$1:$B$105,2,FALSE())</f>
        <v>P</v>
      </c>
      <c r="H84" s="22">
        <f t="shared" si="2"/>
        <v>6.4236111111111202E-2</v>
      </c>
      <c r="I84">
        <f t="shared" si="3"/>
        <v>0</v>
      </c>
    </row>
    <row r="85" spans="1:9" x14ac:dyDescent="0.3">
      <c r="A85" s="18" t="s">
        <v>725</v>
      </c>
      <c r="B85" s="19">
        <v>45019</v>
      </c>
      <c r="C85" s="20">
        <v>0.8125</v>
      </c>
      <c r="D85" s="20">
        <v>0.87777777777777799</v>
      </c>
      <c r="E85" s="20">
        <v>6.5277777777777796E-2</v>
      </c>
      <c r="F85" s="21" t="s">
        <v>685</v>
      </c>
      <c r="G85" t="str">
        <f>VLOOKUP(F85,'Tipo Parada Fab 2'!$A$1:$B$105,2,FALSE())</f>
        <v>P</v>
      </c>
      <c r="H85" s="22">
        <f t="shared" si="2"/>
        <v>6.5277777777777796E-2</v>
      </c>
      <c r="I85">
        <f t="shared" si="3"/>
        <v>0</v>
      </c>
    </row>
    <row r="86" spans="1:9" x14ac:dyDescent="0.3">
      <c r="A86" s="18" t="s">
        <v>725</v>
      </c>
      <c r="B86" s="19">
        <v>45020</v>
      </c>
      <c r="C86" s="20">
        <v>0.39444444444444399</v>
      </c>
      <c r="D86" s="20">
        <v>0.43888888888888899</v>
      </c>
      <c r="E86" s="20">
        <v>4.4444444444444502E-2</v>
      </c>
      <c r="F86" s="21" t="s">
        <v>727</v>
      </c>
      <c r="G86" t="str">
        <f>VLOOKUP(F86,'Tipo Parada Fab 2'!$A$1:$B$105,2,FALSE())</f>
        <v>NP</v>
      </c>
      <c r="H86">
        <f t="shared" si="2"/>
        <v>0</v>
      </c>
      <c r="I86" s="22">
        <f t="shared" si="3"/>
        <v>4.4444444444444502E-2</v>
      </c>
    </row>
    <row r="87" spans="1:9" x14ac:dyDescent="0.3">
      <c r="A87" s="18" t="s">
        <v>725</v>
      </c>
      <c r="B87" s="19">
        <v>45020</v>
      </c>
      <c r="C87" s="20">
        <v>0.74791666666666701</v>
      </c>
      <c r="D87" s="20">
        <v>0.8125</v>
      </c>
      <c r="E87" s="20">
        <v>6.4583333333333298E-2</v>
      </c>
      <c r="F87" s="21" t="s">
        <v>685</v>
      </c>
      <c r="G87" t="str">
        <f>VLOOKUP(F87,'Tipo Parada Fab 2'!$A$1:$B$105,2,FALSE())</f>
        <v>P</v>
      </c>
      <c r="H87" s="22">
        <f t="shared" si="2"/>
        <v>6.4583333333333298E-2</v>
      </c>
      <c r="I87">
        <f t="shared" si="3"/>
        <v>0</v>
      </c>
    </row>
    <row r="88" spans="1:9" x14ac:dyDescent="0.3">
      <c r="A88" s="18" t="s">
        <v>725</v>
      </c>
      <c r="B88" s="19">
        <v>45020</v>
      </c>
      <c r="C88" s="20">
        <v>0.8125</v>
      </c>
      <c r="D88" s="20">
        <v>0.875</v>
      </c>
      <c r="E88" s="20">
        <v>6.25E-2</v>
      </c>
      <c r="F88" s="21" t="s">
        <v>685</v>
      </c>
      <c r="G88" t="str">
        <f>VLOOKUP(F88,'Tipo Parada Fab 2'!$A$1:$B$105,2,FALSE())</f>
        <v>P</v>
      </c>
      <c r="H88" s="22">
        <f t="shared" si="2"/>
        <v>6.25E-2</v>
      </c>
      <c r="I88">
        <f t="shared" si="3"/>
        <v>0</v>
      </c>
    </row>
    <row r="89" spans="1:9" x14ac:dyDescent="0.3">
      <c r="A89" s="18" t="s">
        <v>725</v>
      </c>
      <c r="B89" s="19">
        <v>45020</v>
      </c>
      <c r="C89" s="20">
        <v>0.875</v>
      </c>
      <c r="D89" s="20">
        <v>0.92847222222222203</v>
      </c>
      <c r="E89" s="20">
        <v>5.3472222222222303E-2</v>
      </c>
      <c r="F89" s="21" t="s">
        <v>728</v>
      </c>
      <c r="G89" t="str">
        <f>VLOOKUP(F89,'Tipo Parada Fab 2'!$A$1:$B$105,2,FALSE())</f>
        <v>NP</v>
      </c>
      <c r="H89">
        <f t="shared" si="2"/>
        <v>0</v>
      </c>
      <c r="I89" s="22">
        <f t="shared" si="3"/>
        <v>5.3472222222222303E-2</v>
      </c>
    </row>
    <row r="90" spans="1:9" x14ac:dyDescent="0.3">
      <c r="A90" s="18" t="s">
        <v>725</v>
      </c>
      <c r="B90" s="19">
        <v>45021</v>
      </c>
      <c r="C90" s="20">
        <v>0.74861111111111101</v>
      </c>
      <c r="D90" s="20">
        <v>0.8125</v>
      </c>
      <c r="E90" s="20">
        <v>6.3888888888888995E-2</v>
      </c>
      <c r="F90" s="21" t="s">
        <v>685</v>
      </c>
      <c r="G90" t="str">
        <f>VLOOKUP(F90,'Tipo Parada Fab 2'!$A$1:$B$105,2,FALSE())</f>
        <v>P</v>
      </c>
      <c r="H90" s="22">
        <f t="shared" si="2"/>
        <v>6.3888888888888995E-2</v>
      </c>
      <c r="I90">
        <f t="shared" si="3"/>
        <v>0</v>
      </c>
    </row>
    <row r="91" spans="1:9" x14ac:dyDescent="0.3">
      <c r="A91" s="18" t="s">
        <v>725</v>
      </c>
      <c r="B91" s="19">
        <v>45021</v>
      </c>
      <c r="C91" s="20">
        <v>0.8125</v>
      </c>
      <c r="D91" s="20">
        <v>0.87777777777777799</v>
      </c>
      <c r="E91" s="20">
        <v>6.5277777777777796E-2</v>
      </c>
      <c r="F91" s="21" t="s">
        <v>685</v>
      </c>
      <c r="G91" t="str">
        <f>VLOOKUP(F91,'Tipo Parada Fab 2'!$A$1:$B$105,2,FALSE())</f>
        <v>P</v>
      </c>
      <c r="H91" s="22">
        <f t="shared" si="2"/>
        <v>6.5277777777777796E-2</v>
      </c>
      <c r="I91">
        <f t="shared" si="3"/>
        <v>0</v>
      </c>
    </row>
    <row r="92" spans="1:9" x14ac:dyDescent="0.3">
      <c r="A92" s="18" t="s">
        <v>725</v>
      </c>
      <c r="B92" s="19">
        <v>45022</v>
      </c>
      <c r="C92" s="20">
        <v>0.74791666666666701</v>
      </c>
      <c r="D92" s="20">
        <v>0.8125</v>
      </c>
      <c r="E92" s="20">
        <v>6.4583333333333298E-2</v>
      </c>
      <c r="F92" s="21" t="s">
        <v>685</v>
      </c>
      <c r="G92" t="str">
        <f>VLOOKUP(F92,'Tipo Parada Fab 2'!$A$1:$B$105,2,FALSE())</f>
        <v>P</v>
      </c>
      <c r="H92" s="22">
        <f t="shared" si="2"/>
        <v>6.4583333333333298E-2</v>
      </c>
      <c r="I92">
        <f t="shared" si="3"/>
        <v>0</v>
      </c>
    </row>
    <row r="93" spans="1:9" x14ac:dyDescent="0.3">
      <c r="A93" s="18" t="s">
        <v>725</v>
      </c>
      <c r="B93" s="19">
        <v>45022</v>
      </c>
      <c r="C93" s="20">
        <v>0.8125</v>
      </c>
      <c r="D93" s="20">
        <v>0.87638888888888899</v>
      </c>
      <c r="E93" s="20">
        <v>6.3888888888888995E-2</v>
      </c>
      <c r="F93" s="21" t="s">
        <v>685</v>
      </c>
      <c r="G93" t="str">
        <f>VLOOKUP(F93,'Tipo Parada Fab 2'!$A$1:$B$105,2,FALSE())</f>
        <v>P</v>
      </c>
      <c r="H93" s="22">
        <f t="shared" si="2"/>
        <v>6.3888888888888995E-2</v>
      </c>
      <c r="I93">
        <f t="shared" si="3"/>
        <v>0</v>
      </c>
    </row>
    <row r="94" spans="1:9" x14ac:dyDescent="0.3">
      <c r="A94" s="18" t="s">
        <v>725</v>
      </c>
      <c r="B94" s="19">
        <v>45023</v>
      </c>
      <c r="C94" s="20">
        <v>0.45138888888888901</v>
      </c>
      <c r="D94" s="20">
        <v>0.5625</v>
      </c>
      <c r="E94" s="20">
        <v>0.11111111111111099</v>
      </c>
      <c r="F94" s="21" t="s">
        <v>729</v>
      </c>
      <c r="G94" t="str">
        <f>VLOOKUP(F94,'Tipo Parada Fab 2'!$A$1:$B$105,2,FALSE())</f>
        <v>NP</v>
      </c>
      <c r="H94">
        <f t="shared" si="2"/>
        <v>0</v>
      </c>
      <c r="I94" s="22">
        <f t="shared" si="3"/>
        <v>0.11111111111111099</v>
      </c>
    </row>
    <row r="95" spans="1:9" x14ac:dyDescent="0.3">
      <c r="A95" s="18" t="s">
        <v>725</v>
      </c>
      <c r="B95" s="19">
        <v>45023</v>
      </c>
      <c r="C95" s="20">
        <v>0.5625</v>
      </c>
      <c r="D95" s="20">
        <v>0.71180555555555503</v>
      </c>
      <c r="E95" s="20">
        <v>0.149305555555555</v>
      </c>
      <c r="F95" s="21" t="s">
        <v>730</v>
      </c>
      <c r="G95" t="str">
        <f>VLOOKUP(F95,'Tipo Parada Fab 2'!$A$1:$B$105,2,FALSE())</f>
        <v>NP</v>
      </c>
      <c r="H95">
        <f t="shared" si="2"/>
        <v>0</v>
      </c>
      <c r="I95" s="22">
        <f t="shared" si="3"/>
        <v>0.149305555555555</v>
      </c>
    </row>
    <row r="96" spans="1:9" x14ac:dyDescent="0.3">
      <c r="A96" s="18" t="s">
        <v>725</v>
      </c>
      <c r="B96" s="19">
        <v>45024</v>
      </c>
      <c r="C96" s="20">
        <v>0.58472222222222203</v>
      </c>
      <c r="D96" s="20">
        <v>0.61458333333333304</v>
      </c>
      <c r="E96" s="20">
        <v>2.9861111111111099E-2</v>
      </c>
      <c r="F96" s="21" t="s">
        <v>731</v>
      </c>
      <c r="G96" t="str">
        <f>VLOOKUP(F96,'Tipo Parada Fab 2'!$A$1:$B$105,2,FALSE())</f>
        <v>NP</v>
      </c>
      <c r="H96">
        <f t="shared" si="2"/>
        <v>0</v>
      </c>
      <c r="I96" s="22">
        <f t="shared" si="3"/>
        <v>2.9861111111111099E-2</v>
      </c>
    </row>
    <row r="97" spans="1:9" x14ac:dyDescent="0.3">
      <c r="A97" s="18" t="s">
        <v>725</v>
      </c>
      <c r="B97" s="19">
        <v>45024</v>
      </c>
      <c r="C97" s="20">
        <v>0.66736111111111096</v>
      </c>
      <c r="D97" s="20">
        <v>0.68611111111111101</v>
      </c>
      <c r="E97" s="20">
        <v>1.8749999999999899E-2</v>
      </c>
      <c r="F97" s="21" t="s">
        <v>732</v>
      </c>
      <c r="G97" t="str">
        <f>VLOOKUP(F97,'Tipo Parada Fab 2'!$A$1:$B$105,2,FALSE())</f>
        <v>NP</v>
      </c>
      <c r="H97">
        <f t="shared" si="2"/>
        <v>0</v>
      </c>
      <c r="I97" s="22">
        <f t="shared" si="3"/>
        <v>1.8749999999999899E-2</v>
      </c>
    </row>
    <row r="98" spans="1:9" x14ac:dyDescent="0.3">
      <c r="A98" s="18" t="s">
        <v>725</v>
      </c>
      <c r="B98" s="19">
        <v>45026</v>
      </c>
      <c r="C98" s="20">
        <v>0.74861111111111101</v>
      </c>
      <c r="D98" s="20">
        <v>0.8125</v>
      </c>
      <c r="E98" s="20">
        <v>6.3888888888888995E-2</v>
      </c>
      <c r="F98" s="21" t="s">
        <v>685</v>
      </c>
      <c r="G98" t="str">
        <f>VLOOKUP(F98,'Tipo Parada Fab 2'!$A$1:$B$105,2,FALSE())</f>
        <v>P</v>
      </c>
      <c r="H98" s="22">
        <f t="shared" si="2"/>
        <v>6.3888888888888995E-2</v>
      </c>
      <c r="I98">
        <f t="shared" si="3"/>
        <v>0</v>
      </c>
    </row>
    <row r="99" spans="1:9" x14ac:dyDescent="0.3">
      <c r="A99" s="18" t="s">
        <v>725</v>
      </c>
      <c r="B99" s="19">
        <v>45026</v>
      </c>
      <c r="C99" s="20">
        <v>0.8125</v>
      </c>
      <c r="D99" s="20">
        <v>0.875</v>
      </c>
      <c r="E99" s="20">
        <v>6.25E-2</v>
      </c>
      <c r="F99" s="21" t="s">
        <v>685</v>
      </c>
      <c r="G99" t="str">
        <f>VLOOKUP(F99,'Tipo Parada Fab 2'!$A$1:$B$105,2,FALSE())</f>
        <v>P</v>
      </c>
      <c r="H99" s="22">
        <f t="shared" si="2"/>
        <v>6.25E-2</v>
      </c>
      <c r="I99">
        <f t="shared" si="3"/>
        <v>0</v>
      </c>
    </row>
    <row r="100" spans="1:9" x14ac:dyDescent="0.3">
      <c r="A100" s="18" t="s">
        <v>725</v>
      </c>
      <c r="B100" s="19">
        <v>45026</v>
      </c>
      <c r="C100" s="20">
        <v>0.875</v>
      </c>
      <c r="D100" s="20">
        <v>0.88055555555555598</v>
      </c>
      <c r="E100" s="20">
        <v>5.5555555555555402E-3</v>
      </c>
      <c r="F100" s="21" t="s">
        <v>691</v>
      </c>
      <c r="G100" t="str">
        <f>VLOOKUP(F100,'Tipo Parada Fab 2'!$A$1:$B$105,2,FALSE())</f>
        <v>NP</v>
      </c>
      <c r="H100">
        <f t="shared" si="2"/>
        <v>0</v>
      </c>
      <c r="I100" s="22">
        <f t="shared" si="3"/>
        <v>5.5555555555555402E-3</v>
      </c>
    </row>
    <row r="101" spans="1:9" x14ac:dyDescent="0.3">
      <c r="A101" s="18" t="s">
        <v>725</v>
      </c>
      <c r="B101" s="19">
        <v>45027</v>
      </c>
      <c r="C101" s="20">
        <v>0.74791666666666701</v>
      </c>
      <c r="D101" s="20">
        <v>0.8125</v>
      </c>
      <c r="E101" s="20">
        <v>6.4583333333333298E-2</v>
      </c>
      <c r="F101" s="21" t="s">
        <v>685</v>
      </c>
      <c r="G101" t="str">
        <f>VLOOKUP(F101,'Tipo Parada Fab 2'!$A$1:$B$105,2,FALSE())</f>
        <v>P</v>
      </c>
      <c r="H101" s="22">
        <f t="shared" si="2"/>
        <v>6.4583333333333298E-2</v>
      </c>
      <c r="I101">
        <f t="shared" si="3"/>
        <v>0</v>
      </c>
    </row>
    <row r="102" spans="1:9" x14ac:dyDescent="0.3">
      <c r="A102" s="18" t="s">
        <v>725</v>
      </c>
      <c r="B102" s="19">
        <v>45027</v>
      </c>
      <c r="C102" s="20">
        <v>0.8125</v>
      </c>
      <c r="D102" s="20">
        <v>0.875</v>
      </c>
      <c r="E102" s="20">
        <v>6.25E-2</v>
      </c>
      <c r="F102" s="21" t="s">
        <v>685</v>
      </c>
      <c r="G102" t="str">
        <f>VLOOKUP(F102,'Tipo Parada Fab 2'!$A$1:$B$105,2,FALSE())</f>
        <v>P</v>
      </c>
      <c r="H102" s="22">
        <f t="shared" si="2"/>
        <v>6.25E-2</v>
      </c>
      <c r="I102">
        <f t="shared" si="3"/>
        <v>0</v>
      </c>
    </row>
    <row r="103" spans="1:9" x14ac:dyDescent="0.3">
      <c r="A103" s="18" t="s">
        <v>725</v>
      </c>
      <c r="B103" s="19">
        <v>45027</v>
      </c>
      <c r="C103" s="20">
        <v>0.875</v>
      </c>
      <c r="D103" s="20">
        <v>0.89930555555555503</v>
      </c>
      <c r="E103" s="20">
        <v>2.43055555555555E-2</v>
      </c>
      <c r="F103" s="21" t="s">
        <v>733</v>
      </c>
      <c r="G103" t="str">
        <f>VLOOKUP(F103,'Tipo Parada Fab 2'!$A$1:$B$105,2,FALSE())</f>
        <v>NP</v>
      </c>
      <c r="H103">
        <f t="shared" si="2"/>
        <v>0</v>
      </c>
      <c r="I103" s="22">
        <f t="shared" si="3"/>
        <v>2.43055555555555E-2</v>
      </c>
    </row>
    <row r="104" spans="1:9" x14ac:dyDescent="0.3">
      <c r="A104" s="18" t="s">
        <v>725</v>
      </c>
      <c r="B104" s="19">
        <v>45028</v>
      </c>
      <c r="C104" s="20">
        <v>0.74791666666666701</v>
      </c>
      <c r="D104" s="20">
        <v>0.8125</v>
      </c>
      <c r="E104" s="20">
        <v>6.4583333333333298E-2</v>
      </c>
      <c r="F104" s="21" t="s">
        <v>685</v>
      </c>
      <c r="G104" t="str">
        <f>VLOOKUP(F104,'Tipo Parada Fab 2'!$A$1:$B$105,2,FALSE())</f>
        <v>P</v>
      </c>
      <c r="H104" s="22">
        <f t="shared" si="2"/>
        <v>6.4583333333333298E-2</v>
      </c>
      <c r="I104">
        <f t="shared" si="3"/>
        <v>0</v>
      </c>
    </row>
    <row r="105" spans="1:9" x14ac:dyDescent="0.3">
      <c r="A105" s="18" t="s">
        <v>725</v>
      </c>
      <c r="B105" s="19">
        <v>45028</v>
      </c>
      <c r="C105" s="20">
        <v>0.8125</v>
      </c>
      <c r="D105" s="20">
        <v>0.875</v>
      </c>
      <c r="E105" s="20">
        <v>6.25E-2</v>
      </c>
      <c r="F105" s="21" t="s">
        <v>685</v>
      </c>
      <c r="G105" t="str">
        <f>VLOOKUP(F105,'Tipo Parada Fab 2'!$A$1:$B$105,2,FALSE())</f>
        <v>P</v>
      </c>
      <c r="H105" s="22">
        <f t="shared" si="2"/>
        <v>6.25E-2</v>
      </c>
      <c r="I105">
        <f t="shared" si="3"/>
        <v>0</v>
      </c>
    </row>
    <row r="106" spans="1:9" x14ac:dyDescent="0.3">
      <c r="A106" s="18" t="s">
        <v>725</v>
      </c>
      <c r="B106" s="19">
        <v>45028</v>
      </c>
      <c r="C106" s="20">
        <v>0.88819444444444395</v>
      </c>
      <c r="D106" s="20">
        <v>0.9375</v>
      </c>
      <c r="E106" s="20">
        <v>4.9305555555555602E-2</v>
      </c>
      <c r="F106" s="21" t="s">
        <v>734</v>
      </c>
      <c r="G106" t="str">
        <f>VLOOKUP(F106,'Tipo Parada Fab 2'!$A$1:$B$105,2,FALSE())</f>
        <v>NP</v>
      </c>
      <c r="H106">
        <f t="shared" si="2"/>
        <v>0</v>
      </c>
      <c r="I106" s="22">
        <f t="shared" si="3"/>
        <v>4.9305555555555602E-2</v>
      </c>
    </row>
    <row r="107" spans="1:9" x14ac:dyDescent="0.3">
      <c r="A107" s="18" t="s">
        <v>725</v>
      </c>
      <c r="B107" s="19">
        <v>45029</v>
      </c>
      <c r="C107" s="20">
        <v>0.74722222222222201</v>
      </c>
      <c r="D107" s="20">
        <v>0.8125</v>
      </c>
      <c r="E107" s="20">
        <v>6.5277777777777796E-2</v>
      </c>
      <c r="F107" s="21" t="s">
        <v>685</v>
      </c>
      <c r="G107" t="str">
        <f>VLOOKUP(F107,'Tipo Parada Fab 2'!$A$1:$B$105,2,FALSE())</f>
        <v>P</v>
      </c>
      <c r="H107" s="22">
        <f t="shared" si="2"/>
        <v>6.5277777777777796E-2</v>
      </c>
      <c r="I107">
        <f t="shared" si="3"/>
        <v>0</v>
      </c>
    </row>
    <row r="108" spans="1:9" x14ac:dyDescent="0.3">
      <c r="A108" s="18" t="s">
        <v>725</v>
      </c>
      <c r="B108" s="19">
        <v>45029</v>
      </c>
      <c r="C108" s="20">
        <v>0.8125</v>
      </c>
      <c r="D108" s="20">
        <v>0.875694444444444</v>
      </c>
      <c r="E108" s="20">
        <v>6.31944444444444E-2</v>
      </c>
      <c r="F108" s="21" t="s">
        <v>685</v>
      </c>
      <c r="G108" t="str">
        <f>VLOOKUP(F108,'Tipo Parada Fab 2'!$A$1:$B$105,2,FALSE())</f>
        <v>P</v>
      </c>
      <c r="H108" s="22">
        <f t="shared" si="2"/>
        <v>6.31944444444444E-2</v>
      </c>
      <c r="I108">
        <f t="shared" si="3"/>
        <v>0</v>
      </c>
    </row>
    <row r="109" spans="1:9" x14ac:dyDescent="0.3">
      <c r="A109" s="18" t="s">
        <v>725</v>
      </c>
      <c r="B109" s="19">
        <v>45030</v>
      </c>
      <c r="C109" s="20">
        <v>0.8125</v>
      </c>
      <c r="D109" s="20">
        <v>0.87638888888888899</v>
      </c>
      <c r="E109" s="20">
        <v>6.3888888888888995E-2</v>
      </c>
      <c r="F109" s="21" t="s">
        <v>685</v>
      </c>
      <c r="G109" t="str">
        <f>VLOOKUP(F109,'Tipo Parada Fab 2'!$A$1:$B$105,2,FALSE())</f>
        <v>P</v>
      </c>
      <c r="H109" s="22">
        <f t="shared" si="2"/>
        <v>6.3888888888888995E-2</v>
      </c>
      <c r="I109">
        <f t="shared" si="3"/>
        <v>0</v>
      </c>
    </row>
    <row r="110" spans="1:9" x14ac:dyDescent="0.3">
      <c r="A110" s="18" t="s">
        <v>725</v>
      </c>
      <c r="B110" s="19">
        <v>45031</v>
      </c>
      <c r="C110" s="20">
        <v>0.422222222222222</v>
      </c>
      <c r="D110" s="20">
        <v>0.45486111111111099</v>
      </c>
      <c r="E110" s="20">
        <v>3.2638888888888898E-2</v>
      </c>
      <c r="F110" s="21" t="s">
        <v>715</v>
      </c>
      <c r="G110" t="str">
        <f>VLOOKUP(F110,'Tipo Parada Fab 2'!$A$1:$B$105,2,FALSE())</f>
        <v>NP</v>
      </c>
      <c r="H110">
        <f t="shared" si="2"/>
        <v>0</v>
      </c>
      <c r="I110" s="22">
        <f t="shared" si="3"/>
        <v>3.2638888888888898E-2</v>
      </c>
    </row>
    <row r="111" spans="1:9" x14ac:dyDescent="0.3">
      <c r="A111" s="18" t="s">
        <v>725</v>
      </c>
      <c r="B111" s="19">
        <v>45031</v>
      </c>
      <c r="C111" s="20">
        <v>0.68402777777777801</v>
      </c>
      <c r="D111" s="20">
        <v>0.686805555555556</v>
      </c>
      <c r="E111" s="20">
        <v>2.7777777777777701E-3</v>
      </c>
      <c r="F111" s="21" t="s">
        <v>735</v>
      </c>
      <c r="G111" t="str">
        <f>VLOOKUP(F111,'Tipo Parada Fab 2'!$A$1:$B$105,2,FALSE())</f>
        <v>NP</v>
      </c>
      <c r="H111">
        <f t="shared" si="2"/>
        <v>0</v>
      </c>
      <c r="I111" s="22">
        <f t="shared" si="3"/>
        <v>2.7777777777777701E-3</v>
      </c>
    </row>
    <row r="112" spans="1:9" x14ac:dyDescent="0.3">
      <c r="A112" s="18" t="s">
        <v>725</v>
      </c>
      <c r="B112" s="19">
        <v>45032</v>
      </c>
      <c r="C112" s="20">
        <v>0.36319444444444399</v>
      </c>
      <c r="D112" s="20">
        <v>0.51805555555555605</v>
      </c>
      <c r="E112" s="20">
        <v>0.15486111111111101</v>
      </c>
      <c r="F112" s="21" t="s">
        <v>736</v>
      </c>
      <c r="G112" t="str">
        <f>VLOOKUP(F112,'Tipo Parada Fab 2'!$A$1:$B$105,2,FALSE())</f>
        <v>NP</v>
      </c>
      <c r="H112">
        <f t="shared" si="2"/>
        <v>0</v>
      </c>
      <c r="I112" s="22">
        <f t="shared" si="3"/>
        <v>0.15486111111111101</v>
      </c>
    </row>
    <row r="113" spans="1:9" x14ac:dyDescent="0.3">
      <c r="A113" s="18" t="s">
        <v>725</v>
      </c>
      <c r="B113" s="19">
        <v>45033</v>
      </c>
      <c r="C113" s="20">
        <v>0.74756944444444395</v>
      </c>
      <c r="D113" s="20">
        <v>0.8125</v>
      </c>
      <c r="E113" s="20">
        <v>6.4930555555555602E-2</v>
      </c>
      <c r="F113" s="21" t="s">
        <v>685</v>
      </c>
      <c r="G113" t="str">
        <f>VLOOKUP(F113,'Tipo Parada Fab 2'!$A$1:$B$105,2,FALSE())</f>
        <v>P</v>
      </c>
      <c r="H113" s="22">
        <f t="shared" si="2"/>
        <v>6.4930555555555602E-2</v>
      </c>
      <c r="I113">
        <f t="shared" si="3"/>
        <v>0</v>
      </c>
    </row>
    <row r="114" spans="1:9" x14ac:dyDescent="0.3">
      <c r="A114" s="18" t="s">
        <v>725</v>
      </c>
      <c r="B114" s="19">
        <v>45033</v>
      </c>
      <c r="C114" s="20">
        <v>0.8125</v>
      </c>
      <c r="D114" s="20">
        <v>0.875</v>
      </c>
      <c r="E114" s="20">
        <v>6.25E-2</v>
      </c>
      <c r="F114" s="21" t="s">
        <v>685</v>
      </c>
      <c r="G114" t="str">
        <f>VLOOKUP(F114,'Tipo Parada Fab 2'!$A$1:$B$105,2,FALSE())</f>
        <v>P</v>
      </c>
      <c r="H114" s="22">
        <f t="shared" si="2"/>
        <v>6.25E-2</v>
      </c>
      <c r="I114">
        <f t="shared" si="3"/>
        <v>0</v>
      </c>
    </row>
    <row r="115" spans="1:9" x14ac:dyDescent="0.3">
      <c r="A115" s="18" t="s">
        <v>725</v>
      </c>
      <c r="B115" s="19">
        <v>45034</v>
      </c>
      <c r="C115" s="20">
        <v>0.33194444444444399</v>
      </c>
      <c r="D115" s="20">
        <v>0.359027777777778</v>
      </c>
      <c r="E115" s="20">
        <v>2.70833333333333E-2</v>
      </c>
      <c r="F115" s="21" t="s">
        <v>737</v>
      </c>
      <c r="G115" t="str">
        <f>VLOOKUP(F115,'Tipo Parada Fab 2'!$A$1:$B$105,2,FALSE())</f>
        <v>NP</v>
      </c>
      <c r="H115">
        <f t="shared" si="2"/>
        <v>0</v>
      </c>
      <c r="I115" s="22">
        <f t="shared" si="3"/>
        <v>2.70833333333333E-2</v>
      </c>
    </row>
    <row r="116" spans="1:9" x14ac:dyDescent="0.3">
      <c r="A116" s="18" t="s">
        <v>725</v>
      </c>
      <c r="B116" s="19">
        <v>45034</v>
      </c>
      <c r="C116" s="20">
        <v>0.74756944444444395</v>
      </c>
      <c r="D116" s="20">
        <v>0.8125</v>
      </c>
      <c r="E116" s="20">
        <v>6.4930555555555602E-2</v>
      </c>
      <c r="F116" s="21" t="s">
        <v>685</v>
      </c>
      <c r="G116" t="str">
        <f>VLOOKUP(F116,'Tipo Parada Fab 2'!$A$1:$B$105,2,FALSE())</f>
        <v>P</v>
      </c>
      <c r="H116" s="22">
        <f t="shared" si="2"/>
        <v>6.4930555555555602E-2</v>
      </c>
      <c r="I116">
        <f t="shared" si="3"/>
        <v>0</v>
      </c>
    </row>
    <row r="117" spans="1:9" x14ac:dyDescent="0.3">
      <c r="A117" s="18" t="s">
        <v>725</v>
      </c>
      <c r="B117" s="19">
        <v>45034</v>
      </c>
      <c r="C117" s="20">
        <v>0.8125</v>
      </c>
      <c r="D117" s="20">
        <v>0.87673611111111105</v>
      </c>
      <c r="E117" s="20">
        <v>6.4236111111111202E-2</v>
      </c>
      <c r="F117" s="21" t="s">
        <v>685</v>
      </c>
      <c r="G117" t="str">
        <f>VLOOKUP(F117,'Tipo Parada Fab 2'!$A$1:$B$105,2,FALSE())</f>
        <v>P</v>
      </c>
      <c r="H117" s="22">
        <f t="shared" si="2"/>
        <v>6.4236111111111202E-2</v>
      </c>
      <c r="I117">
        <f t="shared" si="3"/>
        <v>0</v>
      </c>
    </row>
    <row r="118" spans="1:9" x14ac:dyDescent="0.3">
      <c r="A118" s="18" t="s">
        <v>725</v>
      </c>
      <c r="B118" s="19">
        <v>45035</v>
      </c>
      <c r="C118" s="20">
        <v>0.33194444444444399</v>
      </c>
      <c r="D118" s="20">
        <v>0.359027777777778</v>
      </c>
      <c r="E118" s="20">
        <v>2.70833333333333E-2</v>
      </c>
      <c r="F118" s="21" t="s">
        <v>737</v>
      </c>
      <c r="G118" t="str">
        <f>VLOOKUP(F118,'Tipo Parada Fab 2'!$A$1:$B$105,2,FALSE())</f>
        <v>NP</v>
      </c>
      <c r="H118">
        <f t="shared" si="2"/>
        <v>0</v>
      </c>
      <c r="I118" s="22">
        <f t="shared" si="3"/>
        <v>2.70833333333333E-2</v>
      </c>
    </row>
    <row r="119" spans="1:9" x14ac:dyDescent="0.3">
      <c r="A119" s="18" t="s">
        <v>725</v>
      </c>
      <c r="B119" s="19">
        <v>45035</v>
      </c>
      <c r="C119" s="20">
        <v>0.74687499999999996</v>
      </c>
      <c r="D119" s="20">
        <v>0.8125</v>
      </c>
      <c r="E119" s="20">
        <v>6.5624999999999906E-2</v>
      </c>
      <c r="F119" s="21" t="s">
        <v>685</v>
      </c>
      <c r="G119" t="str">
        <f>VLOOKUP(F119,'Tipo Parada Fab 2'!$A$1:$B$105,2,FALSE())</f>
        <v>P</v>
      </c>
      <c r="H119" s="22">
        <f t="shared" si="2"/>
        <v>6.5624999999999906E-2</v>
      </c>
      <c r="I119">
        <f t="shared" si="3"/>
        <v>0</v>
      </c>
    </row>
    <row r="120" spans="1:9" x14ac:dyDescent="0.3">
      <c r="A120" s="18" t="s">
        <v>725</v>
      </c>
      <c r="B120" s="19">
        <v>45035</v>
      </c>
      <c r="C120" s="20">
        <v>0.8125</v>
      </c>
      <c r="D120" s="20">
        <v>0.87673611111111105</v>
      </c>
      <c r="E120" s="20">
        <v>6.4236111111111202E-2</v>
      </c>
      <c r="F120" s="21" t="s">
        <v>685</v>
      </c>
      <c r="G120" t="str">
        <f>VLOOKUP(F120,'Tipo Parada Fab 2'!$A$1:$B$105,2,FALSE())</f>
        <v>P</v>
      </c>
      <c r="H120" s="22">
        <f t="shared" si="2"/>
        <v>6.4236111111111202E-2</v>
      </c>
      <c r="I120">
        <f t="shared" si="3"/>
        <v>0</v>
      </c>
    </row>
    <row r="121" spans="1:9" x14ac:dyDescent="0.3">
      <c r="A121" s="18" t="s">
        <v>725</v>
      </c>
      <c r="B121" s="19">
        <v>45036</v>
      </c>
      <c r="C121" s="20">
        <v>0.74756944444444395</v>
      </c>
      <c r="D121" s="20">
        <v>0.8125</v>
      </c>
      <c r="E121" s="20">
        <v>6.4930555555555602E-2</v>
      </c>
      <c r="F121" s="21" t="s">
        <v>685</v>
      </c>
      <c r="G121" t="str">
        <f>VLOOKUP(F121,'Tipo Parada Fab 2'!$A$1:$B$105,2,FALSE())</f>
        <v>P</v>
      </c>
      <c r="H121" s="22">
        <f t="shared" si="2"/>
        <v>6.4930555555555602E-2</v>
      </c>
      <c r="I121">
        <f t="shared" si="3"/>
        <v>0</v>
      </c>
    </row>
    <row r="122" spans="1:9" x14ac:dyDescent="0.3">
      <c r="A122" s="18" t="s">
        <v>725</v>
      </c>
      <c r="B122" s="19">
        <v>45036</v>
      </c>
      <c r="C122" s="20">
        <v>0.8125</v>
      </c>
      <c r="D122" s="20">
        <v>0.875</v>
      </c>
      <c r="E122" s="20">
        <v>6.25E-2</v>
      </c>
      <c r="F122" s="21" t="s">
        <v>685</v>
      </c>
      <c r="G122" t="str">
        <f>VLOOKUP(F122,'Tipo Parada Fab 2'!$A$1:$B$105,2,FALSE())</f>
        <v>P</v>
      </c>
      <c r="H122" s="22">
        <f t="shared" si="2"/>
        <v>6.25E-2</v>
      </c>
      <c r="I122">
        <f t="shared" si="3"/>
        <v>0</v>
      </c>
    </row>
    <row r="123" spans="1:9" x14ac:dyDescent="0.3">
      <c r="A123" s="18" t="s">
        <v>725</v>
      </c>
      <c r="B123" s="19">
        <v>45036</v>
      </c>
      <c r="C123" s="20">
        <v>0.875</v>
      </c>
      <c r="D123" s="20">
        <v>0.88263888888888897</v>
      </c>
      <c r="E123" s="20">
        <v>7.63888888888886E-3</v>
      </c>
      <c r="F123" s="21" t="s">
        <v>738</v>
      </c>
      <c r="G123" t="str">
        <f>VLOOKUP(F123,'Tipo Parada Fab 2'!$A$1:$B$105,2,FALSE())</f>
        <v>NP</v>
      </c>
      <c r="H123">
        <f t="shared" si="2"/>
        <v>0</v>
      </c>
      <c r="I123" s="22">
        <f t="shared" si="3"/>
        <v>7.63888888888886E-3</v>
      </c>
    </row>
    <row r="124" spans="1:9" x14ac:dyDescent="0.3">
      <c r="A124" s="18" t="s">
        <v>725</v>
      </c>
      <c r="B124" s="19">
        <v>45037</v>
      </c>
      <c r="C124" s="20">
        <v>0.44236111111111098</v>
      </c>
      <c r="D124" s="20">
        <v>0.44374999999999998</v>
      </c>
      <c r="E124" s="20">
        <v>1.3888888888888801E-3</v>
      </c>
      <c r="F124" s="21" t="s">
        <v>739</v>
      </c>
      <c r="G124" t="str">
        <f>VLOOKUP(F124,'Tipo Parada Fab 2'!$A$1:$B$105,2,FALSE())</f>
        <v>NP</v>
      </c>
      <c r="H124">
        <f t="shared" si="2"/>
        <v>0</v>
      </c>
      <c r="I124" s="22">
        <f t="shared" si="3"/>
        <v>1.3888888888888801E-3</v>
      </c>
    </row>
    <row r="125" spans="1:9" x14ac:dyDescent="0.3">
      <c r="A125" s="18" t="s">
        <v>725</v>
      </c>
      <c r="B125" s="19">
        <v>45038</v>
      </c>
      <c r="C125" s="20">
        <v>0.63680555555555496</v>
      </c>
      <c r="D125" s="20">
        <v>0.68888888888888899</v>
      </c>
      <c r="E125" s="20">
        <v>5.2083333333333502E-2</v>
      </c>
      <c r="F125" s="21" t="s">
        <v>740</v>
      </c>
      <c r="G125" t="str">
        <f>VLOOKUP(F125,'Tipo Parada Fab 2'!$A$1:$B$105,2,FALSE())</f>
        <v>NP</v>
      </c>
      <c r="H125">
        <f t="shared" si="2"/>
        <v>0</v>
      </c>
      <c r="I125" s="22">
        <f t="shared" si="3"/>
        <v>5.2083333333333502E-2</v>
      </c>
    </row>
    <row r="126" spans="1:9" x14ac:dyDescent="0.3">
      <c r="A126" s="18" t="s">
        <v>725</v>
      </c>
      <c r="B126" s="19">
        <v>45039</v>
      </c>
      <c r="C126" s="20">
        <v>0.69097222222222199</v>
      </c>
      <c r="D126" s="20">
        <v>0.69374999999999998</v>
      </c>
      <c r="E126" s="20">
        <v>2.7777777777777701E-3</v>
      </c>
      <c r="F126" s="21" t="s">
        <v>708</v>
      </c>
      <c r="G126" t="str">
        <f>VLOOKUP(F126,'Tipo Parada Fab 2'!$A$1:$B$105,2,FALSE())</f>
        <v>NP</v>
      </c>
      <c r="H126">
        <f t="shared" si="2"/>
        <v>0</v>
      </c>
      <c r="I126" s="22">
        <f t="shared" si="3"/>
        <v>2.7777777777777701E-3</v>
      </c>
    </row>
    <row r="127" spans="1:9" x14ac:dyDescent="0.3">
      <c r="A127" s="18" t="s">
        <v>725</v>
      </c>
      <c r="B127" s="19">
        <v>45040</v>
      </c>
      <c r="C127" s="20">
        <v>0.70763888888888904</v>
      </c>
      <c r="D127" s="20">
        <v>0.8125</v>
      </c>
      <c r="E127" s="20">
        <v>0.104861111111111</v>
      </c>
      <c r="F127" s="21" t="s">
        <v>685</v>
      </c>
      <c r="G127" t="str">
        <f>VLOOKUP(F127,'Tipo Parada Fab 2'!$A$1:$B$105,2,FALSE())</f>
        <v>P</v>
      </c>
      <c r="H127" s="22">
        <f t="shared" si="2"/>
        <v>0.104861111111111</v>
      </c>
      <c r="I127">
        <f t="shared" si="3"/>
        <v>0</v>
      </c>
    </row>
    <row r="128" spans="1:9" x14ac:dyDescent="0.3">
      <c r="A128" s="18" t="s">
        <v>725</v>
      </c>
      <c r="B128" s="19">
        <v>45040</v>
      </c>
      <c r="C128" s="20">
        <v>0.8125</v>
      </c>
      <c r="D128" s="20">
        <v>0.875694444444444</v>
      </c>
      <c r="E128" s="20">
        <v>6.31944444444444E-2</v>
      </c>
      <c r="F128" s="21" t="s">
        <v>685</v>
      </c>
      <c r="G128" t="str">
        <f>VLOOKUP(F128,'Tipo Parada Fab 2'!$A$1:$B$105,2,FALSE())</f>
        <v>P</v>
      </c>
      <c r="H128" s="22">
        <f t="shared" si="2"/>
        <v>6.31944444444444E-2</v>
      </c>
      <c r="I128">
        <f t="shared" si="3"/>
        <v>0</v>
      </c>
    </row>
    <row r="129" spans="1:9" x14ac:dyDescent="0.3">
      <c r="A129" s="18" t="s">
        <v>725</v>
      </c>
      <c r="B129" s="19">
        <v>45041</v>
      </c>
      <c r="C129" s="20">
        <v>0.74791666666666701</v>
      </c>
      <c r="D129" s="20">
        <v>0.8125</v>
      </c>
      <c r="E129" s="20">
        <v>6.4583333333333298E-2</v>
      </c>
      <c r="F129" s="21" t="s">
        <v>685</v>
      </c>
      <c r="G129" t="str">
        <f>VLOOKUP(F129,'Tipo Parada Fab 2'!$A$1:$B$105,2,FALSE())</f>
        <v>P</v>
      </c>
      <c r="H129" s="22">
        <f t="shared" si="2"/>
        <v>6.4583333333333298E-2</v>
      </c>
      <c r="I129">
        <f t="shared" si="3"/>
        <v>0</v>
      </c>
    </row>
    <row r="130" spans="1:9" x14ac:dyDescent="0.3">
      <c r="A130" s="18" t="s">
        <v>725</v>
      </c>
      <c r="B130" s="19">
        <v>45041</v>
      </c>
      <c r="C130" s="20">
        <v>0.8125</v>
      </c>
      <c r="D130" s="20">
        <v>0.87916666666666698</v>
      </c>
      <c r="E130" s="20">
        <v>6.6666666666666805E-2</v>
      </c>
      <c r="F130" s="21" t="s">
        <v>685</v>
      </c>
      <c r="G130" t="str">
        <f>VLOOKUP(F130,'Tipo Parada Fab 2'!$A$1:$B$105,2,FALSE())</f>
        <v>P</v>
      </c>
      <c r="H130" s="22">
        <f t="shared" ref="H130:H193" si="4">IF(G130="P",E130,0)</f>
        <v>6.6666666666666805E-2</v>
      </c>
      <c r="I130">
        <f t="shared" ref="I130:I193" si="5">IF(G130="NP",E130,0)</f>
        <v>0</v>
      </c>
    </row>
    <row r="131" spans="1:9" x14ac:dyDescent="0.3">
      <c r="A131" s="18" t="s">
        <v>725</v>
      </c>
      <c r="B131" s="19">
        <v>45042</v>
      </c>
      <c r="C131" s="20">
        <v>0.74791666666666701</v>
      </c>
      <c r="D131" s="20">
        <v>0.8125</v>
      </c>
      <c r="E131" s="20">
        <v>6.4583333333333298E-2</v>
      </c>
      <c r="F131" s="21" t="s">
        <v>685</v>
      </c>
      <c r="G131" t="str">
        <f>VLOOKUP(F131,'Tipo Parada Fab 2'!$A$1:$B$105,2,FALSE())</f>
        <v>P</v>
      </c>
      <c r="H131" s="22">
        <f t="shared" si="4"/>
        <v>6.4583333333333298E-2</v>
      </c>
      <c r="I131">
        <f t="shared" si="5"/>
        <v>0</v>
      </c>
    </row>
    <row r="132" spans="1:9" x14ac:dyDescent="0.3">
      <c r="A132" s="18" t="s">
        <v>725</v>
      </c>
      <c r="B132" s="19">
        <v>45042</v>
      </c>
      <c r="C132" s="20">
        <v>0.8125</v>
      </c>
      <c r="D132" s="20">
        <v>0.87638888888888899</v>
      </c>
      <c r="E132" s="20">
        <v>6.3888888888888995E-2</v>
      </c>
      <c r="F132" s="21" t="s">
        <v>685</v>
      </c>
      <c r="G132" t="str">
        <f>VLOOKUP(F132,'Tipo Parada Fab 2'!$A$1:$B$105,2,FALSE())</f>
        <v>P</v>
      </c>
      <c r="H132" s="22">
        <f t="shared" si="4"/>
        <v>6.3888888888888995E-2</v>
      </c>
      <c r="I132">
        <f t="shared" si="5"/>
        <v>0</v>
      </c>
    </row>
    <row r="133" spans="1:9" x14ac:dyDescent="0.3">
      <c r="A133" s="18" t="s">
        <v>725</v>
      </c>
      <c r="B133" s="19">
        <v>45043</v>
      </c>
      <c r="C133" s="20">
        <v>0.74791666666666701</v>
      </c>
      <c r="D133" s="20">
        <v>0.8125</v>
      </c>
      <c r="E133" s="20">
        <v>6.4583333333333298E-2</v>
      </c>
      <c r="F133" s="21" t="s">
        <v>685</v>
      </c>
      <c r="G133" t="str">
        <f>VLOOKUP(F133,'Tipo Parada Fab 2'!$A$1:$B$105,2,FALSE())</f>
        <v>P</v>
      </c>
      <c r="H133" s="22">
        <f t="shared" si="4"/>
        <v>6.4583333333333298E-2</v>
      </c>
      <c r="I133">
        <f t="shared" si="5"/>
        <v>0</v>
      </c>
    </row>
    <row r="134" spans="1:9" x14ac:dyDescent="0.3">
      <c r="A134" s="18" t="s">
        <v>725</v>
      </c>
      <c r="B134" s="19">
        <v>45043</v>
      </c>
      <c r="C134" s="20">
        <v>0.8125</v>
      </c>
      <c r="D134" s="20">
        <v>0.87986111111111098</v>
      </c>
      <c r="E134" s="20">
        <v>6.7361111111111094E-2</v>
      </c>
      <c r="F134" s="21" t="s">
        <v>685</v>
      </c>
      <c r="G134" t="str">
        <f>VLOOKUP(F134,'Tipo Parada Fab 2'!$A$1:$B$105,2,FALSE())</f>
        <v>P</v>
      </c>
      <c r="H134" s="22">
        <f t="shared" si="4"/>
        <v>6.7361111111111094E-2</v>
      </c>
      <c r="I134">
        <f t="shared" si="5"/>
        <v>0</v>
      </c>
    </row>
    <row r="135" spans="1:9" x14ac:dyDescent="0.3">
      <c r="A135" s="18" t="s">
        <v>725</v>
      </c>
      <c r="B135" s="19">
        <v>45044</v>
      </c>
      <c r="C135" s="20">
        <v>0.74791666666666701</v>
      </c>
      <c r="D135" s="20">
        <v>0.8125</v>
      </c>
      <c r="E135" s="20">
        <v>6.4583333333333298E-2</v>
      </c>
      <c r="F135" s="21" t="s">
        <v>685</v>
      </c>
      <c r="G135" t="str">
        <f>VLOOKUP(F135,'Tipo Parada Fab 2'!$A$1:$B$105,2,FALSE())</f>
        <v>P</v>
      </c>
      <c r="H135" s="22">
        <f t="shared" si="4"/>
        <v>6.4583333333333298E-2</v>
      </c>
      <c r="I135">
        <f t="shared" si="5"/>
        <v>0</v>
      </c>
    </row>
    <row r="136" spans="1:9" x14ac:dyDescent="0.3">
      <c r="A136" s="18" t="s">
        <v>725</v>
      </c>
      <c r="B136" s="19">
        <v>45044</v>
      </c>
      <c r="C136" s="20">
        <v>0.8125</v>
      </c>
      <c r="D136" s="20">
        <v>0.875</v>
      </c>
      <c r="E136" s="20">
        <v>6.25E-2</v>
      </c>
      <c r="F136" s="21" t="s">
        <v>685</v>
      </c>
      <c r="G136" t="str">
        <f>VLOOKUP(F136,'Tipo Parada Fab 2'!$A$1:$B$105,2,FALSE())</f>
        <v>P</v>
      </c>
      <c r="H136" s="22">
        <f t="shared" si="4"/>
        <v>6.25E-2</v>
      </c>
      <c r="I136">
        <f t="shared" si="5"/>
        <v>0</v>
      </c>
    </row>
    <row r="137" spans="1:9" x14ac:dyDescent="0.3">
      <c r="A137" s="18" t="s">
        <v>725</v>
      </c>
      <c r="B137" s="19">
        <v>45044</v>
      </c>
      <c r="C137" s="20">
        <v>0.875</v>
      </c>
      <c r="D137" s="20">
        <v>0.88263888888888897</v>
      </c>
      <c r="E137" s="20">
        <v>7.63888888888886E-3</v>
      </c>
      <c r="F137" s="21" t="s">
        <v>723</v>
      </c>
      <c r="G137" t="str">
        <f>VLOOKUP(F137,'Tipo Parada Fab 2'!$A$1:$B$105,2,FALSE())</f>
        <v>NP</v>
      </c>
      <c r="H137">
        <f t="shared" si="4"/>
        <v>0</v>
      </c>
      <c r="I137" s="22">
        <f t="shared" si="5"/>
        <v>7.63888888888886E-3</v>
      </c>
    </row>
    <row r="138" spans="1:9" x14ac:dyDescent="0.3">
      <c r="A138" s="18" t="s">
        <v>725</v>
      </c>
      <c r="B138" s="19">
        <v>45044</v>
      </c>
      <c r="C138" s="20">
        <v>0.89583333333333304</v>
      </c>
      <c r="D138" s="20">
        <v>0.90208333333333302</v>
      </c>
      <c r="E138" s="20">
        <v>6.2499999999998702E-3</v>
      </c>
      <c r="F138" s="21" t="s">
        <v>741</v>
      </c>
      <c r="G138" t="str">
        <f>VLOOKUP(F138,'Tipo Parada Fab 2'!$A$1:$B$105,2,FALSE())</f>
        <v>NP</v>
      </c>
      <c r="H138">
        <f t="shared" si="4"/>
        <v>0</v>
      </c>
      <c r="I138" s="22">
        <f t="shared" si="5"/>
        <v>6.2499999999998702E-3</v>
      </c>
    </row>
    <row r="139" spans="1:9" x14ac:dyDescent="0.3">
      <c r="A139" s="18" t="s">
        <v>725</v>
      </c>
      <c r="B139" s="19">
        <v>45046</v>
      </c>
      <c r="C139" s="20">
        <v>0.79444444444444395</v>
      </c>
      <c r="D139" s="20">
        <v>0.8125</v>
      </c>
      <c r="E139" s="20">
        <v>1.8055555555555599E-2</v>
      </c>
      <c r="F139" s="21" t="s">
        <v>742</v>
      </c>
      <c r="G139" t="str">
        <f>VLOOKUP(F139,'Tipo Parada Fab 2'!$A$1:$B$105,2,FALSE())</f>
        <v>NP</v>
      </c>
      <c r="H139">
        <f t="shared" si="4"/>
        <v>0</v>
      </c>
      <c r="I139" s="22">
        <f t="shared" si="5"/>
        <v>1.8055555555555599E-2</v>
      </c>
    </row>
    <row r="140" spans="1:9" x14ac:dyDescent="0.3">
      <c r="A140" s="18" t="s">
        <v>725</v>
      </c>
      <c r="B140" s="19">
        <v>45046</v>
      </c>
      <c r="C140" s="20">
        <v>0.8125</v>
      </c>
      <c r="D140" s="20">
        <v>0.81874999999999998</v>
      </c>
      <c r="E140" s="20">
        <v>6.2499999999999804E-3</v>
      </c>
      <c r="F140" s="21" t="s">
        <v>742</v>
      </c>
      <c r="G140" t="str">
        <f>VLOOKUP(F140,'Tipo Parada Fab 2'!$A$1:$B$105,2,FALSE())</f>
        <v>NP</v>
      </c>
      <c r="H140">
        <f t="shared" si="4"/>
        <v>0</v>
      </c>
      <c r="I140" s="22">
        <f t="shared" si="5"/>
        <v>6.2499999999999804E-3</v>
      </c>
    </row>
    <row r="141" spans="1:9" x14ac:dyDescent="0.3">
      <c r="A141" s="18" t="s">
        <v>725</v>
      </c>
      <c r="B141" s="19">
        <v>45046</v>
      </c>
      <c r="C141" s="20">
        <v>0.81874999999999998</v>
      </c>
      <c r="D141" s="20">
        <v>0.85624999999999996</v>
      </c>
      <c r="E141" s="20">
        <v>3.7500000000000103E-2</v>
      </c>
      <c r="F141" s="21" t="s">
        <v>743</v>
      </c>
      <c r="G141" t="str">
        <f>VLOOKUP(F141,'Tipo Parada Fab 2'!$A$1:$B$105,2,FALSE())</f>
        <v>NP</v>
      </c>
      <c r="H141">
        <f t="shared" si="4"/>
        <v>0</v>
      </c>
      <c r="I141" s="22">
        <f t="shared" si="5"/>
        <v>3.7500000000000103E-2</v>
      </c>
    </row>
    <row r="142" spans="1:9" x14ac:dyDescent="0.3">
      <c r="A142" s="18" t="s">
        <v>725</v>
      </c>
      <c r="B142" s="19">
        <v>45046</v>
      </c>
      <c r="C142" s="20">
        <v>0.85624999999999996</v>
      </c>
      <c r="D142" s="20">
        <v>0.87152777777777801</v>
      </c>
      <c r="E142" s="20">
        <v>1.5277777777777699E-2</v>
      </c>
      <c r="F142" s="21" t="s">
        <v>742</v>
      </c>
      <c r="G142" t="str">
        <f>VLOOKUP(F142,'Tipo Parada Fab 2'!$A$1:$B$105,2,FALSE())</f>
        <v>NP</v>
      </c>
      <c r="H142">
        <f t="shared" si="4"/>
        <v>0</v>
      </c>
      <c r="I142" s="22">
        <f t="shared" si="5"/>
        <v>1.5277777777777699E-2</v>
      </c>
    </row>
    <row r="143" spans="1:9" x14ac:dyDescent="0.3">
      <c r="A143" s="18" t="s">
        <v>744</v>
      </c>
      <c r="B143" s="19">
        <v>45017</v>
      </c>
      <c r="C143" s="20">
        <v>0.35625000000000001</v>
      </c>
      <c r="D143" s="20">
        <v>0.358333333333333</v>
      </c>
      <c r="E143" s="20">
        <v>2.0833333333333298E-3</v>
      </c>
      <c r="F143" s="21" t="s">
        <v>745</v>
      </c>
      <c r="G143" t="str">
        <f>VLOOKUP(F143,'Tipo Parada Fab 2'!$A$1:$B$105,2,FALSE())</f>
        <v>NP</v>
      </c>
      <c r="H143">
        <f t="shared" si="4"/>
        <v>0</v>
      </c>
      <c r="I143" s="22">
        <f t="shared" si="5"/>
        <v>2.0833333333333298E-3</v>
      </c>
    </row>
    <row r="144" spans="1:9" x14ac:dyDescent="0.3">
      <c r="A144" s="18" t="s">
        <v>744</v>
      </c>
      <c r="B144" s="19">
        <v>45017</v>
      </c>
      <c r="C144" s="20">
        <v>0.97638888888888897</v>
      </c>
      <c r="D144" s="20">
        <v>0.97916666666666696</v>
      </c>
      <c r="E144" s="20">
        <v>2.7777777777777701E-3</v>
      </c>
      <c r="F144" s="21" t="s">
        <v>692</v>
      </c>
      <c r="G144" t="str">
        <f>VLOOKUP(F144,'Tipo Parada Fab 2'!$A$1:$B$105,2,FALSE())</f>
        <v>NP</v>
      </c>
      <c r="H144">
        <f t="shared" si="4"/>
        <v>0</v>
      </c>
      <c r="I144" s="22">
        <f t="shared" si="5"/>
        <v>2.7777777777777701E-3</v>
      </c>
    </row>
    <row r="145" spans="1:9" x14ac:dyDescent="0.3">
      <c r="A145" s="18" t="s">
        <v>744</v>
      </c>
      <c r="B145" s="19">
        <v>45018</v>
      </c>
      <c r="C145" s="20">
        <v>0.44027777777777799</v>
      </c>
      <c r="D145" s="20">
        <v>0.44236111111111098</v>
      </c>
      <c r="E145" s="20">
        <v>2.0833333333333801E-3</v>
      </c>
      <c r="F145" s="21" t="s">
        <v>746</v>
      </c>
      <c r="G145" t="str">
        <f>VLOOKUP(F145,'Tipo Parada Fab 2'!$A$1:$B$105,2,FALSE())</f>
        <v>NP</v>
      </c>
      <c r="H145">
        <f t="shared" si="4"/>
        <v>0</v>
      </c>
      <c r="I145" s="22">
        <f t="shared" si="5"/>
        <v>2.0833333333333801E-3</v>
      </c>
    </row>
    <row r="146" spans="1:9" x14ac:dyDescent="0.3">
      <c r="A146" s="18" t="s">
        <v>744</v>
      </c>
      <c r="B146" s="19">
        <v>45019</v>
      </c>
      <c r="C146" s="20">
        <v>0.44027777777777799</v>
      </c>
      <c r="D146" s="20">
        <v>0.44236111111111098</v>
      </c>
      <c r="E146" s="20">
        <v>2.0833333333333801E-3</v>
      </c>
      <c r="F146" s="21" t="s">
        <v>746</v>
      </c>
      <c r="G146" t="str">
        <f>VLOOKUP(F146,'Tipo Parada Fab 2'!$A$1:$B$105,2,FALSE())</f>
        <v>NP</v>
      </c>
      <c r="H146">
        <f t="shared" si="4"/>
        <v>0</v>
      </c>
      <c r="I146" s="22">
        <f t="shared" si="5"/>
        <v>2.0833333333333801E-3</v>
      </c>
    </row>
    <row r="147" spans="1:9" x14ac:dyDescent="0.3">
      <c r="A147" s="18" t="s">
        <v>744</v>
      </c>
      <c r="B147" s="19">
        <v>45019</v>
      </c>
      <c r="C147" s="20">
        <v>0.74861111111111101</v>
      </c>
      <c r="D147" s="20">
        <v>0.8125</v>
      </c>
      <c r="E147" s="20">
        <v>6.3888888888888995E-2</v>
      </c>
      <c r="F147" s="21" t="s">
        <v>685</v>
      </c>
      <c r="G147" t="str">
        <f>VLOOKUP(F147,'Tipo Parada Fab 2'!$A$1:$B$105,2,FALSE())</f>
        <v>P</v>
      </c>
      <c r="H147" s="22">
        <f t="shared" si="4"/>
        <v>6.3888888888888995E-2</v>
      </c>
      <c r="I147">
        <f t="shared" si="5"/>
        <v>0</v>
      </c>
    </row>
    <row r="148" spans="1:9" x14ac:dyDescent="0.3">
      <c r="A148" s="18" t="s">
        <v>744</v>
      </c>
      <c r="B148" s="19">
        <v>45019</v>
      </c>
      <c r="C148" s="20">
        <v>0.8125</v>
      </c>
      <c r="D148" s="20">
        <v>0.875</v>
      </c>
      <c r="E148" s="20">
        <v>6.25E-2</v>
      </c>
      <c r="F148" s="21" t="s">
        <v>685</v>
      </c>
      <c r="G148" t="str">
        <f>VLOOKUP(F148,'Tipo Parada Fab 2'!$A$1:$B$105,2,FALSE())</f>
        <v>P</v>
      </c>
      <c r="H148" s="22">
        <f t="shared" si="4"/>
        <v>6.25E-2</v>
      </c>
      <c r="I148">
        <f t="shared" si="5"/>
        <v>0</v>
      </c>
    </row>
    <row r="149" spans="1:9" x14ac:dyDescent="0.3">
      <c r="A149" s="18" t="s">
        <v>744</v>
      </c>
      <c r="B149" s="19">
        <v>45019</v>
      </c>
      <c r="C149" s="20">
        <v>0.875</v>
      </c>
      <c r="D149" s="20">
        <v>0.88124999999999998</v>
      </c>
      <c r="E149" s="20">
        <v>6.2499999999999804E-3</v>
      </c>
      <c r="F149" s="21" t="s">
        <v>747</v>
      </c>
      <c r="G149" t="str">
        <f>VLOOKUP(F149,'Tipo Parada Fab 2'!$A$1:$B$105,2,FALSE())</f>
        <v>NP</v>
      </c>
      <c r="H149">
        <f t="shared" si="4"/>
        <v>0</v>
      </c>
      <c r="I149" s="22">
        <f t="shared" si="5"/>
        <v>6.2499999999999804E-3</v>
      </c>
    </row>
    <row r="150" spans="1:9" x14ac:dyDescent="0.3">
      <c r="A150" s="18" t="s">
        <v>744</v>
      </c>
      <c r="B150" s="19">
        <v>45020</v>
      </c>
      <c r="C150" s="20">
        <v>0.14513888888888901</v>
      </c>
      <c r="D150" s="20">
        <v>0.3125</v>
      </c>
      <c r="E150" s="20">
        <v>0.16736111111111099</v>
      </c>
      <c r="F150" s="21" t="s">
        <v>748</v>
      </c>
      <c r="G150" t="str">
        <f>VLOOKUP(F150,'Tipo Parada Fab 2'!$A$1:$B$105,2,FALSE())</f>
        <v>NP</v>
      </c>
      <c r="H150">
        <f t="shared" si="4"/>
        <v>0</v>
      </c>
      <c r="I150" s="22">
        <f t="shared" si="5"/>
        <v>0.16736111111111099</v>
      </c>
    </row>
    <row r="151" spans="1:9" x14ac:dyDescent="0.3">
      <c r="A151" s="18" t="s">
        <v>744</v>
      </c>
      <c r="B151" s="19">
        <v>45020</v>
      </c>
      <c r="C151" s="20">
        <v>0.3125</v>
      </c>
      <c r="D151" s="20">
        <v>0.36458333333333298</v>
      </c>
      <c r="E151" s="20">
        <v>5.2083333333333301E-2</v>
      </c>
      <c r="F151" s="21" t="s">
        <v>748</v>
      </c>
      <c r="G151" t="str">
        <f>VLOOKUP(F151,'Tipo Parada Fab 2'!$A$1:$B$105,2,FALSE())</f>
        <v>NP</v>
      </c>
      <c r="H151">
        <f t="shared" si="4"/>
        <v>0</v>
      </c>
      <c r="I151" s="22">
        <f t="shared" si="5"/>
        <v>5.2083333333333301E-2</v>
      </c>
    </row>
    <row r="152" spans="1:9" x14ac:dyDescent="0.3">
      <c r="A152" s="18" t="s">
        <v>744</v>
      </c>
      <c r="B152" s="19">
        <v>45020</v>
      </c>
      <c r="C152" s="20">
        <v>0.36458333333333298</v>
      </c>
      <c r="D152" s="20">
        <v>0.389583333333333</v>
      </c>
      <c r="E152" s="20">
        <v>2.5000000000000001E-2</v>
      </c>
      <c r="F152" s="21" t="s">
        <v>749</v>
      </c>
      <c r="G152" t="str">
        <f>VLOOKUP(F152,'Tipo Parada Fab 2'!$A$1:$B$105,2,FALSE())</f>
        <v>NP</v>
      </c>
      <c r="H152">
        <f t="shared" si="4"/>
        <v>0</v>
      </c>
      <c r="I152" s="22">
        <f t="shared" si="5"/>
        <v>2.5000000000000001E-2</v>
      </c>
    </row>
    <row r="153" spans="1:9" x14ac:dyDescent="0.3">
      <c r="A153" s="18" t="s">
        <v>744</v>
      </c>
      <c r="B153" s="19">
        <v>45020</v>
      </c>
      <c r="C153" s="20">
        <v>0.74722222222222201</v>
      </c>
      <c r="D153" s="20">
        <v>0.8125</v>
      </c>
      <c r="E153" s="20">
        <v>6.5277777777777796E-2</v>
      </c>
      <c r="F153" s="21" t="s">
        <v>685</v>
      </c>
      <c r="G153" t="str">
        <f>VLOOKUP(F153,'Tipo Parada Fab 2'!$A$1:$B$105,2,FALSE())</f>
        <v>P</v>
      </c>
      <c r="H153" s="22">
        <f t="shared" si="4"/>
        <v>6.5277777777777796E-2</v>
      </c>
      <c r="I153">
        <f t="shared" si="5"/>
        <v>0</v>
      </c>
    </row>
    <row r="154" spans="1:9" x14ac:dyDescent="0.3">
      <c r="A154" s="18" t="s">
        <v>744</v>
      </c>
      <c r="B154" s="19">
        <v>45020</v>
      </c>
      <c r="C154" s="20">
        <v>0.8125</v>
      </c>
      <c r="D154" s="20">
        <v>0.87986111111111098</v>
      </c>
      <c r="E154" s="20">
        <v>6.7361111111111094E-2</v>
      </c>
      <c r="F154" s="21" t="s">
        <v>685</v>
      </c>
      <c r="G154" t="str">
        <f>VLOOKUP(F154,'Tipo Parada Fab 2'!$A$1:$B$105,2,FALSE())</f>
        <v>P</v>
      </c>
      <c r="H154" s="22">
        <f t="shared" si="4"/>
        <v>6.7361111111111094E-2</v>
      </c>
      <c r="I154">
        <f t="shared" si="5"/>
        <v>0</v>
      </c>
    </row>
    <row r="155" spans="1:9" x14ac:dyDescent="0.3">
      <c r="A155" s="18" t="s">
        <v>744</v>
      </c>
      <c r="B155" s="19">
        <v>45021</v>
      </c>
      <c r="C155" s="20">
        <v>0.14513888888888901</v>
      </c>
      <c r="D155" s="20">
        <v>0.3125</v>
      </c>
      <c r="E155" s="20">
        <v>0.16736111111111099</v>
      </c>
      <c r="F155" s="21" t="s">
        <v>748</v>
      </c>
      <c r="G155" t="str">
        <f>VLOOKUP(F155,'Tipo Parada Fab 2'!$A$1:$B$105,2,FALSE())</f>
        <v>NP</v>
      </c>
      <c r="H155">
        <f t="shared" si="4"/>
        <v>0</v>
      </c>
      <c r="I155" s="22">
        <f t="shared" si="5"/>
        <v>0.16736111111111099</v>
      </c>
    </row>
    <row r="156" spans="1:9" x14ac:dyDescent="0.3">
      <c r="A156" s="18" t="s">
        <v>744</v>
      </c>
      <c r="B156" s="19">
        <v>45021</v>
      </c>
      <c r="C156" s="20">
        <v>0.3125</v>
      </c>
      <c r="D156" s="20">
        <v>0.36458333333333298</v>
      </c>
      <c r="E156" s="20">
        <v>5.2083333333333301E-2</v>
      </c>
      <c r="F156" s="21" t="s">
        <v>748</v>
      </c>
      <c r="G156" t="str">
        <f>VLOOKUP(F156,'Tipo Parada Fab 2'!$A$1:$B$105,2,FALSE())</f>
        <v>NP</v>
      </c>
      <c r="H156">
        <f t="shared" si="4"/>
        <v>0</v>
      </c>
      <c r="I156" s="22">
        <f t="shared" si="5"/>
        <v>5.2083333333333301E-2</v>
      </c>
    </row>
    <row r="157" spans="1:9" x14ac:dyDescent="0.3">
      <c r="A157" s="18" t="s">
        <v>744</v>
      </c>
      <c r="B157" s="19">
        <v>45021</v>
      </c>
      <c r="C157" s="20">
        <v>0.36458333333333298</v>
      </c>
      <c r="D157" s="20">
        <v>0.389583333333333</v>
      </c>
      <c r="E157" s="20">
        <v>2.5000000000000001E-2</v>
      </c>
      <c r="F157" s="21" t="s">
        <v>749</v>
      </c>
      <c r="G157" t="str">
        <f>VLOOKUP(F157,'Tipo Parada Fab 2'!$A$1:$B$105,2,FALSE())</f>
        <v>NP</v>
      </c>
      <c r="H157">
        <f t="shared" si="4"/>
        <v>0</v>
      </c>
      <c r="I157" s="22">
        <f t="shared" si="5"/>
        <v>2.5000000000000001E-2</v>
      </c>
    </row>
    <row r="158" spans="1:9" x14ac:dyDescent="0.3">
      <c r="A158" s="18" t="s">
        <v>744</v>
      </c>
      <c r="B158" s="19">
        <v>45021</v>
      </c>
      <c r="C158" s="20">
        <v>0.74861111111111101</v>
      </c>
      <c r="D158" s="20">
        <v>0.8125</v>
      </c>
      <c r="E158" s="20">
        <v>6.3888888888888995E-2</v>
      </c>
      <c r="F158" s="21" t="s">
        <v>685</v>
      </c>
      <c r="G158" t="str">
        <f>VLOOKUP(F158,'Tipo Parada Fab 2'!$A$1:$B$105,2,FALSE())</f>
        <v>P</v>
      </c>
      <c r="H158" s="22">
        <f t="shared" si="4"/>
        <v>6.3888888888888995E-2</v>
      </c>
      <c r="I158">
        <f t="shared" si="5"/>
        <v>0</v>
      </c>
    </row>
    <row r="159" spans="1:9" x14ac:dyDescent="0.3">
      <c r="A159" s="18" t="s">
        <v>744</v>
      </c>
      <c r="B159" s="19">
        <v>45021</v>
      </c>
      <c r="C159" s="20">
        <v>0.8125</v>
      </c>
      <c r="D159" s="20">
        <v>0.87708333333333299</v>
      </c>
      <c r="E159" s="20">
        <v>6.4583333333333298E-2</v>
      </c>
      <c r="F159" s="21" t="s">
        <v>685</v>
      </c>
      <c r="G159" t="str">
        <f>VLOOKUP(F159,'Tipo Parada Fab 2'!$A$1:$B$105,2,FALSE())</f>
        <v>P</v>
      </c>
      <c r="H159" s="22">
        <f t="shared" si="4"/>
        <v>6.4583333333333298E-2</v>
      </c>
      <c r="I159">
        <f t="shared" si="5"/>
        <v>0</v>
      </c>
    </row>
    <row r="160" spans="1:9" x14ac:dyDescent="0.3">
      <c r="A160" s="18" t="s">
        <v>744</v>
      </c>
      <c r="B160" s="19">
        <v>45022</v>
      </c>
      <c r="C160" s="20">
        <v>0.45624999999999999</v>
      </c>
      <c r="D160" s="20">
        <v>0.47152777777777799</v>
      </c>
      <c r="E160" s="20">
        <v>1.52777777777778E-2</v>
      </c>
      <c r="F160" s="21" t="s">
        <v>750</v>
      </c>
      <c r="G160" t="str">
        <f>VLOOKUP(F160,'Tipo Parada Fab 2'!$A$1:$B$105,2,FALSE())</f>
        <v>NP</v>
      </c>
      <c r="H160">
        <f t="shared" si="4"/>
        <v>0</v>
      </c>
      <c r="I160" s="22">
        <f t="shared" si="5"/>
        <v>1.52777777777778E-2</v>
      </c>
    </row>
    <row r="161" spans="1:9" x14ac:dyDescent="0.3">
      <c r="A161" s="18" t="s">
        <v>744</v>
      </c>
      <c r="B161" s="19">
        <v>45022</v>
      </c>
      <c r="C161" s="20">
        <v>0.74791666666666701</v>
      </c>
      <c r="D161" s="20">
        <v>0.8125</v>
      </c>
      <c r="E161" s="20">
        <v>6.4583333333333298E-2</v>
      </c>
      <c r="F161" s="21" t="s">
        <v>685</v>
      </c>
      <c r="G161" t="str">
        <f>VLOOKUP(F161,'Tipo Parada Fab 2'!$A$1:$B$105,2,FALSE())</f>
        <v>P</v>
      </c>
      <c r="H161" s="22">
        <f t="shared" si="4"/>
        <v>6.4583333333333298E-2</v>
      </c>
      <c r="I161">
        <f t="shared" si="5"/>
        <v>0</v>
      </c>
    </row>
    <row r="162" spans="1:9" x14ac:dyDescent="0.3">
      <c r="A162" s="18" t="s">
        <v>744</v>
      </c>
      <c r="B162" s="19">
        <v>45022</v>
      </c>
      <c r="C162" s="20">
        <v>0.8125</v>
      </c>
      <c r="D162" s="20">
        <v>0.88263888888888897</v>
      </c>
      <c r="E162" s="20">
        <v>7.0138888888888903E-2</v>
      </c>
      <c r="F162" s="21" t="s">
        <v>685</v>
      </c>
      <c r="G162" t="str">
        <f>VLOOKUP(F162,'Tipo Parada Fab 2'!$A$1:$B$105,2,FALSE())</f>
        <v>P</v>
      </c>
      <c r="H162" s="22">
        <f t="shared" si="4"/>
        <v>7.0138888888888903E-2</v>
      </c>
      <c r="I162">
        <f t="shared" si="5"/>
        <v>0</v>
      </c>
    </row>
    <row r="163" spans="1:9" x14ac:dyDescent="0.3">
      <c r="A163" s="18" t="s">
        <v>744</v>
      </c>
      <c r="B163" s="19">
        <v>45026</v>
      </c>
      <c r="C163" s="20">
        <v>0.79027777777777797</v>
      </c>
      <c r="D163" s="20">
        <v>0.8125</v>
      </c>
      <c r="E163" s="20">
        <v>2.2222222222222299E-2</v>
      </c>
      <c r="F163" s="21" t="s">
        <v>685</v>
      </c>
      <c r="G163" t="str">
        <f>VLOOKUP(F163,'Tipo Parada Fab 2'!$A$1:$B$105,2,FALSE())</f>
        <v>P</v>
      </c>
      <c r="H163" s="22">
        <f t="shared" si="4"/>
        <v>2.2222222222222299E-2</v>
      </c>
      <c r="I163">
        <f t="shared" si="5"/>
        <v>0</v>
      </c>
    </row>
    <row r="164" spans="1:9" x14ac:dyDescent="0.3">
      <c r="A164" s="18" t="s">
        <v>744</v>
      </c>
      <c r="B164" s="19">
        <v>45026</v>
      </c>
      <c r="C164" s="20">
        <v>0.8125</v>
      </c>
      <c r="D164" s="20">
        <v>0.87777777777777799</v>
      </c>
      <c r="E164" s="20">
        <v>6.5277777777777796E-2</v>
      </c>
      <c r="F164" s="21" t="s">
        <v>685</v>
      </c>
      <c r="G164" t="str">
        <f>VLOOKUP(F164,'Tipo Parada Fab 2'!$A$1:$B$105,2,FALSE())</f>
        <v>P</v>
      </c>
      <c r="H164" s="22">
        <f t="shared" si="4"/>
        <v>6.5277777777777796E-2</v>
      </c>
      <c r="I164">
        <f t="shared" si="5"/>
        <v>0</v>
      </c>
    </row>
    <row r="165" spans="1:9" x14ac:dyDescent="0.3">
      <c r="A165" s="18" t="s">
        <v>744</v>
      </c>
      <c r="B165" s="19">
        <v>45027</v>
      </c>
      <c r="C165" s="20">
        <v>0.74861111111111101</v>
      </c>
      <c r="D165" s="20">
        <v>0.8125</v>
      </c>
      <c r="E165" s="20">
        <v>6.3888888888888995E-2</v>
      </c>
      <c r="F165" s="21" t="s">
        <v>685</v>
      </c>
      <c r="G165" t="str">
        <f>VLOOKUP(F165,'Tipo Parada Fab 2'!$A$1:$B$105,2,FALSE())</f>
        <v>P</v>
      </c>
      <c r="H165" s="22">
        <f t="shared" si="4"/>
        <v>6.3888888888888995E-2</v>
      </c>
      <c r="I165">
        <f t="shared" si="5"/>
        <v>0</v>
      </c>
    </row>
    <row r="166" spans="1:9" x14ac:dyDescent="0.3">
      <c r="A166" s="18" t="s">
        <v>744</v>
      </c>
      <c r="B166" s="19">
        <v>45027</v>
      </c>
      <c r="C166" s="20">
        <v>0.8125</v>
      </c>
      <c r="D166" s="20">
        <v>0.875</v>
      </c>
      <c r="E166" s="20">
        <v>6.25E-2</v>
      </c>
      <c r="F166" s="21" t="s">
        <v>685</v>
      </c>
      <c r="G166" t="str">
        <f>VLOOKUP(F166,'Tipo Parada Fab 2'!$A$1:$B$105,2,FALSE())</f>
        <v>P</v>
      </c>
      <c r="H166" s="22">
        <f t="shared" si="4"/>
        <v>6.25E-2</v>
      </c>
      <c r="I166">
        <f t="shared" si="5"/>
        <v>0</v>
      </c>
    </row>
    <row r="167" spans="1:9" x14ac:dyDescent="0.3">
      <c r="A167" s="18" t="s">
        <v>744</v>
      </c>
      <c r="B167" s="19">
        <v>45027</v>
      </c>
      <c r="C167" s="20">
        <v>0.875</v>
      </c>
      <c r="D167" s="20">
        <v>0.90347222222222201</v>
      </c>
      <c r="E167" s="20">
        <v>2.8472222222222201E-2</v>
      </c>
      <c r="F167" s="21" t="s">
        <v>751</v>
      </c>
      <c r="G167" t="str">
        <f>VLOOKUP(F167,'Tipo Parada Fab 2'!$A$1:$B$105,2,FALSE())</f>
        <v>NP</v>
      </c>
      <c r="H167">
        <f t="shared" si="4"/>
        <v>0</v>
      </c>
      <c r="I167" s="22">
        <f t="shared" si="5"/>
        <v>2.8472222222222201E-2</v>
      </c>
    </row>
    <row r="168" spans="1:9" x14ac:dyDescent="0.3">
      <c r="A168" s="18" t="s">
        <v>744</v>
      </c>
      <c r="B168" s="19">
        <v>45027</v>
      </c>
      <c r="C168" s="20">
        <v>0.92361111111111105</v>
      </c>
      <c r="D168" s="20">
        <v>0.95833333333333304</v>
      </c>
      <c r="E168" s="20">
        <v>3.4722222222222203E-2</v>
      </c>
      <c r="F168" s="21" t="s">
        <v>752</v>
      </c>
      <c r="G168" t="str">
        <f>VLOOKUP(F168,'Tipo Parada Fab 2'!$A$1:$B$105,2,FALSE())</f>
        <v>NP</v>
      </c>
      <c r="H168">
        <f t="shared" si="4"/>
        <v>0</v>
      </c>
      <c r="I168" s="22">
        <f t="shared" si="5"/>
        <v>3.4722222222222203E-2</v>
      </c>
    </row>
    <row r="169" spans="1:9" x14ac:dyDescent="0.3">
      <c r="A169" s="18" t="s">
        <v>744</v>
      </c>
      <c r="B169" s="19">
        <v>45028</v>
      </c>
      <c r="C169" s="20">
        <v>0.74861111111111101</v>
      </c>
      <c r="D169" s="20">
        <v>0.8125</v>
      </c>
      <c r="E169" s="20">
        <v>6.3888888888888995E-2</v>
      </c>
      <c r="F169" s="21" t="s">
        <v>685</v>
      </c>
      <c r="G169" t="str">
        <f>VLOOKUP(F169,'Tipo Parada Fab 2'!$A$1:$B$105,2,FALSE())</f>
        <v>P</v>
      </c>
      <c r="H169" s="22">
        <f t="shared" si="4"/>
        <v>6.3888888888888995E-2</v>
      </c>
      <c r="I169">
        <f t="shared" si="5"/>
        <v>0</v>
      </c>
    </row>
    <row r="170" spans="1:9" x14ac:dyDescent="0.3">
      <c r="A170" s="18" t="s">
        <v>744</v>
      </c>
      <c r="B170" s="19">
        <v>45028</v>
      </c>
      <c r="C170" s="20">
        <v>0.8125</v>
      </c>
      <c r="D170" s="20">
        <v>0.87777777777777799</v>
      </c>
      <c r="E170" s="20">
        <v>6.5277777777777796E-2</v>
      </c>
      <c r="F170" s="21" t="s">
        <v>685</v>
      </c>
      <c r="G170" t="str">
        <f>VLOOKUP(F170,'Tipo Parada Fab 2'!$A$1:$B$105,2,FALSE())</f>
        <v>P</v>
      </c>
      <c r="H170" s="22">
        <f t="shared" si="4"/>
        <v>6.5277777777777796E-2</v>
      </c>
      <c r="I170">
        <f t="shared" si="5"/>
        <v>0</v>
      </c>
    </row>
    <row r="171" spans="1:9" x14ac:dyDescent="0.3">
      <c r="A171" s="18" t="s">
        <v>744</v>
      </c>
      <c r="B171" s="19">
        <v>45029</v>
      </c>
      <c r="C171" s="20">
        <v>0.55486111111111103</v>
      </c>
      <c r="D171" s="20">
        <v>0.55902777777777801</v>
      </c>
      <c r="E171" s="20">
        <v>4.1666666666666501E-3</v>
      </c>
      <c r="F171" s="21" t="s">
        <v>695</v>
      </c>
      <c r="G171" t="str">
        <f>VLOOKUP(F171,'Tipo Parada Fab 2'!$A$1:$B$105,2,FALSE())</f>
        <v>NP</v>
      </c>
      <c r="H171">
        <f t="shared" si="4"/>
        <v>0</v>
      </c>
      <c r="I171" s="22">
        <f t="shared" si="5"/>
        <v>4.1666666666666501E-3</v>
      </c>
    </row>
    <row r="172" spans="1:9" x14ac:dyDescent="0.3">
      <c r="A172" s="18" t="s">
        <v>744</v>
      </c>
      <c r="B172" s="19">
        <v>45029</v>
      </c>
      <c r="C172" s="20">
        <v>0.74791666666666701</v>
      </c>
      <c r="D172" s="20">
        <v>0.8125</v>
      </c>
      <c r="E172" s="20">
        <v>6.4583333333333298E-2</v>
      </c>
      <c r="F172" s="21" t="s">
        <v>685</v>
      </c>
      <c r="G172" t="str">
        <f>VLOOKUP(F172,'Tipo Parada Fab 2'!$A$1:$B$105,2,FALSE())</f>
        <v>P</v>
      </c>
      <c r="H172" s="22">
        <f t="shared" si="4"/>
        <v>6.4583333333333298E-2</v>
      </c>
      <c r="I172">
        <f t="shared" si="5"/>
        <v>0</v>
      </c>
    </row>
    <row r="173" spans="1:9" x14ac:dyDescent="0.3">
      <c r="A173" s="18" t="s">
        <v>744</v>
      </c>
      <c r="B173" s="19">
        <v>45029</v>
      </c>
      <c r="C173" s="20">
        <v>0.8125</v>
      </c>
      <c r="D173" s="20">
        <v>0.87777777777777799</v>
      </c>
      <c r="E173" s="20">
        <v>6.5277777777777796E-2</v>
      </c>
      <c r="F173" s="21" t="s">
        <v>685</v>
      </c>
      <c r="G173" t="str">
        <f>VLOOKUP(F173,'Tipo Parada Fab 2'!$A$1:$B$105,2,FALSE())</f>
        <v>P</v>
      </c>
      <c r="H173" s="22">
        <f t="shared" si="4"/>
        <v>6.5277777777777796E-2</v>
      </c>
      <c r="I173">
        <f t="shared" si="5"/>
        <v>0</v>
      </c>
    </row>
    <row r="174" spans="1:9" x14ac:dyDescent="0.3">
      <c r="A174" s="18" t="s">
        <v>744</v>
      </c>
      <c r="B174" s="19">
        <v>45030</v>
      </c>
      <c r="C174" s="20">
        <v>0.25347222222222199</v>
      </c>
      <c r="D174" s="20">
        <v>0.25763888888888897</v>
      </c>
      <c r="E174" s="20">
        <v>4.16666666666671E-3</v>
      </c>
      <c r="F174" s="21" t="s">
        <v>695</v>
      </c>
      <c r="G174" t="str">
        <f>VLOOKUP(F174,'Tipo Parada Fab 2'!$A$1:$B$105,2,FALSE())</f>
        <v>NP</v>
      </c>
      <c r="H174">
        <f t="shared" si="4"/>
        <v>0</v>
      </c>
      <c r="I174" s="22">
        <f t="shared" si="5"/>
        <v>4.16666666666671E-3</v>
      </c>
    </row>
    <row r="175" spans="1:9" x14ac:dyDescent="0.3">
      <c r="A175" s="18" t="s">
        <v>744</v>
      </c>
      <c r="B175" s="19">
        <v>45030</v>
      </c>
      <c r="C175" s="20">
        <v>0.51319444444444395</v>
      </c>
      <c r="D175" s="20">
        <v>0.52013888888888904</v>
      </c>
      <c r="E175" s="20">
        <v>6.9444444444444198E-3</v>
      </c>
      <c r="F175" s="21" t="s">
        <v>753</v>
      </c>
      <c r="G175" t="str">
        <f>VLOOKUP(F175,'Tipo Parada Fab 2'!$A$1:$B$105,2,FALSE())</f>
        <v>NP</v>
      </c>
      <c r="H175">
        <f t="shared" si="4"/>
        <v>0</v>
      </c>
      <c r="I175" s="22">
        <f t="shared" si="5"/>
        <v>6.9444444444444198E-3</v>
      </c>
    </row>
    <row r="176" spans="1:9" x14ac:dyDescent="0.3">
      <c r="A176" s="18" t="s">
        <v>744</v>
      </c>
      <c r="B176" s="19">
        <v>45030</v>
      </c>
      <c r="C176" s="20">
        <v>0.74826388888888895</v>
      </c>
      <c r="D176" s="20">
        <v>0.8125</v>
      </c>
      <c r="E176" s="20">
        <v>6.4236111111111202E-2</v>
      </c>
      <c r="F176" s="21" t="s">
        <v>685</v>
      </c>
      <c r="G176" t="str">
        <f>VLOOKUP(F176,'Tipo Parada Fab 2'!$A$1:$B$105,2,FALSE())</f>
        <v>P</v>
      </c>
      <c r="H176" s="22">
        <f t="shared" si="4"/>
        <v>6.4236111111111202E-2</v>
      </c>
      <c r="I176">
        <f t="shared" si="5"/>
        <v>0</v>
      </c>
    </row>
    <row r="177" spans="1:9" x14ac:dyDescent="0.3">
      <c r="A177" s="18" t="s">
        <v>744</v>
      </c>
      <c r="B177" s="19">
        <v>45030</v>
      </c>
      <c r="C177" s="20">
        <v>0.8125</v>
      </c>
      <c r="D177" s="20">
        <v>0.875</v>
      </c>
      <c r="E177" s="20">
        <v>6.25E-2</v>
      </c>
      <c r="F177" s="21" t="s">
        <v>685</v>
      </c>
      <c r="G177" t="str">
        <f>VLOOKUP(F177,'Tipo Parada Fab 2'!$A$1:$B$105,2,FALSE())</f>
        <v>P</v>
      </c>
      <c r="H177" s="22">
        <f t="shared" si="4"/>
        <v>6.25E-2</v>
      </c>
      <c r="I177">
        <f t="shared" si="5"/>
        <v>0</v>
      </c>
    </row>
    <row r="178" spans="1:9" x14ac:dyDescent="0.3">
      <c r="A178" s="18" t="s">
        <v>744</v>
      </c>
      <c r="B178" s="19">
        <v>45030</v>
      </c>
      <c r="C178" s="20">
        <v>0.875</v>
      </c>
      <c r="D178" s="20">
        <v>0.88055555555555598</v>
      </c>
      <c r="E178" s="20">
        <v>5.5555555555555402E-3</v>
      </c>
      <c r="F178" s="21" t="s">
        <v>753</v>
      </c>
      <c r="G178" t="str">
        <f>VLOOKUP(F178,'Tipo Parada Fab 2'!$A$1:$B$105,2,FALSE())</f>
        <v>NP</v>
      </c>
      <c r="H178">
        <f t="shared" si="4"/>
        <v>0</v>
      </c>
      <c r="I178" s="22">
        <f t="shared" si="5"/>
        <v>5.5555555555555402E-3</v>
      </c>
    </row>
    <row r="179" spans="1:9" x14ac:dyDescent="0.3">
      <c r="A179" s="18" t="s">
        <v>744</v>
      </c>
      <c r="B179" s="19">
        <v>45031</v>
      </c>
      <c r="C179" s="20">
        <v>0.14513888888888901</v>
      </c>
      <c r="D179" s="20">
        <v>0.147222222222222</v>
      </c>
      <c r="E179" s="20">
        <v>2.0833333333333298E-3</v>
      </c>
      <c r="F179" s="21" t="s">
        <v>695</v>
      </c>
      <c r="G179" t="str">
        <f>VLOOKUP(F179,'Tipo Parada Fab 2'!$A$1:$B$105,2,FALSE())</f>
        <v>NP</v>
      </c>
      <c r="H179">
        <f t="shared" si="4"/>
        <v>0</v>
      </c>
      <c r="I179" s="22">
        <f t="shared" si="5"/>
        <v>2.0833333333333298E-3</v>
      </c>
    </row>
    <row r="180" spans="1:9" x14ac:dyDescent="0.3">
      <c r="A180" s="18" t="s">
        <v>744</v>
      </c>
      <c r="B180" s="19">
        <v>45033</v>
      </c>
      <c r="C180" s="20">
        <v>0.37361111111111101</v>
      </c>
      <c r="D180" s="20">
        <v>0.389583333333333</v>
      </c>
      <c r="E180" s="20">
        <v>1.59722222222222E-2</v>
      </c>
      <c r="F180" s="21" t="s">
        <v>754</v>
      </c>
      <c r="G180" t="str">
        <f>VLOOKUP(F180,'Tipo Parada Fab 2'!$A$1:$B$105,2,FALSE())</f>
        <v>NP</v>
      </c>
      <c r="H180">
        <f t="shared" si="4"/>
        <v>0</v>
      </c>
      <c r="I180" s="22">
        <f t="shared" si="5"/>
        <v>1.59722222222222E-2</v>
      </c>
    </row>
    <row r="181" spans="1:9" x14ac:dyDescent="0.3">
      <c r="A181" s="18" t="s">
        <v>744</v>
      </c>
      <c r="B181" s="19">
        <v>45033</v>
      </c>
      <c r="C181" s="20">
        <v>0.74826388888888895</v>
      </c>
      <c r="D181" s="20">
        <v>0.8125</v>
      </c>
      <c r="E181" s="20">
        <v>6.4236111111111202E-2</v>
      </c>
      <c r="F181" s="21" t="s">
        <v>685</v>
      </c>
      <c r="G181" t="str">
        <f>VLOOKUP(F181,'Tipo Parada Fab 2'!$A$1:$B$105,2,FALSE())</f>
        <v>P</v>
      </c>
      <c r="H181" s="22">
        <f t="shared" si="4"/>
        <v>6.4236111111111202E-2</v>
      </c>
      <c r="I181">
        <f t="shared" si="5"/>
        <v>0</v>
      </c>
    </row>
    <row r="182" spans="1:9" x14ac:dyDescent="0.3">
      <c r="A182" s="18" t="s">
        <v>744</v>
      </c>
      <c r="B182" s="19">
        <v>45033</v>
      </c>
      <c r="C182" s="20">
        <v>0.8125</v>
      </c>
      <c r="D182" s="20">
        <v>0.87708333333333299</v>
      </c>
      <c r="E182" s="20">
        <v>6.4583333333333298E-2</v>
      </c>
      <c r="F182" s="21" t="s">
        <v>685</v>
      </c>
      <c r="G182" t="str">
        <f>VLOOKUP(F182,'Tipo Parada Fab 2'!$A$1:$B$105,2,FALSE())</f>
        <v>P</v>
      </c>
      <c r="H182" s="22">
        <f t="shared" si="4"/>
        <v>6.4583333333333298E-2</v>
      </c>
      <c r="I182">
        <f t="shared" si="5"/>
        <v>0</v>
      </c>
    </row>
    <row r="183" spans="1:9" x14ac:dyDescent="0.3">
      <c r="A183" s="18" t="s">
        <v>744</v>
      </c>
      <c r="B183" s="19">
        <v>45034</v>
      </c>
      <c r="C183" s="20">
        <v>0.37361111111111101</v>
      </c>
      <c r="D183" s="20">
        <v>0.389583333333333</v>
      </c>
      <c r="E183" s="20">
        <v>1.59722222222222E-2</v>
      </c>
      <c r="F183" s="21" t="s">
        <v>754</v>
      </c>
      <c r="G183" t="str">
        <f>VLOOKUP(F183,'Tipo Parada Fab 2'!$A$1:$B$105,2,FALSE())</f>
        <v>NP</v>
      </c>
      <c r="H183">
        <f t="shared" si="4"/>
        <v>0</v>
      </c>
      <c r="I183" s="22">
        <f t="shared" si="5"/>
        <v>1.59722222222222E-2</v>
      </c>
    </row>
    <row r="184" spans="1:9" x14ac:dyDescent="0.3">
      <c r="A184" s="18" t="s">
        <v>744</v>
      </c>
      <c r="B184" s="19">
        <v>45034</v>
      </c>
      <c r="C184" s="20">
        <v>0.74826388888888895</v>
      </c>
      <c r="D184" s="20">
        <v>0.8125</v>
      </c>
      <c r="E184" s="20">
        <v>6.4236111111111202E-2</v>
      </c>
      <c r="F184" s="21" t="s">
        <v>685</v>
      </c>
      <c r="G184" t="str">
        <f>VLOOKUP(F184,'Tipo Parada Fab 2'!$A$1:$B$105,2,FALSE())</f>
        <v>P</v>
      </c>
      <c r="H184" s="22">
        <f t="shared" si="4"/>
        <v>6.4236111111111202E-2</v>
      </c>
      <c r="I184">
        <f t="shared" si="5"/>
        <v>0</v>
      </c>
    </row>
    <row r="185" spans="1:9" x14ac:dyDescent="0.3">
      <c r="A185" s="18" t="s">
        <v>744</v>
      </c>
      <c r="B185" s="19">
        <v>45034</v>
      </c>
      <c r="C185" s="20">
        <v>0.8125</v>
      </c>
      <c r="D185" s="20">
        <v>0.87847222222222199</v>
      </c>
      <c r="E185" s="20">
        <v>6.5972222222222196E-2</v>
      </c>
      <c r="F185" s="21" t="s">
        <v>685</v>
      </c>
      <c r="G185" t="str">
        <f>VLOOKUP(F185,'Tipo Parada Fab 2'!$A$1:$B$105,2,FALSE())</f>
        <v>P</v>
      </c>
      <c r="H185" s="22">
        <f t="shared" si="4"/>
        <v>6.5972222222222196E-2</v>
      </c>
      <c r="I185">
        <f t="shared" si="5"/>
        <v>0</v>
      </c>
    </row>
    <row r="186" spans="1:9" x14ac:dyDescent="0.3">
      <c r="A186" s="18" t="s">
        <v>744</v>
      </c>
      <c r="B186" s="19">
        <v>45034</v>
      </c>
      <c r="C186" s="20">
        <v>0.97222222222222199</v>
      </c>
      <c r="D186" s="20">
        <v>0</v>
      </c>
      <c r="E186" s="20">
        <v>2.7777777777777801E-2</v>
      </c>
      <c r="F186" s="21" t="s">
        <v>755</v>
      </c>
      <c r="G186" t="str">
        <f>VLOOKUP(F186,'Tipo Parada Fab 2'!$A$1:$B$105,2,FALSE())</f>
        <v>NP</v>
      </c>
      <c r="H186">
        <f t="shared" si="4"/>
        <v>0</v>
      </c>
      <c r="I186" s="22">
        <f t="shared" si="5"/>
        <v>2.7777777777777801E-2</v>
      </c>
    </row>
    <row r="187" spans="1:9" x14ac:dyDescent="0.3">
      <c r="A187" s="18" t="s">
        <v>744</v>
      </c>
      <c r="B187" s="19">
        <v>45035</v>
      </c>
      <c r="C187" s="20">
        <v>0.74826388888888895</v>
      </c>
      <c r="D187" s="20">
        <v>0.8125</v>
      </c>
      <c r="E187" s="20">
        <v>6.4236111111111202E-2</v>
      </c>
      <c r="F187" s="21" t="s">
        <v>685</v>
      </c>
      <c r="G187" t="str">
        <f>VLOOKUP(F187,'Tipo Parada Fab 2'!$A$1:$B$105,2,FALSE())</f>
        <v>P</v>
      </c>
      <c r="H187" s="22">
        <f t="shared" si="4"/>
        <v>6.4236111111111202E-2</v>
      </c>
      <c r="I187">
        <f t="shared" si="5"/>
        <v>0</v>
      </c>
    </row>
    <row r="188" spans="1:9" x14ac:dyDescent="0.3">
      <c r="A188" s="18" t="s">
        <v>744</v>
      </c>
      <c r="B188" s="19">
        <v>45035</v>
      </c>
      <c r="C188" s="20">
        <v>0.8125</v>
      </c>
      <c r="D188" s="20">
        <v>0.87638888888888899</v>
      </c>
      <c r="E188" s="20">
        <v>6.3888888888888995E-2</v>
      </c>
      <c r="F188" s="21" t="s">
        <v>685</v>
      </c>
      <c r="G188" t="str">
        <f>VLOOKUP(F188,'Tipo Parada Fab 2'!$A$1:$B$105,2,FALSE())</f>
        <v>P</v>
      </c>
      <c r="H188" s="22">
        <f t="shared" si="4"/>
        <v>6.3888888888888995E-2</v>
      </c>
      <c r="I188">
        <f t="shared" si="5"/>
        <v>0</v>
      </c>
    </row>
    <row r="189" spans="1:9" x14ac:dyDescent="0.3">
      <c r="A189" s="18" t="s">
        <v>744</v>
      </c>
      <c r="B189" s="19">
        <v>45036</v>
      </c>
      <c r="C189" s="20">
        <v>0.36180555555555599</v>
      </c>
      <c r="D189" s="20">
        <v>0.38611111111111102</v>
      </c>
      <c r="E189" s="20">
        <v>2.4305555555555601E-2</v>
      </c>
      <c r="F189" s="21" t="s">
        <v>756</v>
      </c>
      <c r="G189" t="str">
        <f>VLOOKUP(F189,'Tipo Parada Fab 2'!$A$1:$B$105,2,FALSE())</f>
        <v>NP</v>
      </c>
      <c r="H189">
        <f t="shared" si="4"/>
        <v>0</v>
      </c>
      <c r="I189" s="22">
        <f t="shared" si="5"/>
        <v>2.4305555555555601E-2</v>
      </c>
    </row>
    <row r="190" spans="1:9" x14ac:dyDescent="0.3">
      <c r="A190" s="18" t="s">
        <v>744</v>
      </c>
      <c r="B190" s="19">
        <v>45036</v>
      </c>
      <c r="C190" s="20">
        <v>0.74826388888888895</v>
      </c>
      <c r="D190" s="20">
        <v>0.8125</v>
      </c>
      <c r="E190" s="20">
        <v>6.4236111111111202E-2</v>
      </c>
      <c r="F190" s="21" t="s">
        <v>685</v>
      </c>
      <c r="G190" t="str">
        <f>VLOOKUP(F190,'Tipo Parada Fab 2'!$A$1:$B$105,2,FALSE())</f>
        <v>P</v>
      </c>
      <c r="H190" s="22">
        <f t="shared" si="4"/>
        <v>6.4236111111111202E-2</v>
      </c>
      <c r="I190">
        <f t="shared" si="5"/>
        <v>0</v>
      </c>
    </row>
    <row r="191" spans="1:9" x14ac:dyDescent="0.3">
      <c r="A191" s="18" t="s">
        <v>744</v>
      </c>
      <c r="B191" s="19">
        <v>45036</v>
      </c>
      <c r="C191" s="20">
        <v>0.8125</v>
      </c>
      <c r="D191" s="20">
        <v>0.875</v>
      </c>
      <c r="E191" s="20">
        <v>6.25E-2</v>
      </c>
      <c r="F191" s="21" t="s">
        <v>685</v>
      </c>
      <c r="G191" t="str">
        <f>VLOOKUP(F191,'Tipo Parada Fab 2'!$A$1:$B$105,2,FALSE())</f>
        <v>P</v>
      </c>
      <c r="H191" s="22">
        <f t="shared" si="4"/>
        <v>6.25E-2</v>
      </c>
      <c r="I191">
        <f t="shared" si="5"/>
        <v>0</v>
      </c>
    </row>
    <row r="192" spans="1:9" x14ac:dyDescent="0.3">
      <c r="A192" s="18" t="s">
        <v>744</v>
      </c>
      <c r="B192" s="19">
        <v>45036</v>
      </c>
      <c r="C192" s="20">
        <v>0.875</v>
      </c>
      <c r="D192" s="20">
        <v>0.88124999999999998</v>
      </c>
      <c r="E192" s="20">
        <v>6.2499999999999804E-3</v>
      </c>
      <c r="F192" s="21" t="s">
        <v>757</v>
      </c>
      <c r="G192" t="str">
        <f>VLOOKUP(F192,'Tipo Parada Fab 2'!$A$1:$B$105,2,FALSE())</f>
        <v>NP</v>
      </c>
      <c r="H192">
        <f t="shared" si="4"/>
        <v>0</v>
      </c>
      <c r="I192" s="22">
        <f t="shared" si="5"/>
        <v>6.2499999999999804E-3</v>
      </c>
    </row>
    <row r="193" spans="1:9" x14ac:dyDescent="0.3">
      <c r="A193" s="18" t="s">
        <v>744</v>
      </c>
      <c r="B193" s="19">
        <v>45037</v>
      </c>
      <c r="C193" s="20">
        <v>0.11874999999999999</v>
      </c>
      <c r="D193" s="20">
        <v>0.125</v>
      </c>
      <c r="E193" s="20">
        <v>6.2499999999999899E-3</v>
      </c>
      <c r="F193" s="21" t="s">
        <v>758</v>
      </c>
      <c r="G193" t="str">
        <f>VLOOKUP(F193,'Tipo Parada Fab 2'!$A$1:$B$105,2,FALSE())</f>
        <v>NP</v>
      </c>
      <c r="H193">
        <f t="shared" si="4"/>
        <v>0</v>
      </c>
      <c r="I193" s="22">
        <f t="shared" si="5"/>
        <v>6.2499999999999899E-3</v>
      </c>
    </row>
    <row r="194" spans="1:9" x14ac:dyDescent="0.3">
      <c r="A194" s="18" t="s">
        <v>744</v>
      </c>
      <c r="B194" s="19">
        <v>45038</v>
      </c>
      <c r="C194" s="20">
        <v>0.11874999999999999</v>
      </c>
      <c r="D194" s="20">
        <v>0.125</v>
      </c>
      <c r="E194" s="20">
        <v>6.2499999999999899E-3</v>
      </c>
      <c r="F194" s="21" t="s">
        <v>758</v>
      </c>
      <c r="G194" t="str">
        <f>VLOOKUP(F194,'Tipo Parada Fab 2'!$A$1:$B$105,2,FALSE())</f>
        <v>NP</v>
      </c>
      <c r="H194">
        <f t="shared" ref="H194:H257" si="6">IF(G194="P",E194,0)</f>
        <v>0</v>
      </c>
      <c r="I194" s="22">
        <f t="shared" ref="I194:I257" si="7">IF(G194="NP",E194,0)</f>
        <v>6.2499999999999899E-3</v>
      </c>
    </row>
    <row r="195" spans="1:9" x14ac:dyDescent="0.3">
      <c r="A195" s="18" t="s">
        <v>744</v>
      </c>
      <c r="B195" s="19">
        <v>45038</v>
      </c>
      <c r="C195" s="20">
        <v>0.99027777777777803</v>
      </c>
      <c r="D195" s="20">
        <v>0.99583333333333302</v>
      </c>
      <c r="E195" s="20">
        <v>5.5555555555555402E-3</v>
      </c>
      <c r="F195" s="21" t="s">
        <v>695</v>
      </c>
      <c r="G195" t="str">
        <f>VLOOKUP(F195,'Tipo Parada Fab 2'!$A$1:$B$105,2,FALSE())</f>
        <v>NP</v>
      </c>
      <c r="H195">
        <f t="shared" si="6"/>
        <v>0</v>
      </c>
      <c r="I195" s="22">
        <f t="shared" si="7"/>
        <v>5.5555555555555402E-3</v>
      </c>
    </row>
    <row r="196" spans="1:9" x14ac:dyDescent="0.3">
      <c r="A196" s="18" t="s">
        <v>744</v>
      </c>
      <c r="B196" s="19">
        <v>45040</v>
      </c>
      <c r="C196" s="20">
        <v>0.67013888888888895</v>
      </c>
      <c r="D196" s="20">
        <v>0.67430555555555605</v>
      </c>
      <c r="E196" s="20">
        <v>4.1666666666667603E-3</v>
      </c>
      <c r="F196" s="21" t="s">
        <v>695</v>
      </c>
      <c r="G196" t="str">
        <f>VLOOKUP(F196,'Tipo Parada Fab 2'!$A$1:$B$105,2,FALSE())</f>
        <v>NP</v>
      </c>
      <c r="H196">
        <f t="shared" si="6"/>
        <v>0</v>
      </c>
      <c r="I196" s="22">
        <f t="shared" si="7"/>
        <v>4.1666666666667603E-3</v>
      </c>
    </row>
    <row r="197" spans="1:9" x14ac:dyDescent="0.3">
      <c r="A197" s="18" t="s">
        <v>744</v>
      </c>
      <c r="B197" s="19">
        <v>45040</v>
      </c>
      <c r="C197" s="20">
        <v>0.74861111111111101</v>
      </c>
      <c r="D197" s="20">
        <v>0.8125</v>
      </c>
      <c r="E197" s="20">
        <v>6.3888888888888995E-2</v>
      </c>
      <c r="F197" s="21" t="s">
        <v>685</v>
      </c>
      <c r="G197" t="str">
        <f>VLOOKUP(F197,'Tipo Parada Fab 2'!$A$1:$B$105,2,FALSE())</f>
        <v>P</v>
      </c>
      <c r="H197" s="22">
        <f t="shared" si="6"/>
        <v>6.3888888888888995E-2</v>
      </c>
      <c r="I197">
        <f t="shared" si="7"/>
        <v>0</v>
      </c>
    </row>
    <row r="198" spans="1:9" x14ac:dyDescent="0.3">
      <c r="A198" s="18" t="s">
        <v>744</v>
      </c>
      <c r="B198" s="19">
        <v>45040</v>
      </c>
      <c r="C198" s="20">
        <v>0.8125</v>
      </c>
      <c r="D198" s="20">
        <v>0.875</v>
      </c>
      <c r="E198" s="20">
        <v>6.25E-2</v>
      </c>
      <c r="F198" s="21" t="s">
        <v>685</v>
      </c>
      <c r="G198" t="str">
        <f>VLOOKUP(F198,'Tipo Parada Fab 2'!$A$1:$B$105,2,FALSE())</f>
        <v>P</v>
      </c>
      <c r="H198" s="22">
        <f t="shared" si="6"/>
        <v>6.25E-2</v>
      </c>
      <c r="I198">
        <f t="shared" si="7"/>
        <v>0</v>
      </c>
    </row>
    <row r="199" spans="1:9" x14ac:dyDescent="0.3">
      <c r="A199" s="18" t="s">
        <v>744</v>
      </c>
      <c r="B199" s="19">
        <v>45040</v>
      </c>
      <c r="C199" s="20">
        <v>0.875694444444444</v>
      </c>
      <c r="D199" s="20">
        <v>0.88124999999999998</v>
      </c>
      <c r="E199" s="20">
        <v>5.5555555555555402E-3</v>
      </c>
      <c r="F199" s="21" t="s">
        <v>759</v>
      </c>
      <c r="G199" t="str">
        <f>VLOOKUP(F199,'Tipo Parada Fab 2'!$A$1:$B$105,2,FALSE())</f>
        <v>NP</v>
      </c>
      <c r="H199">
        <f t="shared" si="6"/>
        <v>0</v>
      </c>
      <c r="I199" s="22">
        <f t="shared" si="7"/>
        <v>5.5555555555555402E-3</v>
      </c>
    </row>
    <row r="200" spans="1:9" x14ac:dyDescent="0.3">
      <c r="A200" s="18" t="s">
        <v>744</v>
      </c>
      <c r="B200" s="19">
        <v>45041</v>
      </c>
      <c r="C200" s="20">
        <v>0.44166666666666698</v>
      </c>
      <c r="D200" s="20">
        <v>0.44652777777777802</v>
      </c>
      <c r="E200" s="20">
        <v>4.8611111111111502E-3</v>
      </c>
      <c r="F200" s="21" t="s">
        <v>695</v>
      </c>
      <c r="G200" t="str">
        <f>VLOOKUP(F200,'Tipo Parada Fab 2'!$A$1:$B$105,2,FALSE())</f>
        <v>NP</v>
      </c>
      <c r="H200">
        <f t="shared" si="6"/>
        <v>0</v>
      </c>
      <c r="I200" s="22">
        <f t="shared" si="7"/>
        <v>4.8611111111111502E-3</v>
      </c>
    </row>
    <row r="201" spans="1:9" x14ac:dyDescent="0.3">
      <c r="A201" s="18" t="s">
        <v>744</v>
      </c>
      <c r="B201" s="19">
        <v>45041</v>
      </c>
      <c r="C201" s="20">
        <v>0.44861111111111102</v>
      </c>
      <c r="D201" s="20">
        <v>0.454166666666667</v>
      </c>
      <c r="E201" s="20">
        <v>5.5555555555555402E-3</v>
      </c>
      <c r="F201" s="21" t="s">
        <v>760</v>
      </c>
      <c r="G201" t="str">
        <f>VLOOKUP(F201,'Tipo Parada Fab 2'!$A$1:$B$105,2,FALSE())</f>
        <v>NP</v>
      </c>
      <c r="H201">
        <f t="shared" si="6"/>
        <v>0</v>
      </c>
      <c r="I201" s="22">
        <f t="shared" si="7"/>
        <v>5.5555555555555402E-3</v>
      </c>
    </row>
    <row r="202" spans="1:9" x14ac:dyDescent="0.3">
      <c r="A202" s="18" t="s">
        <v>744</v>
      </c>
      <c r="B202" s="19">
        <v>45041</v>
      </c>
      <c r="C202" s="20">
        <v>0.46041666666666697</v>
      </c>
      <c r="D202" s="20">
        <v>0.47013888888888899</v>
      </c>
      <c r="E202" s="20">
        <v>9.7222222222221894E-3</v>
      </c>
      <c r="F202" s="21" t="s">
        <v>761</v>
      </c>
      <c r="G202" t="str">
        <f>VLOOKUP(F202,'Tipo Parada Fab 2'!$A$1:$B$105,2,FALSE())</f>
        <v>NP</v>
      </c>
      <c r="H202">
        <f t="shared" si="6"/>
        <v>0</v>
      </c>
      <c r="I202" s="22">
        <f t="shared" si="7"/>
        <v>9.7222222222221894E-3</v>
      </c>
    </row>
    <row r="203" spans="1:9" x14ac:dyDescent="0.3">
      <c r="A203" s="18" t="s">
        <v>744</v>
      </c>
      <c r="B203" s="19">
        <v>45041</v>
      </c>
      <c r="C203" s="20">
        <v>0.5</v>
      </c>
      <c r="D203" s="20">
        <v>0.5625</v>
      </c>
      <c r="E203" s="20">
        <v>6.25E-2</v>
      </c>
      <c r="F203" s="21" t="s">
        <v>748</v>
      </c>
      <c r="G203" t="str">
        <f>VLOOKUP(F203,'Tipo Parada Fab 2'!$A$1:$B$105,2,FALSE())</f>
        <v>NP</v>
      </c>
      <c r="H203">
        <f t="shared" si="6"/>
        <v>0</v>
      </c>
      <c r="I203" s="22">
        <f t="shared" si="7"/>
        <v>6.25E-2</v>
      </c>
    </row>
    <row r="204" spans="1:9" x14ac:dyDescent="0.3">
      <c r="A204" s="18" t="s">
        <v>744</v>
      </c>
      <c r="B204" s="19">
        <v>45041</v>
      </c>
      <c r="C204" s="20">
        <v>0.5625</v>
      </c>
      <c r="D204" s="20">
        <v>0.58541666666666703</v>
      </c>
      <c r="E204" s="20">
        <v>2.29166666666667E-2</v>
      </c>
      <c r="F204" s="21" t="s">
        <v>748</v>
      </c>
      <c r="G204" t="str">
        <f>VLOOKUP(F204,'Tipo Parada Fab 2'!$A$1:$B$105,2,FALSE())</f>
        <v>NP</v>
      </c>
      <c r="H204">
        <f t="shared" si="6"/>
        <v>0</v>
      </c>
      <c r="I204" s="22">
        <f t="shared" si="7"/>
        <v>2.29166666666667E-2</v>
      </c>
    </row>
    <row r="205" spans="1:9" x14ac:dyDescent="0.3">
      <c r="A205" s="18" t="s">
        <v>744</v>
      </c>
      <c r="B205" s="19">
        <v>45041</v>
      </c>
      <c r="C205" s="20">
        <v>0.59583333333333299</v>
      </c>
      <c r="D205" s="20">
        <v>0.65069444444444402</v>
      </c>
      <c r="E205" s="20">
        <v>5.4861111111111097E-2</v>
      </c>
      <c r="F205" s="21" t="s">
        <v>762</v>
      </c>
      <c r="G205" t="str">
        <f>VLOOKUP(F205,'Tipo Parada Fab 2'!$A$1:$B$105,2,FALSE())</f>
        <v>NP</v>
      </c>
      <c r="H205">
        <f t="shared" si="6"/>
        <v>0</v>
      </c>
      <c r="I205" s="22">
        <f t="shared" si="7"/>
        <v>5.4861111111111097E-2</v>
      </c>
    </row>
    <row r="206" spans="1:9" x14ac:dyDescent="0.3">
      <c r="A206" s="18" t="s">
        <v>744</v>
      </c>
      <c r="B206" s="19">
        <v>45041</v>
      </c>
      <c r="C206" s="20">
        <v>0.69791666666666696</v>
      </c>
      <c r="D206" s="20">
        <v>0.7</v>
      </c>
      <c r="E206" s="20">
        <v>2.08333333333344E-3</v>
      </c>
      <c r="F206" s="21" t="s">
        <v>695</v>
      </c>
      <c r="G206" t="str">
        <f>VLOOKUP(F206,'Tipo Parada Fab 2'!$A$1:$B$105,2,FALSE())</f>
        <v>NP</v>
      </c>
      <c r="H206">
        <f t="shared" si="6"/>
        <v>0</v>
      </c>
      <c r="I206" s="22">
        <f t="shared" si="7"/>
        <v>2.08333333333344E-3</v>
      </c>
    </row>
    <row r="207" spans="1:9" x14ac:dyDescent="0.3">
      <c r="A207" s="18" t="s">
        <v>744</v>
      </c>
      <c r="B207" s="19">
        <v>45041</v>
      </c>
      <c r="C207" s="20">
        <v>0.74861111111111101</v>
      </c>
      <c r="D207" s="20">
        <v>0.8125</v>
      </c>
      <c r="E207" s="20">
        <v>6.3888888888888995E-2</v>
      </c>
      <c r="F207" s="21" t="s">
        <v>685</v>
      </c>
      <c r="G207" t="str">
        <f>VLOOKUP(F207,'Tipo Parada Fab 2'!$A$1:$B$105,2,FALSE())</f>
        <v>P</v>
      </c>
      <c r="H207" s="22">
        <f t="shared" si="6"/>
        <v>6.3888888888888995E-2</v>
      </c>
      <c r="I207">
        <f t="shared" si="7"/>
        <v>0</v>
      </c>
    </row>
    <row r="208" spans="1:9" x14ac:dyDescent="0.3">
      <c r="A208" s="18" t="s">
        <v>744</v>
      </c>
      <c r="B208" s="19">
        <v>45041</v>
      </c>
      <c r="C208" s="20">
        <v>0.8125</v>
      </c>
      <c r="D208" s="20">
        <v>0.88263888888888897</v>
      </c>
      <c r="E208" s="20">
        <v>7.0138888888888903E-2</v>
      </c>
      <c r="F208" s="21" t="s">
        <v>685</v>
      </c>
      <c r="G208" t="str">
        <f>VLOOKUP(F208,'Tipo Parada Fab 2'!$A$1:$B$105,2,FALSE())</f>
        <v>P</v>
      </c>
      <c r="H208" s="22">
        <f t="shared" si="6"/>
        <v>7.0138888888888903E-2</v>
      </c>
      <c r="I208">
        <f t="shared" si="7"/>
        <v>0</v>
      </c>
    </row>
    <row r="209" spans="1:9" x14ac:dyDescent="0.3">
      <c r="A209" s="18" t="s">
        <v>744</v>
      </c>
      <c r="B209" s="19">
        <v>45041</v>
      </c>
      <c r="C209" s="20">
        <v>4.2361111111111099E-2</v>
      </c>
      <c r="D209" s="20">
        <v>4.9305555555555602E-2</v>
      </c>
      <c r="E209" s="20">
        <v>6.9444444444444501E-3</v>
      </c>
      <c r="F209" s="21" t="s">
        <v>741</v>
      </c>
      <c r="G209" t="str">
        <f>VLOOKUP(F209,'Tipo Parada Fab 2'!$A$1:$B$105,2,FALSE())</f>
        <v>NP</v>
      </c>
      <c r="H209">
        <f t="shared" si="6"/>
        <v>0</v>
      </c>
      <c r="I209" s="22">
        <f t="shared" si="7"/>
        <v>6.9444444444444501E-3</v>
      </c>
    </row>
    <row r="210" spans="1:9" x14ac:dyDescent="0.3">
      <c r="A210" s="18" t="s">
        <v>744</v>
      </c>
      <c r="B210" s="19">
        <v>45042</v>
      </c>
      <c r="C210" s="20">
        <v>0.74722222222222201</v>
      </c>
      <c r="D210" s="20">
        <v>0.8125</v>
      </c>
      <c r="E210" s="20">
        <v>6.5277777777777796E-2</v>
      </c>
      <c r="F210" s="21" t="s">
        <v>685</v>
      </c>
      <c r="G210" t="str">
        <f>VLOOKUP(F210,'Tipo Parada Fab 2'!$A$1:$B$105,2,FALSE())</f>
        <v>P</v>
      </c>
      <c r="H210" s="22">
        <f t="shared" si="6"/>
        <v>6.5277777777777796E-2</v>
      </c>
      <c r="I210">
        <f t="shared" si="7"/>
        <v>0</v>
      </c>
    </row>
    <row r="211" spans="1:9" x14ac:dyDescent="0.3">
      <c r="A211" s="18" t="s">
        <v>744</v>
      </c>
      <c r="B211" s="19">
        <v>45042</v>
      </c>
      <c r="C211" s="20">
        <v>0.8125</v>
      </c>
      <c r="D211" s="20">
        <v>0.875</v>
      </c>
      <c r="E211" s="20">
        <v>6.25E-2</v>
      </c>
      <c r="F211" s="21" t="s">
        <v>685</v>
      </c>
      <c r="G211" t="str">
        <f>VLOOKUP(F211,'Tipo Parada Fab 2'!$A$1:$B$105,2,FALSE())</f>
        <v>P</v>
      </c>
      <c r="H211" s="22">
        <f t="shared" si="6"/>
        <v>6.25E-2</v>
      </c>
      <c r="I211">
        <f t="shared" si="7"/>
        <v>0</v>
      </c>
    </row>
    <row r="212" spans="1:9" x14ac:dyDescent="0.3">
      <c r="A212" s="18" t="s">
        <v>744</v>
      </c>
      <c r="B212" s="19">
        <v>45042</v>
      </c>
      <c r="C212" s="20">
        <v>0.875</v>
      </c>
      <c r="D212" s="20">
        <v>0.9</v>
      </c>
      <c r="E212" s="20">
        <v>2.5000000000000001E-2</v>
      </c>
      <c r="F212" s="21" t="s">
        <v>763</v>
      </c>
      <c r="G212" t="str">
        <f>VLOOKUP(F212,'Tipo Parada Fab 2'!$A$1:$B$105,2,FALSE())</f>
        <v>NP</v>
      </c>
      <c r="H212">
        <f t="shared" si="6"/>
        <v>0</v>
      </c>
      <c r="I212" s="22">
        <f t="shared" si="7"/>
        <v>2.5000000000000001E-2</v>
      </c>
    </row>
    <row r="213" spans="1:9" x14ac:dyDescent="0.3">
      <c r="A213" s="18" t="s">
        <v>744</v>
      </c>
      <c r="B213" s="19">
        <v>45043</v>
      </c>
      <c r="C213" s="20">
        <v>0.49652777777777801</v>
      </c>
      <c r="D213" s="20">
        <v>0.50694444444444398</v>
      </c>
      <c r="E213" s="20">
        <v>1.0416666666666701E-2</v>
      </c>
      <c r="F213" s="21" t="s">
        <v>691</v>
      </c>
      <c r="G213" t="str">
        <f>VLOOKUP(F213,'Tipo Parada Fab 2'!$A$1:$B$105,2,FALSE())</f>
        <v>NP</v>
      </c>
      <c r="H213">
        <f t="shared" si="6"/>
        <v>0</v>
      </c>
      <c r="I213" s="22">
        <f t="shared" si="7"/>
        <v>1.0416666666666701E-2</v>
      </c>
    </row>
    <row r="214" spans="1:9" x14ac:dyDescent="0.3">
      <c r="A214" s="18" t="s">
        <v>744</v>
      </c>
      <c r="B214" s="19">
        <v>45043</v>
      </c>
      <c r="C214" s="20">
        <v>0.62777777777777799</v>
      </c>
      <c r="D214" s="20">
        <v>0.64166666666666705</v>
      </c>
      <c r="E214" s="20">
        <v>1.3888888888888999E-2</v>
      </c>
      <c r="F214" s="21" t="s">
        <v>764</v>
      </c>
      <c r="G214" t="str">
        <f>VLOOKUP(F214,'Tipo Parada Fab 2'!$A$1:$B$105,2,FALSE())</f>
        <v>NP</v>
      </c>
      <c r="H214">
        <f t="shared" si="6"/>
        <v>0</v>
      </c>
      <c r="I214" s="22">
        <f t="shared" si="7"/>
        <v>1.3888888888888999E-2</v>
      </c>
    </row>
    <row r="215" spans="1:9" x14ac:dyDescent="0.3">
      <c r="A215" s="18" t="s">
        <v>744</v>
      </c>
      <c r="B215" s="19">
        <v>45043</v>
      </c>
      <c r="C215" s="20">
        <v>0.72777777777777797</v>
      </c>
      <c r="D215" s="20">
        <v>0.75</v>
      </c>
      <c r="E215" s="20">
        <v>2.2222222222222299E-2</v>
      </c>
      <c r="F215" s="21" t="s">
        <v>765</v>
      </c>
      <c r="G215" t="str">
        <f>VLOOKUP(F215,'Tipo Parada Fab 2'!$A$1:$B$105,2,FALSE())</f>
        <v>NP</v>
      </c>
      <c r="H215">
        <f t="shared" si="6"/>
        <v>0</v>
      </c>
      <c r="I215" s="22">
        <f t="shared" si="7"/>
        <v>2.2222222222222299E-2</v>
      </c>
    </row>
    <row r="216" spans="1:9" x14ac:dyDescent="0.3">
      <c r="A216" s="18" t="s">
        <v>744</v>
      </c>
      <c r="B216" s="19">
        <v>45043</v>
      </c>
      <c r="C216" s="20">
        <v>0.75</v>
      </c>
      <c r="D216" s="20">
        <v>0.8125</v>
      </c>
      <c r="E216" s="20">
        <v>6.25E-2</v>
      </c>
      <c r="F216" s="21" t="s">
        <v>685</v>
      </c>
      <c r="G216" t="str">
        <f>VLOOKUP(F216,'Tipo Parada Fab 2'!$A$1:$B$105,2,FALSE())</f>
        <v>P</v>
      </c>
      <c r="H216" s="22">
        <f t="shared" si="6"/>
        <v>6.25E-2</v>
      </c>
      <c r="I216">
        <f t="shared" si="7"/>
        <v>0</v>
      </c>
    </row>
    <row r="217" spans="1:9" x14ac:dyDescent="0.3">
      <c r="A217" s="18" t="s">
        <v>744</v>
      </c>
      <c r="B217" s="19">
        <v>45043</v>
      </c>
      <c r="C217" s="20">
        <v>0.8125</v>
      </c>
      <c r="D217" s="20">
        <v>0.88333333333333297</v>
      </c>
      <c r="E217" s="20">
        <v>7.0833333333333304E-2</v>
      </c>
      <c r="F217" s="21" t="s">
        <v>685</v>
      </c>
      <c r="G217" t="str">
        <f>VLOOKUP(F217,'Tipo Parada Fab 2'!$A$1:$B$105,2,FALSE())</f>
        <v>P</v>
      </c>
      <c r="H217" s="22">
        <f t="shared" si="6"/>
        <v>7.0833333333333304E-2</v>
      </c>
      <c r="I217">
        <f t="shared" si="7"/>
        <v>0</v>
      </c>
    </row>
    <row r="218" spans="1:9" x14ac:dyDescent="0.3">
      <c r="A218" s="18" t="s">
        <v>744</v>
      </c>
      <c r="B218" s="19">
        <v>45044</v>
      </c>
      <c r="C218" s="20">
        <v>0.38124999999999998</v>
      </c>
      <c r="D218" s="20">
        <v>0.38611111111111102</v>
      </c>
      <c r="E218" s="20">
        <v>4.8611111111110904E-3</v>
      </c>
      <c r="F218" s="21" t="s">
        <v>722</v>
      </c>
      <c r="G218" t="str">
        <f>VLOOKUP(F218,'Tipo Parada Fab 2'!$A$1:$B$105,2,FALSE())</f>
        <v>NP</v>
      </c>
      <c r="H218">
        <f t="shared" si="6"/>
        <v>0</v>
      </c>
      <c r="I218" s="22">
        <f t="shared" si="7"/>
        <v>4.8611111111110904E-3</v>
      </c>
    </row>
    <row r="219" spans="1:9" x14ac:dyDescent="0.3">
      <c r="A219" s="18" t="s">
        <v>744</v>
      </c>
      <c r="B219" s="19">
        <v>45044</v>
      </c>
      <c r="C219" s="20">
        <v>0.70902777777777803</v>
      </c>
      <c r="D219" s="20">
        <v>0.71319444444444402</v>
      </c>
      <c r="E219" s="20">
        <v>4.1666666666667603E-3</v>
      </c>
      <c r="F219" s="21" t="s">
        <v>766</v>
      </c>
      <c r="G219" t="str">
        <f>VLOOKUP(F219,'Tipo Parada Fab 2'!$A$1:$B$105,2,FALSE())</f>
        <v>NP</v>
      </c>
      <c r="H219">
        <f t="shared" si="6"/>
        <v>0</v>
      </c>
      <c r="I219" s="22">
        <f t="shared" si="7"/>
        <v>4.1666666666667603E-3</v>
      </c>
    </row>
    <row r="220" spans="1:9" x14ac:dyDescent="0.3">
      <c r="A220" s="18" t="s">
        <v>744</v>
      </c>
      <c r="B220" s="19">
        <v>45044</v>
      </c>
      <c r="C220" s="20">
        <v>0.74861111111111101</v>
      </c>
      <c r="D220" s="20">
        <v>0.8125</v>
      </c>
      <c r="E220" s="20">
        <v>6.3888888888888995E-2</v>
      </c>
      <c r="F220" s="21" t="s">
        <v>685</v>
      </c>
      <c r="G220" t="str">
        <f>VLOOKUP(F220,'Tipo Parada Fab 2'!$A$1:$B$105,2,FALSE())</f>
        <v>P</v>
      </c>
      <c r="H220" s="22">
        <f t="shared" si="6"/>
        <v>6.3888888888888995E-2</v>
      </c>
      <c r="I220">
        <f t="shared" si="7"/>
        <v>0</v>
      </c>
    </row>
    <row r="221" spans="1:9" x14ac:dyDescent="0.3">
      <c r="A221" s="18" t="s">
        <v>744</v>
      </c>
      <c r="B221" s="19">
        <v>45044</v>
      </c>
      <c r="C221" s="20">
        <v>0.8125</v>
      </c>
      <c r="D221" s="20">
        <v>0.875</v>
      </c>
      <c r="E221" s="20">
        <v>6.25E-2</v>
      </c>
      <c r="F221" s="21" t="s">
        <v>685</v>
      </c>
      <c r="G221" t="str">
        <f>VLOOKUP(F221,'Tipo Parada Fab 2'!$A$1:$B$105,2,FALSE())</f>
        <v>P</v>
      </c>
      <c r="H221" s="22">
        <f t="shared" si="6"/>
        <v>6.25E-2</v>
      </c>
      <c r="I221">
        <f t="shared" si="7"/>
        <v>0</v>
      </c>
    </row>
    <row r="222" spans="1:9" x14ac:dyDescent="0.3">
      <c r="A222" s="18" t="s">
        <v>744</v>
      </c>
      <c r="B222" s="19">
        <v>45044</v>
      </c>
      <c r="C222" s="20">
        <v>0.875</v>
      </c>
      <c r="D222" s="20">
        <v>0.89930555555555503</v>
      </c>
      <c r="E222" s="20">
        <v>2.43055555555555E-2</v>
      </c>
      <c r="F222" s="21" t="s">
        <v>767</v>
      </c>
      <c r="G222" t="str">
        <f>VLOOKUP(F222,'Tipo Parada Fab 2'!$A$1:$B$105,2,FALSE())</f>
        <v>NP</v>
      </c>
      <c r="H222">
        <f t="shared" si="6"/>
        <v>0</v>
      </c>
      <c r="I222" s="22">
        <f t="shared" si="7"/>
        <v>2.43055555555555E-2</v>
      </c>
    </row>
    <row r="223" spans="1:9" x14ac:dyDescent="0.3">
      <c r="A223" s="18" t="s">
        <v>744</v>
      </c>
      <c r="B223" s="19">
        <v>45044</v>
      </c>
      <c r="C223" s="20">
        <v>0.90277777777777801</v>
      </c>
      <c r="D223" s="20">
        <v>0.90763888888888899</v>
      </c>
      <c r="E223" s="20">
        <v>4.8611111111112101E-3</v>
      </c>
      <c r="F223" s="21" t="s">
        <v>768</v>
      </c>
      <c r="G223" t="str">
        <f>VLOOKUP(F223,'Tipo Parada Fab 2'!$A$1:$B$105,2,FALSE())</f>
        <v>NP</v>
      </c>
      <c r="H223">
        <f t="shared" si="6"/>
        <v>0</v>
      </c>
      <c r="I223" s="22">
        <f t="shared" si="7"/>
        <v>4.8611111111112101E-3</v>
      </c>
    </row>
    <row r="224" spans="1:9" x14ac:dyDescent="0.3">
      <c r="A224" s="18" t="s">
        <v>744</v>
      </c>
      <c r="B224" s="19">
        <v>45045</v>
      </c>
      <c r="C224" s="20">
        <v>0.63472222222222197</v>
      </c>
      <c r="D224" s="20">
        <v>0.63819444444444395</v>
      </c>
      <c r="E224" s="20">
        <v>3.4722222222222099E-3</v>
      </c>
      <c r="F224" s="21" t="s">
        <v>769</v>
      </c>
      <c r="G224" t="str">
        <f>VLOOKUP(F224,'Tipo Parada Fab 2'!$A$1:$B$105,2,FALSE())</f>
        <v>NP</v>
      </c>
      <c r="H224">
        <f t="shared" si="6"/>
        <v>0</v>
      </c>
      <c r="I224" s="22">
        <f t="shared" si="7"/>
        <v>3.4722222222222099E-3</v>
      </c>
    </row>
    <row r="225" spans="1:9" x14ac:dyDescent="0.3">
      <c r="A225" s="18" t="s">
        <v>744</v>
      </c>
      <c r="B225" s="19">
        <v>45046</v>
      </c>
      <c r="C225" s="20">
        <v>0.67291666666666705</v>
      </c>
      <c r="D225" s="20">
        <v>0.67708333333333304</v>
      </c>
      <c r="E225" s="20">
        <v>4.1666666666667603E-3</v>
      </c>
      <c r="F225" s="21" t="s">
        <v>769</v>
      </c>
      <c r="G225" t="str">
        <f>VLOOKUP(F225,'Tipo Parada Fab 2'!$A$1:$B$105,2,FALSE())</f>
        <v>NP</v>
      </c>
      <c r="H225">
        <f t="shared" si="6"/>
        <v>0</v>
      </c>
      <c r="I225" s="22">
        <f t="shared" si="7"/>
        <v>4.1666666666667603E-3</v>
      </c>
    </row>
    <row r="226" spans="1:9" x14ac:dyDescent="0.3">
      <c r="A226" s="18" t="s">
        <v>744</v>
      </c>
      <c r="B226" s="19">
        <v>45046</v>
      </c>
      <c r="C226" s="20">
        <v>0.84375</v>
      </c>
      <c r="D226" s="20">
        <v>0.85902777777777795</v>
      </c>
      <c r="E226" s="20">
        <v>1.52777777777778E-2</v>
      </c>
      <c r="F226" s="21" t="s">
        <v>770</v>
      </c>
      <c r="G226" t="str">
        <f>VLOOKUP(F226,'Tipo Parada Fab 2'!$A$1:$B$105,2,FALSE())</f>
        <v>NP</v>
      </c>
      <c r="H226">
        <f t="shared" si="6"/>
        <v>0</v>
      </c>
      <c r="I226" s="22">
        <f t="shared" si="7"/>
        <v>1.52777777777778E-2</v>
      </c>
    </row>
    <row r="227" spans="1:9" x14ac:dyDescent="0.3">
      <c r="A227" s="18" t="s">
        <v>771</v>
      </c>
      <c r="B227" s="19">
        <v>45017</v>
      </c>
      <c r="C227" s="20">
        <v>0.17361111111111099</v>
      </c>
      <c r="D227" s="20">
        <v>0.17777777777777801</v>
      </c>
      <c r="E227" s="20">
        <v>4.1666666666666501E-3</v>
      </c>
      <c r="F227" s="21" t="s">
        <v>772</v>
      </c>
      <c r="G227" t="str">
        <f>VLOOKUP(F227,'Tipo Parada Fab 2'!$A$1:$B$105,2,FALSE())</f>
        <v>NP</v>
      </c>
      <c r="H227">
        <f t="shared" si="6"/>
        <v>0</v>
      </c>
      <c r="I227" s="22">
        <f t="shared" si="7"/>
        <v>4.1666666666666501E-3</v>
      </c>
    </row>
    <row r="228" spans="1:9" x14ac:dyDescent="0.3">
      <c r="A228" s="18" t="s">
        <v>771</v>
      </c>
      <c r="B228" s="19">
        <v>45017</v>
      </c>
      <c r="C228" s="20">
        <v>0.19305555555555601</v>
      </c>
      <c r="D228" s="20">
        <v>0.19930555555555601</v>
      </c>
      <c r="E228" s="20">
        <v>6.2500000000000099E-3</v>
      </c>
      <c r="F228" s="21" t="s">
        <v>772</v>
      </c>
      <c r="G228" t="str">
        <f>VLOOKUP(F228,'Tipo Parada Fab 2'!$A$1:$B$105,2,FALSE())</f>
        <v>NP</v>
      </c>
      <c r="H228">
        <f t="shared" si="6"/>
        <v>0</v>
      </c>
      <c r="I228" s="22">
        <f t="shared" si="7"/>
        <v>6.2500000000000099E-3</v>
      </c>
    </row>
    <row r="229" spans="1:9" x14ac:dyDescent="0.3">
      <c r="A229" s="18" t="s">
        <v>771</v>
      </c>
      <c r="B229" s="19">
        <v>45017</v>
      </c>
      <c r="C229" s="20">
        <v>0.22083333333333299</v>
      </c>
      <c r="D229" s="20">
        <v>0.26250000000000001</v>
      </c>
      <c r="E229" s="20">
        <v>4.1666666666666699E-2</v>
      </c>
      <c r="F229" s="21" t="s">
        <v>772</v>
      </c>
      <c r="G229" t="str">
        <f>VLOOKUP(F229,'Tipo Parada Fab 2'!$A$1:$B$105,2,FALSE())</f>
        <v>NP</v>
      </c>
      <c r="H229">
        <f t="shared" si="6"/>
        <v>0</v>
      </c>
      <c r="I229" s="22">
        <f t="shared" si="7"/>
        <v>4.1666666666666699E-2</v>
      </c>
    </row>
    <row r="230" spans="1:9" x14ac:dyDescent="0.3">
      <c r="A230" s="18" t="s">
        <v>771</v>
      </c>
      <c r="B230" s="19">
        <v>45018</v>
      </c>
      <c r="C230" s="20">
        <v>0.17361111111111099</v>
      </c>
      <c r="D230" s="20">
        <v>0.17777777777777801</v>
      </c>
      <c r="E230" s="20">
        <v>4.1666666666666501E-3</v>
      </c>
      <c r="F230" s="21" t="s">
        <v>772</v>
      </c>
      <c r="G230" t="str">
        <f>VLOOKUP(F230,'Tipo Parada Fab 2'!$A$1:$B$105,2,FALSE())</f>
        <v>NP</v>
      </c>
      <c r="H230">
        <f t="shared" si="6"/>
        <v>0</v>
      </c>
      <c r="I230" s="22">
        <f t="shared" si="7"/>
        <v>4.1666666666666501E-3</v>
      </c>
    </row>
    <row r="231" spans="1:9" x14ac:dyDescent="0.3">
      <c r="A231" s="18" t="s">
        <v>771</v>
      </c>
      <c r="B231" s="19">
        <v>45018</v>
      </c>
      <c r="C231" s="20">
        <v>0.19305555555555601</v>
      </c>
      <c r="D231" s="20">
        <v>0.19930555555555601</v>
      </c>
      <c r="E231" s="20">
        <v>6.2500000000000099E-3</v>
      </c>
      <c r="F231" s="21" t="s">
        <v>772</v>
      </c>
      <c r="G231" t="str">
        <f>VLOOKUP(F231,'Tipo Parada Fab 2'!$A$1:$B$105,2,FALSE())</f>
        <v>NP</v>
      </c>
      <c r="H231">
        <f t="shared" si="6"/>
        <v>0</v>
      </c>
      <c r="I231" s="22">
        <f t="shared" si="7"/>
        <v>6.2500000000000099E-3</v>
      </c>
    </row>
    <row r="232" spans="1:9" x14ac:dyDescent="0.3">
      <c r="A232" s="18" t="s">
        <v>771</v>
      </c>
      <c r="B232" s="19">
        <v>45018</v>
      </c>
      <c r="C232" s="20">
        <v>0.22083333333333299</v>
      </c>
      <c r="D232" s="20">
        <v>0.26250000000000001</v>
      </c>
      <c r="E232" s="20">
        <v>4.1666666666666699E-2</v>
      </c>
      <c r="F232" s="21" t="s">
        <v>772</v>
      </c>
      <c r="G232" t="str">
        <f>VLOOKUP(F232,'Tipo Parada Fab 2'!$A$1:$B$105,2,FALSE())</f>
        <v>NP</v>
      </c>
      <c r="H232">
        <f t="shared" si="6"/>
        <v>0</v>
      </c>
      <c r="I232" s="22">
        <f t="shared" si="7"/>
        <v>4.1666666666666699E-2</v>
      </c>
    </row>
    <row r="233" spans="1:9" x14ac:dyDescent="0.3">
      <c r="A233" s="18" t="s">
        <v>771</v>
      </c>
      <c r="B233" s="19">
        <v>45019</v>
      </c>
      <c r="C233" s="20">
        <v>0.74895833333333295</v>
      </c>
      <c r="D233" s="20">
        <v>0.8125</v>
      </c>
      <c r="E233" s="20">
        <v>6.3541666666666594E-2</v>
      </c>
      <c r="F233" s="21" t="s">
        <v>685</v>
      </c>
      <c r="G233" t="str">
        <f>VLOOKUP(F233,'Tipo Parada Fab 2'!$A$1:$B$105,2,FALSE())</f>
        <v>P</v>
      </c>
      <c r="H233" s="22">
        <f t="shared" si="6"/>
        <v>6.3541666666666594E-2</v>
      </c>
      <c r="I233">
        <f t="shared" si="7"/>
        <v>0</v>
      </c>
    </row>
    <row r="234" spans="1:9" x14ac:dyDescent="0.3">
      <c r="A234" s="18" t="s">
        <v>771</v>
      </c>
      <c r="B234" s="19">
        <v>45019</v>
      </c>
      <c r="C234" s="20">
        <v>0.8125</v>
      </c>
      <c r="D234" s="20">
        <v>0.87638888888888899</v>
      </c>
      <c r="E234" s="20">
        <v>6.3888888888888995E-2</v>
      </c>
      <c r="F234" s="21" t="s">
        <v>685</v>
      </c>
      <c r="G234" t="str">
        <f>VLOOKUP(F234,'Tipo Parada Fab 2'!$A$1:$B$105,2,FALSE())</f>
        <v>P</v>
      </c>
      <c r="H234" s="22">
        <f t="shared" si="6"/>
        <v>6.3888888888888995E-2</v>
      </c>
      <c r="I234">
        <f t="shared" si="7"/>
        <v>0</v>
      </c>
    </row>
    <row r="235" spans="1:9" x14ac:dyDescent="0.3">
      <c r="A235" s="18" t="s">
        <v>771</v>
      </c>
      <c r="B235" s="19">
        <v>45020</v>
      </c>
      <c r="C235" s="20">
        <v>0.74791666666666701</v>
      </c>
      <c r="D235" s="20">
        <v>0.8125</v>
      </c>
      <c r="E235" s="20">
        <v>6.4583333333333298E-2</v>
      </c>
      <c r="F235" s="21" t="s">
        <v>685</v>
      </c>
      <c r="G235" t="str">
        <f>VLOOKUP(F235,'Tipo Parada Fab 2'!$A$1:$B$105,2,FALSE())</f>
        <v>P</v>
      </c>
      <c r="H235" s="22">
        <f t="shared" si="6"/>
        <v>6.4583333333333298E-2</v>
      </c>
      <c r="I235">
        <f t="shared" si="7"/>
        <v>0</v>
      </c>
    </row>
    <row r="236" spans="1:9" x14ac:dyDescent="0.3">
      <c r="A236" s="18" t="s">
        <v>771</v>
      </c>
      <c r="B236" s="19">
        <v>45020</v>
      </c>
      <c r="C236" s="20">
        <v>0.8125</v>
      </c>
      <c r="D236" s="20">
        <v>0.875694444444444</v>
      </c>
      <c r="E236" s="20">
        <v>6.31944444444444E-2</v>
      </c>
      <c r="F236" s="21" t="s">
        <v>685</v>
      </c>
      <c r="G236" t="str">
        <f>VLOOKUP(F236,'Tipo Parada Fab 2'!$A$1:$B$105,2,FALSE())</f>
        <v>P</v>
      </c>
      <c r="H236" s="22">
        <f t="shared" si="6"/>
        <v>6.31944444444444E-2</v>
      </c>
      <c r="I236">
        <f t="shared" si="7"/>
        <v>0</v>
      </c>
    </row>
    <row r="237" spans="1:9" x14ac:dyDescent="0.3">
      <c r="A237" s="18" t="s">
        <v>771</v>
      </c>
      <c r="B237" s="19">
        <v>45021</v>
      </c>
      <c r="C237" s="20">
        <v>0.59861111111111098</v>
      </c>
      <c r="D237" s="20">
        <v>0.60208333333333297</v>
      </c>
      <c r="E237" s="20">
        <v>3.4722222222222099E-3</v>
      </c>
      <c r="F237" s="21" t="s">
        <v>706</v>
      </c>
      <c r="G237" t="str">
        <f>VLOOKUP(F237,'Tipo Parada Fab 2'!$A$1:$B$105,2,FALSE())</f>
        <v>NP</v>
      </c>
      <c r="H237">
        <f t="shared" si="6"/>
        <v>0</v>
      </c>
      <c r="I237" s="22">
        <f t="shared" si="7"/>
        <v>3.4722222222222099E-3</v>
      </c>
    </row>
    <row r="238" spans="1:9" x14ac:dyDescent="0.3">
      <c r="A238" s="18" t="s">
        <v>771</v>
      </c>
      <c r="B238" s="19">
        <v>45021</v>
      </c>
      <c r="C238" s="20">
        <v>0.74791666666666701</v>
      </c>
      <c r="D238" s="20">
        <v>0.8125</v>
      </c>
      <c r="E238" s="20">
        <v>6.4583333333333298E-2</v>
      </c>
      <c r="F238" s="21" t="s">
        <v>685</v>
      </c>
      <c r="G238" t="str">
        <f>VLOOKUP(F238,'Tipo Parada Fab 2'!$A$1:$B$105,2,FALSE())</f>
        <v>P</v>
      </c>
      <c r="H238" s="22">
        <f t="shared" si="6"/>
        <v>6.4583333333333298E-2</v>
      </c>
      <c r="I238">
        <f t="shared" si="7"/>
        <v>0</v>
      </c>
    </row>
    <row r="239" spans="1:9" x14ac:dyDescent="0.3">
      <c r="A239" s="18" t="s">
        <v>771</v>
      </c>
      <c r="B239" s="19">
        <v>45021</v>
      </c>
      <c r="C239" s="20">
        <v>0.8125</v>
      </c>
      <c r="D239" s="20">
        <v>0</v>
      </c>
      <c r="E239" s="20">
        <v>0.1875</v>
      </c>
      <c r="F239" s="21" t="s">
        <v>685</v>
      </c>
      <c r="G239" t="str">
        <f>VLOOKUP(F239,'Tipo Parada Fab 2'!$A$1:$B$105,2,FALSE())</f>
        <v>P</v>
      </c>
      <c r="H239" s="22">
        <f t="shared" si="6"/>
        <v>0.1875</v>
      </c>
      <c r="I239">
        <f t="shared" si="7"/>
        <v>0</v>
      </c>
    </row>
    <row r="240" spans="1:9" x14ac:dyDescent="0.3">
      <c r="A240" s="18" t="s">
        <v>771</v>
      </c>
      <c r="B240" s="19">
        <v>45022</v>
      </c>
      <c r="C240" s="20">
        <v>0.74791666666666701</v>
      </c>
      <c r="D240" s="20">
        <v>0.8125</v>
      </c>
      <c r="E240" s="20">
        <v>6.4583333333333298E-2</v>
      </c>
      <c r="F240" s="21" t="s">
        <v>685</v>
      </c>
      <c r="G240" t="str">
        <f>VLOOKUP(F240,'Tipo Parada Fab 2'!$A$1:$B$105,2,FALSE())</f>
        <v>P</v>
      </c>
      <c r="H240" s="22">
        <f t="shared" si="6"/>
        <v>6.4583333333333298E-2</v>
      </c>
      <c r="I240">
        <f t="shared" si="7"/>
        <v>0</v>
      </c>
    </row>
    <row r="241" spans="1:9" x14ac:dyDescent="0.3">
      <c r="A241" s="18" t="s">
        <v>771</v>
      </c>
      <c r="B241" s="19">
        <v>45022</v>
      </c>
      <c r="C241" s="20">
        <v>0.8125</v>
      </c>
      <c r="D241" s="20">
        <v>0.87847222222222199</v>
      </c>
      <c r="E241" s="20">
        <v>6.5972222222222196E-2</v>
      </c>
      <c r="F241" s="21" t="s">
        <v>685</v>
      </c>
      <c r="G241" t="str">
        <f>VLOOKUP(F241,'Tipo Parada Fab 2'!$A$1:$B$105,2,FALSE())</f>
        <v>P</v>
      </c>
      <c r="H241" s="22">
        <f t="shared" si="6"/>
        <v>6.5972222222222196E-2</v>
      </c>
      <c r="I241">
        <f t="shared" si="7"/>
        <v>0</v>
      </c>
    </row>
    <row r="242" spans="1:9" x14ac:dyDescent="0.3">
      <c r="A242" s="18" t="s">
        <v>771</v>
      </c>
      <c r="B242" s="19">
        <v>45026</v>
      </c>
      <c r="C242" s="20">
        <v>0.74861111111111101</v>
      </c>
      <c r="D242" s="20">
        <v>0.8125</v>
      </c>
      <c r="E242" s="20">
        <v>6.3888888888888995E-2</v>
      </c>
      <c r="F242" s="21" t="s">
        <v>685</v>
      </c>
      <c r="G242" t="str">
        <f>VLOOKUP(F242,'Tipo Parada Fab 2'!$A$1:$B$105,2,FALSE())</f>
        <v>P</v>
      </c>
      <c r="H242" s="22">
        <f t="shared" si="6"/>
        <v>6.3888888888888995E-2</v>
      </c>
      <c r="I242">
        <f t="shared" si="7"/>
        <v>0</v>
      </c>
    </row>
    <row r="243" spans="1:9" x14ac:dyDescent="0.3">
      <c r="A243" s="18" t="s">
        <v>771</v>
      </c>
      <c r="B243" s="19">
        <v>45026</v>
      </c>
      <c r="C243" s="20">
        <v>0.8125</v>
      </c>
      <c r="D243" s="20">
        <v>0.875</v>
      </c>
      <c r="E243" s="20">
        <v>6.25E-2</v>
      </c>
      <c r="F243" s="21" t="s">
        <v>685</v>
      </c>
      <c r="G243" t="str">
        <f>VLOOKUP(F243,'Tipo Parada Fab 2'!$A$1:$B$105,2,FALSE())</f>
        <v>P</v>
      </c>
      <c r="H243" s="22">
        <f t="shared" si="6"/>
        <v>6.25E-2</v>
      </c>
      <c r="I243">
        <f t="shared" si="7"/>
        <v>0</v>
      </c>
    </row>
    <row r="244" spans="1:9" x14ac:dyDescent="0.3">
      <c r="A244" s="18" t="s">
        <v>771</v>
      </c>
      <c r="B244" s="19">
        <v>45026</v>
      </c>
      <c r="C244" s="20">
        <v>0.875</v>
      </c>
      <c r="D244" s="20">
        <v>0.88263888888888897</v>
      </c>
      <c r="E244" s="20">
        <v>7.63888888888886E-3</v>
      </c>
      <c r="F244" s="21" t="s">
        <v>773</v>
      </c>
      <c r="G244" t="str">
        <f>VLOOKUP(F244,'Tipo Parada Fab 2'!$A$1:$B$105,2,FALSE())</f>
        <v>NP</v>
      </c>
      <c r="H244">
        <f t="shared" si="6"/>
        <v>0</v>
      </c>
      <c r="I244" s="22">
        <f t="shared" si="7"/>
        <v>7.63888888888886E-3</v>
      </c>
    </row>
    <row r="245" spans="1:9" x14ac:dyDescent="0.3">
      <c r="A245" s="18" t="s">
        <v>771</v>
      </c>
      <c r="B245" s="19">
        <v>45026</v>
      </c>
      <c r="C245" s="20">
        <v>0.98541666666666705</v>
      </c>
      <c r="D245" s="20">
        <v>0.98680555555555605</v>
      </c>
      <c r="E245" s="20">
        <v>1.388888888889E-3</v>
      </c>
      <c r="F245" s="21" t="s">
        <v>774</v>
      </c>
      <c r="G245" t="str">
        <f>VLOOKUP(F245,'Tipo Parada Fab 2'!$A$1:$B$105,2,FALSE())</f>
        <v>NP</v>
      </c>
      <c r="H245">
        <f t="shared" si="6"/>
        <v>0</v>
      </c>
      <c r="I245" s="22">
        <f t="shared" si="7"/>
        <v>1.388888888889E-3</v>
      </c>
    </row>
    <row r="246" spans="1:9" x14ac:dyDescent="0.3">
      <c r="A246" s="18" t="s">
        <v>771</v>
      </c>
      <c r="B246" s="19">
        <v>45027</v>
      </c>
      <c r="C246" s="20">
        <v>0.74861111111111101</v>
      </c>
      <c r="D246" s="20">
        <v>0.8125</v>
      </c>
      <c r="E246" s="20">
        <v>6.3888888888888995E-2</v>
      </c>
      <c r="F246" s="21" t="s">
        <v>685</v>
      </c>
      <c r="G246" t="str">
        <f>VLOOKUP(F246,'Tipo Parada Fab 2'!$A$1:$B$105,2,FALSE())</f>
        <v>P</v>
      </c>
      <c r="H246" s="22">
        <f t="shared" si="6"/>
        <v>6.3888888888888995E-2</v>
      </c>
      <c r="I246">
        <f t="shared" si="7"/>
        <v>0</v>
      </c>
    </row>
    <row r="247" spans="1:9" x14ac:dyDescent="0.3">
      <c r="A247" s="18" t="s">
        <v>771</v>
      </c>
      <c r="B247" s="19">
        <v>45027</v>
      </c>
      <c r="C247" s="20">
        <v>0.8125</v>
      </c>
      <c r="D247" s="20">
        <v>0.875</v>
      </c>
      <c r="E247" s="20">
        <v>6.25E-2</v>
      </c>
      <c r="F247" s="21" t="s">
        <v>685</v>
      </c>
      <c r="G247" t="str">
        <f>VLOOKUP(F247,'Tipo Parada Fab 2'!$A$1:$B$105,2,FALSE())</f>
        <v>P</v>
      </c>
      <c r="H247" s="22">
        <f t="shared" si="6"/>
        <v>6.25E-2</v>
      </c>
      <c r="I247">
        <f t="shared" si="7"/>
        <v>0</v>
      </c>
    </row>
    <row r="248" spans="1:9" x14ac:dyDescent="0.3">
      <c r="A248" s="18" t="s">
        <v>771</v>
      </c>
      <c r="B248" s="19">
        <v>45027</v>
      </c>
      <c r="C248" s="20">
        <v>0.875</v>
      </c>
      <c r="D248" s="20">
        <v>0.87986111111111098</v>
      </c>
      <c r="E248" s="20">
        <v>4.8611111111110904E-3</v>
      </c>
      <c r="F248" s="21" t="s">
        <v>723</v>
      </c>
      <c r="G248" t="str">
        <f>VLOOKUP(F248,'Tipo Parada Fab 2'!$A$1:$B$105,2,FALSE())</f>
        <v>NP</v>
      </c>
      <c r="H248">
        <f t="shared" si="6"/>
        <v>0</v>
      </c>
      <c r="I248" s="22">
        <f t="shared" si="7"/>
        <v>4.8611111111110904E-3</v>
      </c>
    </row>
    <row r="249" spans="1:9" x14ac:dyDescent="0.3">
      <c r="A249" s="18" t="s">
        <v>771</v>
      </c>
      <c r="B249" s="19">
        <v>45028</v>
      </c>
      <c r="C249" s="20">
        <v>0.42361111111111099</v>
      </c>
      <c r="D249" s="20">
        <v>0.5625</v>
      </c>
      <c r="E249" s="20">
        <v>0.13888888888888901</v>
      </c>
      <c r="F249" s="21" t="s">
        <v>775</v>
      </c>
      <c r="G249" t="str">
        <f>VLOOKUP(F249,'Tipo Parada Fab 2'!$A$1:$B$105,2,FALSE())</f>
        <v>NP</v>
      </c>
      <c r="H249">
        <f t="shared" si="6"/>
        <v>0</v>
      </c>
      <c r="I249" s="22">
        <f t="shared" si="7"/>
        <v>0.13888888888888901</v>
      </c>
    </row>
    <row r="250" spans="1:9" x14ac:dyDescent="0.3">
      <c r="A250" s="18" t="s">
        <v>771</v>
      </c>
      <c r="B250" s="19">
        <v>45028</v>
      </c>
      <c r="C250" s="20">
        <v>0.74861111111111101</v>
      </c>
      <c r="D250" s="20">
        <v>0.8125</v>
      </c>
      <c r="E250" s="20">
        <v>6.3888888888888995E-2</v>
      </c>
      <c r="F250" s="21" t="s">
        <v>685</v>
      </c>
      <c r="G250" t="str">
        <f>VLOOKUP(F250,'Tipo Parada Fab 2'!$A$1:$B$105,2,FALSE())</f>
        <v>P</v>
      </c>
      <c r="H250" s="22">
        <f t="shared" si="6"/>
        <v>6.3888888888888995E-2</v>
      </c>
      <c r="I250">
        <f t="shared" si="7"/>
        <v>0</v>
      </c>
    </row>
    <row r="251" spans="1:9" x14ac:dyDescent="0.3">
      <c r="A251" s="18" t="s">
        <v>771</v>
      </c>
      <c r="B251" s="19">
        <v>45028</v>
      </c>
      <c r="C251" s="20">
        <v>0.8125</v>
      </c>
      <c r="D251" s="20">
        <v>0.87916666666666698</v>
      </c>
      <c r="E251" s="20">
        <v>6.6666666666666805E-2</v>
      </c>
      <c r="F251" s="21" t="s">
        <v>685</v>
      </c>
      <c r="G251" t="str">
        <f>VLOOKUP(F251,'Tipo Parada Fab 2'!$A$1:$B$105,2,FALSE())</f>
        <v>P</v>
      </c>
      <c r="H251" s="22">
        <f t="shared" si="6"/>
        <v>6.6666666666666805E-2</v>
      </c>
      <c r="I251">
        <f t="shared" si="7"/>
        <v>0</v>
      </c>
    </row>
    <row r="252" spans="1:9" x14ac:dyDescent="0.3">
      <c r="A252" s="18" t="s">
        <v>771</v>
      </c>
      <c r="B252" s="19">
        <v>45029</v>
      </c>
      <c r="C252" s="20">
        <v>0.42361111111111099</v>
      </c>
      <c r="D252" s="20">
        <v>0.5625</v>
      </c>
      <c r="E252" s="20">
        <v>0.13888888888888901</v>
      </c>
      <c r="F252" s="21" t="s">
        <v>775</v>
      </c>
      <c r="G252" t="str">
        <f>VLOOKUP(F252,'Tipo Parada Fab 2'!$A$1:$B$105,2,FALSE())</f>
        <v>NP</v>
      </c>
      <c r="H252">
        <f t="shared" si="6"/>
        <v>0</v>
      </c>
      <c r="I252" s="22">
        <f t="shared" si="7"/>
        <v>0.13888888888888901</v>
      </c>
    </row>
    <row r="253" spans="1:9" x14ac:dyDescent="0.3">
      <c r="A253" s="18" t="s">
        <v>771</v>
      </c>
      <c r="B253" s="19">
        <v>45029</v>
      </c>
      <c r="C253" s="20">
        <v>0.5625</v>
      </c>
      <c r="D253" s="20">
        <v>0.75</v>
      </c>
      <c r="E253" s="20">
        <v>0.1875</v>
      </c>
      <c r="F253" s="21" t="s">
        <v>775</v>
      </c>
      <c r="G253" t="str">
        <f>VLOOKUP(F253,'Tipo Parada Fab 2'!$A$1:$B$105,2,FALSE())</f>
        <v>NP</v>
      </c>
      <c r="H253">
        <f t="shared" si="6"/>
        <v>0</v>
      </c>
      <c r="I253" s="22">
        <f t="shared" si="7"/>
        <v>0.1875</v>
      </c>
    </row>
    <row r="254" spans="1:9" x14ac:dyDescent="0.3">
      <c r="A254" s="18" t="s">
        <v>771</v>
      </c>
      <c r="B254" s="19">
        <v>45029</v>
      </c>
      <c r="C254" s="20">
        <v>0.75</v>
      </c>
      <c r="D254" s="20">
        <v>0.8125</v>
      </c>
      <c r="E254" s="20">
        <v>6.25E-2</v>
      </c>
      <c r="F254" s="21" t="s">
        <v>685</v>
      </c>
      <c r="G254" t="str">
        <f>VLOOKUP(F254,'Tipo Parada Fab 2'!$A$1:$B$105,2,FALSE())</f>
        <v>P</v>
      </c>
      <c r="H254" s="22">
        <f t="shared" si="6"/>
        <v>6.25E-2</v>
      </c>
      <c r="I254">
        <f t="shared" si="7"/>
        <v>0</v>
      </c>
    </row>
    <row r="255" spans="1:9" x14ac:dyDescent="0.3">
      <c r="A255" s="18" t="s">
        <v>771</v>
      </c>
      <c r="B255" s="19">
        <v>45029</v>
      </c>
      <c r="C255" s="20">
        <v>0.8125</v>
      </c>
      <c r="D255" s="20">
        <v>0.85902777777777795</v>
      </c>
      <c r="E255" s="20">
        <v>4.65277777777778E-2</v>
      </c>
      <c r="F255" s="21" t="s">
        <v>685</v>
      </c>
      <c r="G255" t="str">
        <f>VLOOKUP(F255,'Tipo Parada Fab 2'!$A$1:$B$105,2,FALSE())</f>
        <v>P</v>
      </c>
      <c r="H255" s="22">
        <f t="shared" si="6"/>
        <v>4.65277777777778E-2</v>
      </c>
      <c r="I255">
        <f t="shared" si="7"/>
        <v>0</v>
      </c>
    </row>
    <row r="256" spans="1:9" x14ac:dyDescent="0.3">
      <c r="A256" s="18" t="s">
        <v>771</v>
      </c>
      <c r="B256" s="19">
        <v>45029</v>
      </c>
      <c r="C256" s="20">
        <v>0.88055555555555598</v>
      </c>
      <c r="D256" s="20">
        <v>0.88124999999999998</v>
      </c>
      <c r="E256" s="20">
        <v>6.9444444444444198E-4</v>
      </c>
      <c r="F256" s="21" t="s">
        <v>709</v>
      </c>
      <c r="G256" t="str">
        <f>VLOOKUP(F256,'Tipo Parada Fab 2'!$A$1:$B$105,2,FALSE())</f>
        <v>NP</v>
      </c>
      <c r="H256">
        <f t="shared" si="6"/>
        <v>0</v>
      </c>
      <c r="I256" s="22">
        <f t="shared" si="7"/>
        <v>6.9444444444444198E-4</v>
      </c>
    </row>
    <row r="257" spans="1:9" x14ac:dyDescent="0.3">
      <c r="A257" s="18" t="s">
        <v>771</v>
      </c>
      <c r="B257" s="19">
        <v>45030</v>
      </c>
      <c r="C257" s="20">
        <v>0.74895833333333295</v>
      </c>
      <c r="D257" s="20">
        <v>0.8125</v>
      </c>
      <c r="E257" s="20">
        <v>6.3541666666666594E-2</v>
      </c>
      <c r="F257" s="21" t="s">
        <v>685</v>
      </c>
      <c r="G257" t="str">
        <f>VLOOKUP(F257,'Tipo Parada Fab 2'!$A$1:$B$105,2,FALSE())</f>
        <v>P</v>
      </c>
      <c r="H257" s="22">
        <f t="shared" si="6"/>
        <v>6.3541666666666594E-2</v>
      </c>
      <c r="I257">
        <f t="shared" si="7"/>
        <v>0</v>
      </c>
    </row>
    <row r="258" spans="1:9" x14ac:dyDescent="0.3">
      <c r="A258" s="18" t="s">
        <v>771</v>
      </c>
      <c r="B258" s="19">
        <v>45030</v>
      </c>
      <c r="C258" s="20">
        <v>0.8125</v>
      </c>
      <c r="D258" s="20">
        <v>0.87708333333333299</v>
      </c>
      <c r="E258" s="20">
        <v>6.4583333333333298E-2</v>
      </c>
      <c r="F258" s="21" t="s">
        <v>685</v>
      </c>
      <c r="G258" t="str">
        <f>VLOOKUP(F258,'Tipo Parada Fab 2'!$A$1:$B$105,2,FALSE())</f>
        <v>P</v>
      </c>
      <c r="H258" s="22">
        <f t="shared" ref="H258:H321" si="8">IF(G258="P",E258,0)</f>
        <v>6.4583333333333298E-2</v>
      </c>
      <c r="I258">
        <f t="shared" ref="I258:I321" si="9">IF(G258="NP",E258,0)</f>
        <v>0</v>
      </c>
    </row>
    <row r="259" spans="1:9" x14ac:dyDescent="0.3">
      <c r="A259" s="18" t="s">
        <v>771</v>
      </c>
      <c r="B259" s="19">
        <v>45032</v>
      </c>
      <c r="C259" s="20">
        <v>0.74861111111111101</v>
      </c>
      <c r="D259" s="20">
        <v>0.8125</v>
      </c>
      <c r="E259" s="20">
        <v>6.3888888888888995E-2</v>
      </c>
      <c r="F259" s="21" t="s">
        <v>685</v>
      </c>
      <c r="G259" t="str">
        <f>VLOOKUP(F259,'Tipo Parada Fab 2'!$A$1:$B$105,2,FALSE())</f>
        <v>P</v>
      </c>
      <c r="H259" s="22">
        <f t="shared" si="8"/>
        <v>6.3888888888888995E-2</v>
      </c>
      <c r="I259">
        <f t="shared" si="9"/>
        <v>0</v>
      </c>
    </row>
    <row r="260" spans="1:9" x14ac:dyDescent="0.3">
      <c r="A260" s="18" t="s">
        <v>771</v>
      </c>
      <c r="B260" s="19">
        <v>45032</v>
      </c>
      <c r="C260" s="20">
        <v>0.8125</v>
      </c>
      <c r="D260" s="20">
        <v>0.875</v>
      </c>
      <c r="E260" s="20">
        <v>6.25E-2</v>
      </c>
      <c r="F260" s="21" t="s">
        <v>685</v>
      </c>
      <c r="G260" t="str">
        <f>VLOOKUP(F260,'Tipo Parada Fab 2'!$A$1:$B$105,2,FALSE())</f>
        <v>P</v>
      </c>
      <c r="H260" s="22">
        <f t="shared" si="8"/>
        <v>6.25E-2</v>
      </c>
      <c r="I260">
        <f t="shared" si="9"/>
        <v>0</v>
      </c>
    </row>
    <row r="261" spans="1:9" x14ac:dyDescent="0.3">
      <c r="A261" s="18" t="s">
        <v>771</v>
      </c>
      <c r="B261" s="19">
        <v>45032</v>
      </c>
      <c r="C261" s="20">
        <v>0.875</v>
      </c>
      <c r="D261" s="20">
        <v>0.88055555555555598</v>
      </c>
      <c r="E261" s="20">
        <v>5.5555555555555402E-3</v>
      </c>
      <c r="F261" s="21" t="s">
        <v>776</v>
      </c>
      <c r="G261" t="str">
        <f>VLOOKUP(F261,'Tipo Parada Fab 2'!$A$1:$B$105,2,FALSE())</f>
        <v>NP</v>
      </c>
      <c r="H261">
        <f t="shared" si="8"/>
        <v>0</v>
      </c>
      <c r="I261" s="22">
        <f t="shared" si="9"/>
        <v>5.5555555555555402E-3</v>
      </c>
    </row>
    <row r="262" spans="1:9" x14ac:dyDescent="0.3">
      <c r="A262" s="18" t="s">
        <v>771</v>
      </c>
      <c r="B262" s="19">
        <v>45033</v>
      </c>
      <c r="C262" s="20">
        <v>0.74861111111111101</v>
      </c>
      <c r="D262" s="20">
        <v>0.8125</v>
      </c>
      <c r="E262" s="20">
        <v>6.3888888888888995E-2</v>
      </c>
      <c r="F262" s="21" t="s">
        <v>685</v>
      </c>
      <c r="G262" t="str">
        <f>VLOOKUP(F262,'Tipo Parada Fab 2'!$A$1:$B$105,2,FALSE())</f>
        <v>P</v>
      </c>
      <c r="H262" s="22">
        <f t="shared" si="8"/>
        <v>6.3888888888888995E-2</v>
      </c>
      <c r="I262">
        <f t="shared" si="9"/>
        <v>0</v>
      </c>
    </row>
    <row r="263" spans="1:9" x14ac:dyDescent="0.3">
      <c r="A263" s="18" t="s">
        <v>771</v>
      </c>
      <c r="B263" s="19">
        <v>45033</v>
      </c>
      <c r="C263" s="20">
        <v>0.8125</v>
      </c>
      <c r="D263" s="20">
        <v>0.875</v>
      </c>
      <c r="E263" s="20">
        <v>6.25E-2</v>
      </c>
      <c r="F263" s="21" t="s">
        <v>685</v>
      </c>
      <c r="G263" t="str">
        <f>VLOOKUP(F263,'Tipo Parada Fab 2'!$A$1:$B$105,2,FALSE())</f>
        <v>P</v>
      </c>
      <c r="H263" s="22">
        <f t="shared" si="8"/>
        <v>6.25E-2</v>
      </c>
      <c r="I263">
        <f t="shared" si="9"/>
        <v>0</v>
      </c>
    </row>
    <row r="264" spans="1:9" x14ac:dyDescent="0.3">
      <c r="A264" s="18" t="s">
        <v>771</v>
      </c>
      <c r="B264" s="19">
        <v>45033</v>
      </c>
      <c r="C264" s="20">
        <v>0.875</v>
      </c>
      <c r="D264" s="20">
        <v>0.88055555555555598</v>
      </c>
      <c r="E264" s="20">
        <v>5.5555555555555402E-3</v>
      </c>
      <c r="F264" s="21" t="s">
        <v>776</v>
      </c>
      <c r="G264" t="str">
        <f>VLOOKUP(F264,'Tipo Parada Fab 2'!$A$1:$B$105,2,FALSE())</f>
        <v>NP</v>
      </c>
      <c r="H264">
        <f t="shared" si="8"/>
        <v>0</v>
      </c>
      <c r="I264" s="22">
        <f t="shared" si="9"/>
        <v>5.5555555555555402E-3</v>
      </c>
    </row>
    <row r="265" spans="1:9" x14ac:dyDescent="0.3">
      <c r="A265" s="18" t="s">
        <v>771</v>
      </c>
      <c r="B265" s="19">
        <v>45034</v>
      </c>
      <c r="C265" s="20">
        <v>0.74861111111111101</v>
      </c>
      <c r="D265" s="20">
        <v>0.8125</v>
      </c>
      <c r="E265" s="20">
        <v>6.3888888888888995E-2</v>
      </c>
      <c r="F265" s="21" t="s">
        <v>685</v>
      </c>
      <c r="G265" t="str">
        <f>VLOOKUP(F265,'Tipo Parada Fab 2'!$A$1:$B$105,2,FALSE())</f>
        <v>P</v>
      </c>
      <c r="H265" s="22">
        <f t="shared" si="8"/>
        <v>6.3888888888888995E-2</v>
      </c>
      <c r="I265">
        <f t="shared" si="9"/>
        <v>0</v>
      </c>
    </row>
    <row r="266" spans="1:9" x14ac:dyDescent="0.3">
      <c r="A266" s="18" t="s">
        <v>771</v>
      </c>
      <c r="B266" s="19">
        <v>45034</v>
      </c>
      <c r="C266" s="20">
        <v>0.8125</v>
      </c>
      <c r="D266" s="20">
        <v>0.87638888888888899</v>
      </c>
      <c r="E266" s="20">
        <v>6.3888888888888995E-2</v>
      </c>
      <c r="F266" s="21" t="s">
        <v>685</v>
      </c>
      <c r="G266" t="str">
        <f>VLOOKUP(F266,'Tipo Parada Fab 2'!$A$1:$B$105,2,FALSE())</f>
        <v>P</v>
      </c>
      <c r="H266" s="22">
        <f t="shared" si="8"/>
        <v>6.3888888888888995E-2</v>
      </c>
      <c r="I266">
        <f t="shared" si="9"/>
        <v>0</v>
      </c>
    </row>
    <row r="267" spans="1:9" x14ac:dyDescent="0.3">
      <c r="A267" s="18" t="s">
        <v>771</v>
      </c>
      <c r="B267" s="19">
        <v>45035</v>
      </c>
      <c r="C267" s="20">
        <v>0.74895833333333295</v>
      </c>
      <c r="D267" s="20">
        <v>0.8125</v>
      </c>
      <c r="E267" s="20">
        <v>6.3541666666666594E-2</v>
      </c>
      <c r="F267" s="21" t="s">
        <v>685</v>
      </c>
      <c r="G267" t="str">
        <f>VLOOKUP(F267,'Tipo Parada Fab 2'!$A$1:$B$105,2,FALSE())</f>
        <v>P</v>
      </c>
      <c r="H267" s="22">
        <f t="shared" si="8"/>
        <v>6.3541666666666594E-2</v>
      </c>
      <c r="I267">
        <f t="shared" si="9"/>
        <v>0</v>
      </c>
    </row>
    <row r="268" spans="1:9" x14ac:dyDescent="0.3">
      <c r="A268" s="18" t="s">
        <v>771</v>
      </c>
      <c r="B268" s="19">
        <v>45035</v>
      </c>
      <c r="C268" s="20">
        <v>0.8125</v>
      </c>
      <c r="D268" s="20">
        <v>0.87708333333333299</v>
      </c>
      <c r="E268" s="20">
        <v>6.4583333333333298E-2</v>
      </c>
      <c r="F268" s="21" t="s">
        <v>685</v>
      </c>
      <c r="G268" t="str">
        <f>VLOOKUP(F268,'Tipo Parada Fab 2'!$A$1:$B$105,2,FALSE())</f>
        <v>P</v>
      </c>
      <c r="H268" s="22">
        <f t="shared" si="8"/>
        <v>6.4583333333333298E-2</v>
      </c>
      <c r="I268">
        <f t="shared" si="9"/>
        <v>0</v>
      </c>
    </row>
    <row r="269" spans="1:9" x14ac:dyDescent="0.3">
      <c r="A269" s="18" t="s">
        <v>771</v>
      </c>
      <c r="B269" s="19">
        <v>45036</v>
      </c>
      <c r="C269" s="20">
        <v>0.52777777777777801</v>
      </c>
      <c r="D269" s="20">
        <v>0.53541666666666698</v>
      </c>
      <c r="E269" s="20">
        <v>7.63888888888886E-3</v>
      </c>
      <c r="F269" s="21" t="s">
        <v>777</v>
      </c>
      <c r="G269" t="str">
        <f>VLOOKUP(F269,'Tipo Parada Fab 2'!$A$1:$B$105,2,FALSE())</f>
        <v>NP</v>
      </c>
      <c r="H269">
        <f t="shared" si="8"/>
        <v>0</v>
      </c>
      <c r="I269" s="22">
        <f t="shared" si="9"/>
        <v>7.63888888888886E-3</v>
      </c>
    </row>
    <row r="270" spans="1:9" x14ac:dyDescent="0.3">
      <c r="A270" s="18" t="s">
        <v>771</v>
      </c>
      <c r="B270" s="19">
        <v>45036</v>
      </c>
      <c r="C270" s="20">
        <v>0.74895833333333295</v>
      </c>
      <c r="D270" s="20">
        <v>0.8125</v>
      </c>
      <c r="E270" s="20">
        <v>6.3541666666666594E-2</v>
      </c>
      <c r="F270" s="21" t="s">
        <v>685</v>
      </c>
      <c r="G270" t="str">
        <f>VLOOKUP(F270,'Tipo Parada Fab 2'!$A$1:$B$105,2,FALSE())</f>
        <v>P</v>
      </c>
      <c r="H270" s="22">
        <f t="shared" si="8"/>
        <v>6.3541666666666594E-2</v>
      </c>
      <c r="I270">
        <f t="shared" si="9"/>
        <v>0</v>
      </c>
    </row>
    <row r="271" spans="1:9" x14ac:dyDescent="0.3">
      <c r="A271" s="18" t="s">
        <v>771</v>
      </c>
      <c r="B271" s="19">
        <v>45036</v>
      </c>
      <c r="C271" s="20">
        <v>0.8125</v>
      </c>
      <c r="D271" s="20">
        <v>0.87847222222222199</v>
      </c>
      <c r="E271" s="20">
        <v>6.5972222222222196E-2</v>
      </c>
      <c r="F271" s="21" t="s">
        <v>685</v>
      </c>
      <c r="G271" t="str">
        <f>VLOOKUP(F271,'Tipo Parada Fab 2'!$A$1:$B$105,2,FALSE())</f>
        <v>P</v>
      </c>
      <c r="H271" s="22">
        <f t="shared" si="8"/>
        <v>6.5972222222222196E-2</v>
      </c>
      <c r="I271">
        <f t="shared" si="9"/>
        <v>0</v>
      </c>
    </row>
    <row r="272" spans="1:9" x14ac:dyDescent="0.3">
      <c r="A272" s="18" t="s">
        <v>771</v>
      </c>
      <c r="B272" s="19">
        <v>45038</v>
      </c>
      <c r="C272" s="20">
        <v>0.390277777777778</v>
      </c>
      <c r="D272" s="20">
        <v>0.390972222222222</v>
      </c>
      <c r="E272" s="20">
        <v>6.9444444444444198E-4</v>
      </c>
      <c r="F272" s="21" t="s">
        <v>778</v>
      </c>
      <c r="G272" t="str">
        <f>VLOOKUP(F272,'Tipo Parada Fab 2'!$A$1:$B$105,2,FALSE())</f>
        <v>NP</v>
      </c>
      <c r="H272">
        <f t="shared" si="8"/>
        <v>0</v>
      </c>
      <c r="I272" s="22">
        <f t="shared" si="9"/>
        <v>6.9444444444444198E-4</v>
      </c>
    </row>
    <row r="273" spans="1:9" x14ac:dyDescent="0.3">
      <c r="A273" s="18" t="s">
        <v>771</v>
      </c>
      <c r="B273" s="19">
        <v>45038</v>
      </c>
      <c r="C273" s="20">
        <v>0.61111111111111105</v>
      </c>
      <c r="D273" s="20">
        <v>0</v>
      </c>
      <c r="E273" s="20">
        <v>0.38888888888888901</v>
      </c>
      <c r="F273" s="21" t="s">
        <v>748</v>
      </c>
      <c r="G273" t="str">
        <f>VLOOKUP(F273,'Tipo Parada Fab 2'!$A$1:$B$105,2,FALSE())</f>
        <v>NP</v>
      </c>
      <c r="H273">
        <f t="shared" si="8"/>
        <v>0</v>
      </c>
      <c r="I273" s="22">
        <f t="shared" si="9"/>
        <v>0.38888888888888901</v>
      </c>
    </row>
    <row r="274" spans="1:9" x14ac:dyDescent="0.3">
      <c r="A274" s="18" t="s">
        <v>771</v>
      </c>
      <c r="B274" s="19">
        <v>45039</v>
      </c>
      <c r="C274" s="20">
        <v>0.61111111111111105</v>
      </c>
      <c r="D274" s="20">
        <v>0.73055555555555596</v>
      </c>
      <c r="E274" s="20">
        <v>0.11944444444444501</v>
      </c>
      <c r="F274" s="21" t="s">
        <v>748</v>
      </c>
      <c r="G274" t="str">
        <f>VLOOKUP(F274,'Tipo Parada Fab 2'!$A$1:$B$105,2,FALSE())</f>
        <v>NP</v>
      </c>
      <c r="H274">
        <f t="shared" si="8"/>
        <v>0</v>
      </c>
      <c r="I274" s="22">
        <f t="shared" si="9"/>
        <v>0.11944444444444501</v>
      </c>
    </row>
    <row r="275" spans="1:9" x14ac:dyDescent="0.3">
      <c r="A275" s="18" t="s">
        <v>771</v>
      </c>
      <c r="B275" s="19">
        <v>45040</v>
      </c>
      <c r="C275" s="20">
        <v>0.74791666666666701</v>
      </c>
      <c r="D275" s="20">
        <v>0.8125</v>
      </c>
      <c r="E275" s="20">
        <v>6.4583333333333298E-2</v>
      </c>
      <c r="F275" s="21" t="s">
        <v>685</v>
      </c>
      <c r="G275" t="str">
        <f>VLOOKUP(F275,'Tipo Parada Fab 2'!$A$1:$B$105,2,FALSE())</f>
        <v>P</v>
      </c>
      <c r="H275" s="22">
        <f t="shared" si="8"/>
        <v>6.4583333333333298E-2</v>
      </c>
      <c r="I275">
        <f t="shared" si="9"/>
        <v>0</v>
      </c>
    </row>
    <row r="276" spans="1:9" x14ac:dyDescent="0.3">
      <c r="A276" s="18" t="s">
        <v>771</v>
      </c>
      <c r="B276" s="19">
        <v>45040</v>
      </c>
      <c r="C276" s="20">
        <v>0.8125</v>
      </c>
      <c r="D276" s="20">
        <v>0.875</v>
      </c>
      <c r="E276" s="20">
        <v>6.25E-2</v>
      </c>
      <c r="F276" s="21" t="s">
        <v>685</v>
      </c>
      <c r="G276" t="str">
        <f>VLOOKUP(F276,'Tipo Parada Fab 2'!$A$1:$B$105,2,FALSE())</f>
        <v>P</v>
      </c>
      <c r="H276" s="22">
        <f t="shared" si="8"/>
        <v>6.25E-2</v>
      </c>
      <c r="I276">
        <f t="shared" si="9"/>
        <v>0</v>
      </c>
    </row>
    <row r="277" spans="1:9" x14ac:dyDescent="0.3">
      <c r="A277" s="18" t="s">
        <v>771</v>
      </c>
      <c r="B277" s="19">
        <v>45040</v>
      </c>
      <c r="C277" s="20">
        <v>0.875694444444444</v>
      </c>
      <c r="D277" s="20">
        <v>0.88194444444444398</v>
      </c>
      <c r="E277" s="20">
        <v>6.2500000000000897E-3</v>
      </c>
      <c r="F277" s="21" t="s">
        <v>779</v>
      </c>
      <c r="G277" t="str">
        <f>VLOOKUP(F277,'Tipo Parada Fab 2'!$A$1:$B$105,2,FALSE())</f>
        <v>NP</v>
      </c>
      <c r="H277">
        <f t="shared" si="8"/>
        <v>0</v>
      </c>
      <c r="I277" s="22">
        <f t="shared" si="9"/>
        <v>6.2500000000000897E-3</v>
      </c>
    </row>
    <row r="278" spans="1:9" x14ac:dyDescent="0.3">
      <c r="A278" s="18" t="s">
        <v>771</v>
      </c>
      <c r="B278" s="19">
        <v>45041</v>
      </c>
      <c r="C278" s="20">
        <v>0.72847222222222197</v>
      </c>
      <c r="D278" s="20">
        <v>0.73888888888888904</v>
      </c>
      <c r="E278" s="20">
        <v>1.04166666666666E-2</v>
      </c>
      <c r="F278" s="21" t="s">
        <v>777</v>
      </c>
      <c r="G278" t="str">
        <f>VLOOKUP(F278,'Tipo Parada Fab 2'!$A$1:$B$105,2,FALSE())</f>
        <v>NP</v>
      </c>
      <c r="H278">
        <f t="shared" si="8"/>
        <v>0</v>
      </c>
      <c r="I278" s="22">
        <f t="shared" si="9"/>
        <v>1.04166666666666E-2</v>
      </c>
    </row>
    <row r="279" spans="1:9" x14ac:dyDescent="0.3">
      <c r="A279" s="18" t="s">
        <v>771</v>
      </c>
      <c r="B279" s="19">
        <v>45041</v>
      </c>
      <c r="C279" s="20">
        <v>0.74791666666666701</v>
      </c>
      <c r="D279" s="20">
        <v>0.8125</v>
      </c>
      <c r="E279" s="20">
        <v>6.4583333333333298E-2</v>
      </c>
      <c r="F279" s="21" t="s">
        <v>685</v>
      </c>
      <c r="G279" t="str">
        <f>VLOOKUP(F279,'Tipo Parada Fab 2'!$A$1:$B$105,2,FALSE())</f>
        <v>P</v>
      </c>
      <c r="H279" s="22">
        <f t="shared" si="8"/>
        <v>6.4583333333333298E-2</v>
      </c>
      <c r="I279">
        <f t="shared" si="9"/>
        <v>0</v>
      </c>
    </row>
    <row r="280" spans="1:9" x14ac:dyDescent="0.3">
      <c r="A280" s="18" t="s">
        <v>771</v>
      </c>
      <c r="B280" s="19">
        <v>45041</v>
      </c>
      <c r="C280" s="20">
        <v>0.8125</v>
      </c>
      <c r="D280" s="20">
        <v>0.875</v>
      </c>
      <c r="E280" s="20">
        <v>6.25E-2</v>
      </c>
      <c r="F280" s="21" t="s">
        <v>685</v>
      </c>
      <c r="G280" t="str">
        <f>VLOOKUP(F280,'Tipo Parada Fab 2'!$A$1:$B$105,2,FALSE())</f>
        <v>P</v>
      </c>
      <c r="H280" s="22">
        <f t="shared" si="8"/>
        <v>6.25E-2</v>
      </c>
      <c r="I280">
        <f t="shared" si="9"/>
        <v>0</v>
      </c>
    </row>
    <row r="281" spans="1:9" x14ac:dyDescent="0.3">
      <c r="A281" s="18" t="s">
        <v>771</v>
      </c>
      <c r="B281" s="19">
        <v>45041</v>
      </c>
      <c r="C281" s="20">
        <v>0.875</v>
      </c>
      <c r="D281" s="20">
        <v>0.88472222222222197</v>
      </c>
      <c r="E281" s="20">
        <v>9.7222222222223004E-3</v>
      </c>
      <c r="F281" s="21" t="s">
        <v>688</v>
      </c>
      <c r="G281" t="str">
        <f>VLOOKUP(F281,'Tipo Parada Fab 2'!$A$1:$B$105,2,FALSE())</f>
        <v>NP</v>
      </c>
      <c r="H281">
        <f t="shared" si="8"/>
        <v>0</v>
      </c>
      <c r="I281" s="22">
        <f t="shared" si="9"/>
        <v>9.7222222222223004E-3</v>
      </c>
    </row>
    <row r="282" spans="1:9" x14ac:dyDescent="0.3">
      <c r="A282" s="18" t="s">
        <v>771</v>
      </c>
      <c r="B282" s="19">
        <v>45042</v>
      </c>
      <c r="C282" s="20">
        <v>0.69861111111111096</v>
      </c>
      <c r="D282" s="20">
        <v>0.70625000000000004</v>
      </c>
      <c r="E282" s="20">
        <v>7.63888888888886E-3</v>
      </c>
      <c r="F282" s="21" t="s">
        <v>780</v>
      </c>
      <c r="G282" t="str">
        <f>VLOOKUP(F282,'Tipo Parada Fab 2'!$A$1:$B$105,2,FALSE())</f>
        <v>NP</v>
      </c>
      <c r="H282">
        <f t="shared" si="8"/>
        <v>0</v>
      </c>
      <c r="I282" s="22">
        <f t="shared" si="9"/>
        <v>7.63888888888886E-3</v>
      </c>
    </row>
    <row r="283" spans="1:9" x14ac:dyDescent="0.3">
      <c r="A283" s="18" t="s">
        <v>771</v>
      </c>
      <c r="B283" s="19">
        <v>45042</v>
      </c>
      <c r="C283" s="20">
        <v>0.74791666666666701</v>
      </c>
      <c r="D283" s="20">
        <v>0.8125</v>
      </c>
      <c r="E283" s="20">
        <v>6.4583333333333298E-2</v>
      </c>
      <c r="F283" s="21" t="s">
        <v>685</v>
      </c>
      <c r="G283" t="str">
        <f>VLOOKUP(F283,'Tipo Parada Fab 2'!$A$1:$B$105,2,FALSE())</f>
        <v>P</v>
      </c>
      <c r="H283" s="22">
        <f t="shared" si="8"/>
        <v>6.4583333333333298E-2</v>
      </c>
      <c r="I283">
        <f t="shared" si="9"/>
        <v>0</v>
      </c>
    </row>
    <row r="284" spans="1:9" x14ac:dyDescent="0.3">
      <c r="A284" s="18" t="s">
        <v>771</v>
      </c>
      <c r="B284" s="19">
        <v>45042</v>
      </c>
      <c r="C284" s="20">
        <v>0.8125</v>
      </c>
      <c r="D284" s="20">
        <v>0.87708333333333299</v>
      </c>
      <c r="E284" s="20">
        <v>6.4583333333333298E-2</v>
      </c>
      <c r="F284" s="21" t="s">
        <v>685</v>
      </c>
      <c r="G284" t="str">
        <f>VLOOKUP(F284,'Tipo Parada Fab 2'!$A$1:$B$105,2,FALSE())</f>
        <v>P</v>
      </c>
      <c r="H284" s="22">
        <f t="shared" si="8"/>
        <v>6.4583333333333298E-2</v>
      </c>
      <c r="I284">
        <f t="shared" si="9"/>
        <v>0</v>
      </c>
    </row>
    <row r="285" spans="1:9" x14ac:dyDescent="0.3">
      <c r="A285" s="18" t="s">
        <v>771</v>
      </c>
      <c r="B285" s="19">
        <v>45042</v>
      </c>
      <c r="C285" s="20">
        <v>0.92916666666666703</v>
      </c>
      <c r="D285" s="20">
        <v>0.93194444444444402</v>
      </c>
      <c r="E285" s="20">
        <v>2.7777777777777701E-3</v>
      </c>
      <c r="F285" s="21" t="s">
        <v>708</v>
      </c>
      <c r="G285" t="str">
        <f>VLOOKUP(F285,'Tipo Parada Fab 2'!$A$1:$B$105,2,FALSE())</f>
        <v>NP</v>
      </c>
      <c r="H285">
        <f t="shared" si="8"/>
        <v>0</v>
      </c>
      <c r="I285" s="22">
        <f t="shared" si="9"/>
        <v>2.7777777777777701E-3</v>
      </c>
    </row>
    <row r="286" spans="1:9" x14ac:dyDescent="0.3">
      <c r="A286" s="18" t="s">
        <v>771</v>
      </c>
      <c r="B286" s="19">
        <v>45043</v>
      </c>
      <c r="C286" s="20">
        <v>0.74861111111111101</v>
      </c>
      <c r="D286" s="20">
        <v>0.8125</v>
      </c>
      <c r="E286" s="20">
        <v>6.3888888888888995E-2</v>
      </c>
      <c r="F286" s="21" t="s">
        <v>685</v>
      </c>
      <c r="G286" t="str">
        <f>VLOOKUP(F286,'Tipo Parada Fab 2'!$A$1:$B$105,2,FALSE())</f>
        <v>P</v>
      </c>
      <c r="H286" s="22">
        <f t="shared" si="8"/>
        <v>6.3888888888888995E-2</v>
      </c>
      <c r="I286">
        <f t="shared" si="9"/>
        <v>0</v>
      </c>
    </row>
    <row r="287" spans="1:9" x14ac:dyDescent="0.3">
      <c r="A287" s="18" t="s">
        <v>771</v>
      </c>
      <c r="B287" s="19">
        <v>45043</v>
      </c>
      <c r="C287" s="20">
        <v>0.8125</v>
      </c>
      <c r="D287" s="20">
        <v>0.88124999999999998</v>
      </c>
      <c r="E287" s="20">
        <v>6.8750000000000006E-2</v>
      </c>
      <c r="F287" s="21" t="s">
        <v>685</v>
      </c>
      <c r="G287" t="str">
        <f>VLOOKUP(F287,'Tipo Parada Fab 2'!$A$1:$B$105,2,FALSE())</f>
        <v>P</v>
      </c>
      <c r="H287" s="22">
        <f t="shared" si="8"/>
        <v>6.8750000000000006E-2</v>
      </c>
      <c r="I287">
        <f t="shared" si="9"/>
        <v>0</v>
      </c>
    </row>
    <row r="288" spans="1:9" x14ac:dyDescent="0.3">
      <c r="A288" s="18" t="s">
        <v>771</v>
      </c>
      <c r="B288" s="19">
        <v>45044</v>
      </c>
      <c r="C288" s="20">
        <v>0.74861111111111101</v>
      </c>
      <c r="D288" s="20">
        <v>0.8125</v>
      </c>
      <c r="E288" s="20">
        <v>6.3888888888888995E-2</v>
      </c>
      <c r="F288" s="21" t="s">
        <v>685</v>
      </c>
      <c r="G288" t="str">
        <f>VLOOKUP(F288,'Tipo Parada Fab 2'!$A$1:$B$105,2,FALSE())</f>
        <v>P</v>
      </c>
      <c r="H288" s="22">
        <f t="shared" si="8"/>
        <v>6.3888888888888995E-2</v>
      </c>
      <c r="I288">
        <f t="shared" si="9"/>
        <v>0</v>
      </c>
    </row>
    <row r="289" spans="1:9" x14ac:dyDescent="0.3">
      <c r="A289" s="18" t="s">
        <v>771</v>
      </c>
      <c r="B289" s="19">
        <v>45044</v>
      </c>
      <c r="C289" s="20">
        <v>0.8125</v>
      </c>
      <c r="D289" s="20">
        <v>0.87638888888888899</v>
      </c>
      <c r="E289" s="20">
        <v>6.3888888888888995E-2</v>
      </c>
      <c r="F289" s="21" t="s">
        <v>685</v>
      </c>
      <c r="G289" t="str">
        <f>VLOOKUP(F289,'Tipo Parada Fab 2'!$A$1:$B$105,2,FALSE())</f>
        <v>P</v>
      </c>
      <c r="H289" s="22">
        <f t="shared" si="8"/>
        <v>6.3888888888888995E-2</v>
      </c>
      <c r="I289">
        <f t="shared" si="9"/>
        <v>0</v>
      </c>
    </row>
    <row r="290" spans="1:9" x14ac:dyDescent="0.3">
      <c r="A290" s="18" t="s">
        <v>781</v>
      </c>
      <c r="B290" s="19">
        <v>45017</v>
      </c>
      <c r="C290" s="20">
        <v>0.280555555555556</v>
      </c>
      <c r="D290" s="20">
        <v>0.28263888888888899</v>
      </c>
      <c r="E290" s="20">
        <v>2.0833333333333298E-3</v>
      </c>
      <c r="F290" s="21" t="s">
        <v>706</v>
      </c>
      <c r="G290" t="str">
        <f>VLOOKUP(F290,'Tipo Parada Fab 2'!$A$1:$B$105,2,FALSE())</f>
        <v>NP</v>
      </c>
      <c r="H290">
        <f t="shared" si="8"/>
        <v>0</v>
      </c>
      <c r="I290" s="22">
        <f t="shared" si="9"/>
        <v>2.0833333333333298E-3</v>
      </c>
    </row>
    <row r="291" spans="1:9" x14ac:dyDescent="0.3">
      <c r="A291" s="18" t="s">
        <v>781</v>
      </c>
      <c r="B291" s="19">
        <v>45018</v>
      </c>
      <c r="C291" s="20">
        <v>0.280555555555556</v>
      </c>
      <c r="D291" s="20">
        <v>0.28263888888888899</v>
      </c>
      <c r="E291" s="20">
        <v>2.0833333333333298E-3</v>
      </c>
      <c r="F291" s="21" t="s">
        <v>706</v>
      </c>
      <c r="G291" t="str">
        <f>VLOOKUP(F291,'Tipo Parada Fab 2'!$A$1:$B$105,2,FALSE())</f>
        <v>NP</v>
      </c>
      <c r="H291">
        <f t="shared" si="8"/>
        <v>0</v>
      </c>
      <c r="I291" s="22">
        <f t="shared" si="9"/>
        <v>2.0833333333333298E-3</v>
      </c>
    </row>
    <row r="292" spans="1:9" x14ac:dyDescent="0.3">
      <c r="A292" s="18" t="s">
        <v>781</v>
      </c>
      <c r="B292" s="19">
        <v>45018</v>
      </c>
      <c r="C292" s="20">
        <v>0.86527777777777803</v>
      </c>
      <c r="D292" s="20">
        <v>0.86597222222222203</v>
      </c>
      <c r="E292" s="20">
        <v>6.94444444444553E-4</v>
      </c>
      <c r="F292" s="21" t="s">
        <v>769</v>
      </c>
      <c r="G292" t="str">
        <f>VLOOKUP(F292,'Tipo Parada Fab 2'!$A$1:$B$105,2,FALSE())</f>
        <v>NP</v>
      </c>
      <c r="H292">
        <f t="shared" si="8"/>
        <v>0</v>
      </c>
      <c r="I292" s="22">
        <f t="shared" si="9"/>
        <v>6.94444444444553E-4</v>
      </c>
    </row>
    <row r="293" spans="1:9" x14ac:dyDescent="0.3">
      <c r="A293" s="18" t="s">
        <v>781</v>
      </c>
      <c r="B293" s="19">
        <v>45018</v>
      </c>
      <c r="C293" s="20">
        <v>0.95694444444444404</v>
      </c>
      <c r="D293" s="20">
        <v>0.95902777777777803</v>
      </c>
      <c r="E293" s="20">
        <v>2.0833333333333298E-3</v>
      </c>
      <c r="F293" s="21" t="s">
        <v>769</v>
      </c>
      <c r="G293" t="str">
        <f>VLOOKUP(F293,'Tipo Parada Fab 2'!$A$1:$B$105,2,FALSE())</f>
        <v>NP</v>
      </c>
      <c r="H293">
        <f t="shared" si="8"/>
        <v>0</v>
      </c>
      <c r="I293" s="22">
        <f t="shared" si="9"/>
        <v>2.0833333333333298E-3</v>
      </c>
    </row>
    <row r="294" spans="1:9" x14ac:dyDescent="0.3">
      <c r="A294" s="18" t="s">
        <v>781</v>
      </c>
      <c r="B294" s="19">
        <v>45018</v>
      </c>
      <c r="C294" s="20">
        <v>4.8611111111111098E-2</v>
      </c>
      <c r="D294" s="20">
        <v>5.0694444444444403E-2</v>
      </c>
      <c r="E294" s="20">
        <v>2.0833333333333398E-3</v>
      </c>
      <c r="F294" s="21" t="s">
        <v>769</v>
      </c>
      <c r="G294" t="str">
        <f>VLOOKUP(F294,'Tipo Parada Fab 2'!$A$1:$B$105,2,FALSE())</f>
        <v>NP</v>
      </c>
      <c r="H294">
        <f t="shared" si="8"/>
        <v>0</v>
      </c>
      <c r="I294" s="22">
        <f t="shared" si="9"/>
        <v>2.0833333333333398E-3</v>
      </c>
    </row>
    <row r="295" spans="1:9" x14ac:dyDescent="0.3">
      <c r="A295" s="18" t="s">
        <v>781</v>
      </c>
      <c r="B295" s="19">
        <v>45019</v>
      </c>
      <c r="C295" s="20">
        <v>0.19166666666666701</v>
      </c>
      <c r="D295" s="20">
        <v>0.202777777777778</v>
      </c>
      <c r="E295" s="20">
        <v>1.11111111111112E-2</v>
      </c>
      <c r="F295" s="21" t="s">
        <v>706</v>
      </c>
      <c r="G295" t="str">
        <f>VLOOKUP(F295,'Tipo Parada Fab 2'!$A$1:$B$105,2,FALSE())</f>
        <v>NP</v>
      </c>
      <c r="H295">
        <f t="shared" si="8"/>
        <v>0</v>
      </c>
      <c r="I295" s="22">
        <f t="shared" si="9"/>
        <v>1.11111111111112E-2</v>
      </c>
    </row>
    <row r="296" spans="1:9" x14ac:dyDescent="0.3">
      <c r="A296" s="18" t="s">
        <v>781</v>
      </c>
      <c r="B296" s="19">
        <v>45019</v>
      </c>
      <c r="C296" s="20">
        <v>0.749305555555556</v>
      </c>
      <c r="D296" s="20">
        <v>0.8125</v>
      </c>
      <c r="E296" s="20">
        <v>6.31944444444444E-2</v>
      </c>
      <c r="F296" s="21" t="s">
        <v>685</v>
      </c>
      <c r="G296" t="str">
        <f>VLOOKUP(F296,'Tipo Parada Fab 2'!$A$1:$B$105,2,FALSE())</f>
        <v>P</v>
      </c>
      <c r="H296" s="22">
        <f t="shared" si="8"/>
        <v>6.31944444444444E-2</v>
      </c>
      <c r="I296">
        <f t="shared" si="9"/>
        <v>0</v>
      </c>
    </row>
    <row r="297" spans="1:9" x14ac:dyDescent="0.3">
      <c r="A297" s="18" t="s">
        <v>781</v>
      </c>
      <c r="B297" s="19">
        <v>45019</v>
      </c>
      <c r="C297" s="20">
        <v>0.8125</v>
      </c>
      <c r="D297" s="20">
        <v>0.875694444444444</v>
      </c>
      <c r="E297" s="20">
        <v>6.31944444444444E-2</v>
      </c>
      <c r="F297" s="21" t="s">
        <v>685</v>
      </c>
      <c r="G297" t="str">
        <f>VLOOKUP(F297,'Tipo Parada Fab 2'!$A$1:$B$105,2,FALSE())</f>
        <v>P</v>
      </c>
      <c r="H297" s="22">
        <f t="shared" si="8"/>
        <v>6.31944444444444E-2</v>
      </c>
      <c r="I297">
        <f t="shared" si="9"/>
        <v>0</v>
      </c>
    </row>
    <row r="298" spans="1:9" x14ac:dyDescent="0.3">
      <c r="A298" s="18" t="s">
        <v>781</v>
      </c>
      <c r="B298" s="19">
        <v>45020</v>
      </c>
      <c r="C298" s="20">
        <v>0.19166666666666701</v>
      </c>
      <c r="D298" s="20">
        <v>0.202777777777778</v>
      </c>
      <c r="E298" s="20">
        <v>1.11111111111112E-2</v>
      </c>
      <c r="F298" s="21" t="s">
        <v>706</v>
      </c>
      <c r="G298" t="str">
        <f>VLOOKUP(F298,'Tipo Parada Fab 2'!$A$1:$B$105,2,FALSE())</f>
        <v>NP</v>
      </c>
      <c r="H298">
        <f t="shared" si="8"/>
        <v>0</v>
      </c>
      <c r="I298" s="22">
        <f t="shared" si="9"/>
        <v>1.11111111111112E-2</v>
      </c>
    </row>
    <row r="299" spans="1:9" x14ac:dyDescent="0.3">
      <c r="A299" s="18" t="s">
        <v>781</v>
      </c>
      <c r="B299" s="19">
        <v>45020</v>
      </c>
      <c r="C299" s="20">
        <v>0.74652777777777801</v>
      </c>
      <c r="D299" s="20">
        <v>0.8125</v>
      </c>
      <c r="E299" s="20">
        <v>6.5972222222222196E-2</v>
      </c>
      <c r="F299" s="21" t="s">
        <v>685</v>
      </c>
      <c r="G299" t="str">
        <f>VLOOKUP(F299,'Tipo Parada Fab 2'!$A$1:$B$105,2,FALSE())</f>
        <v>P</v>
      </c>
      <c r="H299" s="22">
        <f t="shared" si="8"/>
        <v>6.5972222222222196E-2</v>
      </c>
      <c r="I299">
        <f t="shared" si="9"/>
        <v>0</v>
      </c>
    </row>
    <row r="300" spans="1:9" x14ac:dyDescent="0.3">
      <c r="A300" s="18" t="s">
        <v>781</v>
      </c>
      <c r="B300" s="19">
        <v>45020</v>
      </c>
      <c r="C300" s="20">
        <v>0.8125</v>
      </c>
      <c r="D300" s="20">
        <v>0.87847222222222199</v>
      </c>
      <c r="E300" s="20">
        <v>6.5972222222222196E-2</v>
      </c>
      <c r="F300" s="21" t="s">
        <v>685</v>
      </c>
      <c r="G300" t="str">
        <f>VLOOKUP(F300,'Tipo Parada Fab 2'!$A$1:$B$105,2,FALSE())</f>
        <v>P</v>
      </c>
      <c r="H300" s="22">
        <f t="shared" si="8"/>
        <v>6.5972222222222196E-2</v>
      </c>
      <c r="I300">
        <f t="shared" si="9"/>
        <v>0</v>
      </c>
    </row>
    <row r="301" spans="1:9" x14ac:dyDescent="0.3">
      <c r="A301" s="18" t="s">
        <v>781</v>
      </c>
      <c r="B301" s="19">
        <v>45021</v>
      </c>
      <c r="C301" s="20">
        <v>0.624305555555556</v>
      </c>
      <c r="D301" s="20">
        <v>0.63333333333333297</v>
      </c>
      <c r="E301" s="20">
        <v>9.0277777777777492E-3</v>
      </c>
      <c r="F301" s="21" t="s">
        <v>706</v>
      </c>
      <c r="G301" t="str">
        <f>VLOOKUP(F301,'Tipo Parada Fab 2'!$A$1:$B$105,2,FALSE())</f>
        <v>NP</v>
      </c>
      <c r="H301">
        <f t="shared" si="8"/>
        <v>0</v>
      </c>
      <c r="I301" s="22">
        <f t="shared" si="9"/>
        <v>9.0277777777777492E-3</v>
      </c>
    </row>
    <row r="302" spans="1:9" x14ac:dyDescent="0.3">
      <c r="A302" s="18" t="s">
        <v>781</v>
      </c>
      <c r="B302" s="19">
        <v>45021</v>
      </c>
      <c r="C302" s="20">
        <v>0.74791666666666701</v>
      </c>
      <c r="D302" s="20">
        <v>0.8125</v>
      </c>
      <c r="E302" s="20">
        <v>6.4583333333333298E-2</v>
      </c>
      <c r="F302" s="21" t="s">
        <v>685</v>
      </c>
      <c r="G302" t="str">
        <f>VLOOKUP(F302,'Tipo Parada Fab 2'!$A$1:$B$105,2,FALSE())</f>
        <v>P</v>
      </c>
      <c r="H302" s="22">
        <f t="shared" si="8"/>
        <v>6.4583333333333298E-2</v>
      </c>
      <c r="I302">
        <f t="shared" si="9"/>
        <v>0</v>
      </c>
    </row>
    <row r="303" spans="1:9" x14ac:dyDescent="0.3">
      <c r="A303" s="18" t="s">
        <v>781</v>
      </c>
      <c r="B303" s="19">
        <v>45021</v>
      </c>
      <c r="C303" s="20">
        <v>0.8125</v>
      </c>
      <c r="D303" s="20">
        <v>0.875694444444444</v>
      </c>
      <c r="E303" s="20">
        <v>6.31944444444444E-2</v>
      </c>
      <c r="F303" s="21" t="s">
        <v>685</v>
      </c>
      <c r="G303" t="str">
        <f>VLOOKUP(F303,'Tipo Parada Fab 2'!$A$1:$B$105,2,FALSE())</f>
        <v>P</v>
      </c>
      <c r="H303" s="22">
        <f t="shared" si="8"/>
        <v>6.31944444444444E-2</v>
      </c>
      <c r="I303">
        <f t="shared" si="9"/>
        <v>0</v>
      </c>
    </row>
    <row r="304" spans="1:9" x14ac:dyDescent="0.3">
      <c r="A304" s="18" t="s">
        <v>781</v>
      </c>
      <c r="B304" s="19">
        <v>45022</v>
      </c>
      <c r="C304" s="20">
        <v>0.66736111111111096</v>
      </c>
      <c r="D304" s="20">
        <v>0.67013888888888895</v>
      </c>
      <c r="E304" s="20">
        <v>2.7777777777777701E-3</v>
      </c>
      <c r="F304" s="21" t="s">
        <v>706</v>
      </c>
      <c r="G304" t="str">
        <f>VLOOKUP(F304,'Tipo Parada Fab 2'!$A$1:$B$105,2,FALSE())</f>
        <v>NP</v>
      </c>
      <c r="H304">
        <f t="shared" si="8"/>
        <v>0</v>
      </c>
      <c r="I304" s="22">
        <f t="shared" si="9"/>
        <v>2.7777777777777701E-3</v>
      </c>
    </row>
    <row r="305" spans="1:9" x14ac:dyDescent="0.3">
      <c r="A305" s="18" t="s">
        <v>781</v>
      </c>
      <c r="B305" s="19">
        <v>45022</v>
      </c>
      <c r="C305" s="20">
        <v>0.74722222222222201</v>
      </c>
      <c r="D305" s="20">
        <v>0.8125</v>
      </c>
      <c r="E305" s="20">
        <v>6.5277777777777796E-2</v>
      </c>
      <c r="F305" s="21" t="s">
        <v>685</v>
      </c>
      <c r="G305" t="str">
        <f>VLOOKUP(F305,'Tipo Parada Fab 2'!$A$1:$B$105,2,FALSE())</f>
        <v>P</v>
      </c>
      <c r="H305" s="22">
        <f t="shared" si="8"/>
        <v>6.5277777777777796E-2</v>
      </c>
      <c r="I305">
        <f t="shared" si="9"/>
        <v>0</v>
      </c>
    </row>
    <row r="306" spans="1:9" x14ac:dyDescent="0.3">
      <c r="A306" s="18" t="s">
        <v>781</v>
      </c>
      <c r="B306" s="19">
        <v>45022</v>
      </c>
      <c r="C306" s="20">
        <v>0.8125</v>
      </c>
      <c r="D306" s="20">
        <v>0.875694444444444</v>
      </c>
      <c r="E306" s="20">
        <v>6.31944444444444E-2</v>
      </c>
      <c r="F306" s="21" t="s">
        <v>685</v>
      </c>
      <c r="G306" t="str">
        <f>VLOOKUP(F306,'Tipo Parada Fab 2'!$A$1:$B$105,2,FALSE())</f>
        <v>P</v>
      </c>
      <c r="H306" s="22">
        <f t="shared" si="8"/>
        <v>6.31944444444444E-2</v>
      </c>
      <c r="I306">
        <f t="shared" si="9"/>
        <v>0</v>
      </c>
    </row>
    <row r="307" spans="1:9" x14ac:dyDescent="0.3">
      <c r="A307" s="18" t="s">
        <v>781</v>
      </c>
      <c r="B307" s="19">
        <v>45023</v>
      </c>
      <c r="C307" s="20">
        <v>0.41319444444444398</v>
      </c>
      <c r="D307" s="20">
        <v>0.41875000000000001</v>
      </c>
      <c r="E307" s="20">
        <v>5.5555555555555896E-3</v>
      </c>
      <c r="F307" s="21" t="s">
        <v>782</v>
      </c>
      <c r="G307" t="str">
        <f>VLOOKUP(F307,'Tipo Parada Fab 2'!$A$1:$B$105,2,FALSE())</f>
        <v>NP</v>
      </c>
      <c r="H307">
        <f t="shared" si="8"/>
        <v>0</v>
      </c>
      <c r="I307" s="22">
        <f t="shared" si="9"/>
        <v>5.5555555555555896E-3</v>
      </c>
    </row>
    <row r="308" spans="1:9" x14ac:dyDescent="0.3">
      <c r="A308" s="18" t="s">
        <v>781</v>
      </c>
      <c r="B308" s="19">
        <v>45023</v>
      </c>
      <c r="C308" s="20">
        <v>0.63888888888888895</v>
      </c>
      <c r="D308" s="20">
        <v>0.65486111111111101</v>
      </c>
      <c r="E308" s="20">
        <v>1.59722222222222E-2</v>
      </c>
      <c r="F308" s="21" t="s">
        <v>702</v>
      </c>
      <c r="G308" t="str">
        <f>VLOOKUP(F308,'Tipo Parada Fab 2'!$A$1:$B$105,2,FALSE())</f>
        <v>NP</v>
      </c>
      <c r="H308">
        <f t="shared" si="8"/>
        <v>0</v>
      </c>
      <c r="I308" s="22">
        <f t="shared" si="9"/>
        <v>1.59722222222222E-2</v>
      </c>
    </row>
    <row r="309" spans="1:9" x14ac:dyDescent="0.3">
      <c r="A309" s="18" t="s">
        <v>781</v>
      </c>
      <c r="B309" s="19">
        <v>45024</v>
      </c>
      <c r="C309" s="20">
        <v>0.63888888888888895</v>
      </c>
      <c r="D309" s="20">
        <v>0.65486111111111101</v>
      </c>
      <c r="E309" s="20">
        <v>1.59722222222222E-2</v>
      </c>
      <c r="F309" s="21" t="s">
        <v>702</v>
      </c>
      <c r="G309" t="str">
        <f>VLOOKUP(F309,'Tipo Parada Fab 2'!$A$1:$B$105,2,FALSE())</f>
        <v>NP</v>
      </c>
      <c r="H309">
        <f t="shared" si="8"/>
        <v>0</v>
      </c>
      <c r="I309" s="22">
        <f t="shared" si="9"/>
        <v>1.59722222222222E-2</v>
      </c>
    </row>
    <row r="310" spans="1:9" x14ac:dyDescent="0.3">
      <c r="A310" s="18" t="s">
        <v>781</v>
      </c>
      <c r="B310" s="19">
        <v>45026</v>
      </c>
      <c r="C310" s="20">
        <v>0.468055555555555</v>
      </c>
      <c r="D310" s="20">
        <v>0.47222222222222199</v>
      </c>
      <c r="E310" s="20">
        <v>4.1666666666667603E-3</v>
      </c>
      <c r="F310" s="21" t="s">
        <v>758</v>
      </c>
      <c r="G310" t="str">
        <f>VLOOKUP(F310,'Tipo Parada Fab 2'!$A$1:$B$105,2,FALSE())</f>
        <v>NP</v>
      </c>
      <c r="H310">
        <f t="shared" si="8"/>
        <v>0</v>
      </c>
      <c r="I310" s="22">
        <f t="shared" si="9"/>
        <v>4.1666666666667603E-3</v>
      </c>
    </row>
    <row r="311" spans="1:9" x14ac:dyDescent="0.3">
      <c r="A311" s="18" t="s">
        <v>781</v>
      </c>
      <c r="B311" s="19">
        <v>45026</v>
      </c>
      <c r="C311" s="20">
        <v>0.74722222222222201</v>
      </c>
      <c r="D311" s="20">
        <v>0.8125</v>
      </c>
      <c r="E311" s="20">
        <v>6.5277777777777796E-2</v>
      </c>
      <c r="F311" s="21" t="s">
        <v>685</v>
      </c>
      <c r="G311" t="str">
        <f>VLOOKUP(F311,'Tipo Parada Fab 2'!$A$1:$B$105,2,FALSE())</f>
        <v>P</v>
      </c>
      <c r="H311" s="22">
        <f t="shared" si="8"/>
        <v>6.5277777777777796E-2</v>
      </c>
      <c r="I311">
        <f t="shared" si="9"/>
        <v>0</v>
      </c>
    </row>
    <row r="312" spans="1:9" x14ac:dyDescent="0.3">
      <c r="A312" s="18" t="s">
        <v>781</v>
      </c>
      <c r="B312" s="19">
        <v>45026</v>
      </c>
      <c r="C312" s="20">
        <v>0.8125</v>
      </c>
      <c r="D312" s="20">
        <v>0.875</v>
      </c>
      <c r="E312" s="20">
        <v>6.25E-2</v>
      </c>
      <c r="F312" s="21" t="s">
        <v>685</v>
      </c>
      <c r="G312" t="str">
        <f>VLOOKUP(F312,'Tipo Parada Fab 2'!$A$1:$B$105,2,FALSE())</f>
        <v>P</v>
      </c>
      <c r="H312" s="22">
        <f t="shared" si="8"/>
        <v>6.25E-2</v>
      </c>
      <c r="I312">
        <f t="shared" si="9"/>
        <v>0</v>
      </c>
    </row>
    <row r="313" spans="1:9" x14ac:dyDescent="0.3">
      <c r="A313" s="18" t="s">
        <v>781</v>
      </c>
      <c r="B313" s="19">
        <v>45026</v>
      </c>
      <c r="C313" s="20">
        <v>0.875</v>
      </c>
      <c r="D313" s="20">
        <v>0.88333333333333297</v>
      </c>
      <c r="E313" s="20">
        <v>8.3333333333333003E-3</v>
      </c>
      <c r="F313" s="21" t="s">
        <v>773</v>
      </c>
      <c r="G313" t="str">
        <f>VLOOKUP(F313,'Tipo Parada Fab 2'!$A$1:$B$105,2,FALSE())</f>
        <v>NP</v>
      </c>
      <c r="H313">
        <f t="shared" si="8"/>
        <v>0</v>
      </c>
      <c r="I313" s="22">
        <f t="shared" si="9"/>
        <v>8.3333333333333003E-3</v>
      </c>
    </row>
    <row r="314" spans="1:9" x14ac:dyDescent="0.3">
      <c r="A314" s="18" t="s">
        <v>781</v>
      </c>
      <c r="B314" s="19">
        <v>45027</v>
      </c>
      <c r="C314" s="20">
        <v>0.25972222222222202</v>
      </c>
      <c r="D314" s="20">
        <v>0.26319444444444401</v>
      </c>
      <c r="E314" s="20">
        <v>3.4722222222222099E-3</v>
      </c>
      <c r="F314" s="21" t="s">
        <v>706</v>
      </c>
      <c r="G314" t="str">
        <f>VLOOKUP(F314,'Tipo Parada Fab 2'!$A$1:$B$105,2,FALSE())</f>
        <v>NP</v>
      </c>
      <c r="H314">
        <f t="shared" si="8"/>
        <v>0</v>
      </c>
      <c r="I314" s="22">
        <f t="shared" si="9"/>
        <v>3.4722222222222099E-3</v>
      </c>
    </row>
    <row r="315" spans="1:9" x14ac:dyDescent="0.3">
      <c r="A315" s="18" t="s">
        <v>781</v>
      </c>
      <c r="B315" s="19">
        <v>45027</v>
      </c>
      <c r="C315" s="20">
        <v>0.296527777777778</v>
      </c>
      <c r="D315" s="20">
        <v>0.30138888888888898</v>
      </c>
      <c r="E315" s="20">
        <v>4.8611111111110904E-3</v>
      </c>
      <c r="F315" s="21" t="s">
        <v>706</v>
      </c>
      <c r="G315" t="str">
        <f>VLOOKUP(F315,'Tipo Parada Fab 2'!$A$1:$B$105,2,FALSE())</f>
        <v>NP</v>
      </c>
      <c r="H315">
        <f t="shared" si="8"/>
        <v>0</v>
      </c>
      <c r="I315" s="22">
        <f t="shared" si="9"/>
        <v>4.8611111111110904E-3</v>
      </c>
    </row>
    <row r="316" spans="1:9" x14ac:dyDescent="0.3">
      <c r="A316" s="18" t="s">
        <v>781</v>
      </c>
      <c r="B316" s="19">
        <v>45027</v>
      </c>
      <c r="C316" s="20">
        <v>0.468055555555555</v>
      </c>
      <c r="D316" s="20">
        <v>0.47222222222222199</v>
      </c>
      <c r="E316" s="20">
        <v>4.1666666666667603E-3</v>
      </c>
      <c r="F316" s="21" t="s">
        <v>758</v>
      </c>
      <c r="G316" t="str">
        <f>VLOOKUP(F316,'Tipo Parada Fab 2'!$A$1:$B$105,2,FALSE())</f>
        <v>NP</v>
      </c>
      <c r="H316">
        <f t="shared" si="8"/>
        <v>0</v>
      </c>
      <c r="I316" s="22">
        <f t="shared" si="9"/>
        <v>4.1666666666667603E-3</v>
      </c>
    </row>
    <row r="317" spans="1:9" x14ac:dyDescent="0.3">
      <c r="A317" s="18" t="s">
        <v>781</v>
      </c>
      <c r="B317" s="19">
        <v>45027</v>
      </c>
      <c r="C317" s="20">
        <v>0.749305555555556</v>
      </c>
      <c r="D317" s="20">
        <v>0.8125</v>
      </c>
      <c r="E317" s="20">
        <v>6.31944444444444E-2</v>
      </c>
      <c r="F317" s="21" t="s">
        <v>685</v>
      </c>
      <c r="G317" t="str">
        <f>VLOOKUP(F317,'Tipo Parada Fab 2'!$A$1:$B$105,2,FALSE())</f>
        <v>P</v>
      </c>
      <c r="H317" s="22">
        <f t="shared" si="8"/>
        <v>6.31944444444444E-2</v>
      </c>
      <c r="I317">
        <f t="shared" si="9"/>
        <v>0</v>
      </c>
    </row>
    <row r="318" spans="1:9" x14ac:dyDescent="0.3">
      <c r="A318" s="18" t="s">
        <v>781</v>
      </c>
      <c r="B318" s="19">
        <v>45027</v>
      </c>
      <c r="C318" s="20">
        <v>0.8125</v>
      </c>
      <c r="D318" s="20">
        <v>0.875</v>
      </c>
      <c r="E318" s="20">
        <v>6.25E-2</v>
      </c>
      <c r="F318" s="21" t="s">
        <v>685</v>
      </c>
      <c r="G318" t="str">
        <f>VLOOKUP(F318,'Tipo Parada Fab 2'!$A$1:$B$105,2,FALSE())</f>
        <v>P</v>
      </c>
      <c r="H318" s="22">
        <f t="shared" si="8"/>
        <v>6.25E-2</v>
      </c>
      <c r="I318">
        <f t="shared" si="9"/>
        <v>0</v>
      </c>
    </row>
    <row r="319" spans="1:9" x14ac:dyDescent="0.3">
      <c r="A319" s="18" t="s">
        <v>781</v>
      </c>
      <c r="B319" s="19">
        <v>45027</v>
      </c>
      <c r="C319" s="20">
        <v>0.875</v>
      </c>
      <c r="D319" s="20">
        <v>0.88055555555555598</v>
      </c>
      <c r="E319" s="20">
        <v>5.5555555555555402E-3</v>
      </c>
      <c r="F319" s="21" t="s">
        <v>723</v>
      </c>
      <c r="G319" t="str">
        <f>VLOOKUP(F319,'Tipo Parada Fab 2'!$A$1:$B$105,2,FALSE())</f>
        <v>NP</v>
      </c>
      <c r="H319">
        <f t="shared" si="8"/>
        <v>0</v>
      </c>
      <c r="I319" s="22">
        <f t="shared" si="9"/>
        <v>5.5555555555555402E-3</v>
      </c>
    </row>
    <row r="320" spans="1:9" x14ac:dyDescent="0.3">
      <c r="A320" s="18" t="s">
        <v>781</v>
      </c>
      <c r="B320" s="19">
        <v>45028</v>
      </c>
      <c r="C320" s="20">
        <v>0.25972222222222202</v>
      </c>
      <c r="D320" s="20">
        <v>0.26319444444444401</v>
      </c>
      <c r="E320" s="20">
        <v>3.4722222222222099E-3</v>
      </c>
      <c r="F320" s="21" t="s">
        <v>706</v>
      </c>
      <c r="G320" t="str">
        <f>VLOOKUP(F320,'Tipo Parada Fab 2'!$A$1:$B$105,2,FALSE())</f>
        <v>NP</v>
      </c>
      <c r="H320">
        <f t="shared" si="8"/>
        <v>0</v>
      </c>
      <c r="I320" s="22">
        <f t="shared" si="9"/>
        <v>3.4722222222222099E-3</v>
      </c>
    </row>
    <row r="321" spans="1:9" x14ac:dyDescent="0.3">
      <c r="A321" s="18" t="s">
        <v>781</v>
      </c>
      <c r="B321" s="19">
        <v>45028</v>
      </c>
      <c r="C321" s="20">
        <v>0.296527777777778</v>
      </c>
      <c r="D321" s="20">
        <v>0.30138888888888898</v>
      </c>
      <c r="E321" s="20">
        <v>4.8611111111110904E-3</v>
      </c>
      <c r="F321" s="21" t="s">
        <v>706</v>
      </c>
      <c r="G321" t="str">
        <f>VLOOKUP(F321,'Tipo Parada Fab 2'!$A$1:$B$105,2,FALSE())</f>
        <v>NP</v>
      </c>
      <c r="H321">
        <f t="shared" si="8"/>
        <v>0</v>
      </c>
      <c r="I321" s="22">
        <f t="shared" si="9"/>
        <v>4.8611111111110904E-3</v>
      </c>
    </row>
    <row r="322" spans="1:9" x14ac:dyDescent="0.3">
      <c r="A322" s="18" t="s">
        <v>781</v>
      </c>
      <c r="B322" s="19">
        <v>45028</v>
      </c>
      <c r="C322" s="20">
        <v>0.749305555555556</v>
      </c>
      <c r="D322" s="20">
        <v>0.8125</v>
      </c>
      <c r="E322" s="20">
        <v>6.31944444444444E-2</v>
      </c>
      <c r="F322" s="21" t="s">
        <v>685</v>
      </c>
      <c r="G322" t="str">
        <f>VLOOKUP(F322,'Tipo Parada Fab 2'!$A$1:$B$105,2,FALSE())</f>
        <v>P</v>
      </c>
      <c r="H322" s="22">
        <f t="shared" ref="H322:H385" si="10">IF(G322="P",E322,0)</f>
        <v>6.31944444444444E-2</v>
      </c>
      <c r="I322">
        <f t="shared" ref="I322:I358" si="11">IF(G322="NP",E322,0)</f>
        <v>0</v>
      </c>
    </row>
    <row r="323" spans="1:9" x14ac:dyDescent="0.3">
      <c r="A323" s="18" t="s">
        <v>781</v>
      </c>
      <c r="B323" s="19">
        <v>45028</v>
      </c>
      <c r="C323" s="20">
        <v>0.8125</v>
      </c>
      <c r="D323" s="20">
        <v>0.875694444444444</v>
      </c>
      <c r="E323" s="20">
        <v>6.31944444444444E-2</v>
      </c>
      <c r="F323" s="21" t="s">
        <v>685</v>
      </c>
      <c r="G323" t="str">
        <f>VLOOKUP(F323,'Tipo Parada Fab 2'!$A$1:$B$105,2,FALSE())</f>
        <v>P</v>
      </c>
      <c r="H323" s="22">
        <f t="shared" si="10"/>
        <v>6.31944444444444E-2</v>
      </c>
      <c r="I323">
        <f t="shared" si="11"/>
        <v>0</v>
      </c>
    </row>
    <row r="324" spans="1:9" x14ac:dyDescent="0.3">
      <c r="A324" s="18" t="s">
        <v>781</v>
      </c>
      <c r="B324" s="19">
        <v>45029</v>
      </c>
      <c r="C324" s="20">
        <v>8.2638888888888901E-2</v>
      </c>
      <c r="D324" s="20">
        <v>9.375E-2</v>
      </c>
      <c r="E324" s="20">
        <v>1.1111111111111099E-2</v>
      </c>
      <c r="F324" s="21" t="s">
        <v>688</v>
      </c>
      <c r="G324" t="str">
        <f>VLOOKUP(F324,'Tipo Parada Fab 2'!$A$1:$B$105,2,FALSE())</f>
        <v>NP</v>
      </c>
      <c r="H324">
        <f t="shared" si="10"/>
        <v>0</v>
      </c>
      <c r="I324" s="22">
        <f t="shared" si="11"/>
        <v>1.1111111111111099E-2</v>
      </c>
    </row>
    <row r="325" spans="1:9" x14ac:dyDescent="0.3">
      <c r="A325" s="18" t="s">
        <v>781</v>
      </c>
      <c r="B325" s="19">
        <v>45029</v>
      </c>
      <c r="C325" s="20">
        <v>0.74861111111111101</v>
      </c>
      <c r="D325" s="20">
        <v>0.75</v>
      </c>
      <c r="E325" s="20">
        <v>1.388888888889E-3</v>
      </c>
      <c r="F325" s="21" t="s">
        <v>709</v>
      </c>
      <c r="G325" t="str">
        <f>VLOOKUP(F325,'Tipo Parada Fab 2'!$A$1:$B$105,2,FALSE())</f>
        <v>NP</v>
      </c>
      <c r="H325">
        <f t="shared" si="10"/>
        <v>0</v>
      </c>
      <c r="I325" s="22">
        <f t="shared" si="11"/>
        <v>1.388888888889E-3</v>
      </c>
    </row>
    <row r="326" spans="1:9" x14ac:dyDescent="0.3">
      <c r="A326" s="18" t="s">
        <v>781</v>
      </c>
      <c r="B326" s="19">
        <v>45029</v>
      </c>
      <c r="C326" s="20">
        <v>0.85763888888888895</v>
      </c>
      <c r="D326" s="20">
        <v>0.87638888888888899</v>
      </c>
      <c r="E326" s="20">
        <v>1.8750000000000201E-2</v>
      </c>
      <c r="F326" s="21" t="s">
        <v>685</v>
      </c>
      <c r="G326" t="str">
        <f>VLOOKUP(F326,'Tipo Parada Fab 2'!$A$1:$B$105,2,FALSE())</f>
        <v>P</v>
      </c>
      <c r="H326" s="22">
        <f t="shared" si="10"/>
        <v>1.8750000000000201E-2</v>
      </c>
      <c r="I326">
        <f t="shared" si="11"/>
        <v>0</v>
      </c>
    </row>
    <row r="327" spans="1:9" x14ac:dyDescent="0.3">
      <c r="A327" s="18" t="s">
        <v>781</v>
      </c>
      <c r="B327" s="19">
        <v>45030</v>
      </c>
      <c r="C327" s="20">
        <v>0.2</v>
      </c>
      <c r="D327" s="20">
        <v>0.20624999999999999</v>
      </c>
      <c r="E327" s="20">
        <v>6.2500000000000298E-3</v>
      </c>
      <c r="F327" s="21" t="s">
        <v>783</v>
      </c>
      <c r="G327" t="str">
        <f>VLOOKUP(F327,'Tipo Parada Fab 2'!$A$1:$B$105,2,FALSE())</f>
        <v>NP</v>
      </c>
      <c r="H327">
        <f t="shared" si="10"/>
        <v>0</v>
      </c>
      <c r="I327" s="22">
        <f t="shared" si="11"/>
        <v>6.2500000000000298E-3</v>
      </c>
    </row>
    <row r="328" spans="1:9" x14ac:dyDescent="0.3">
      <c r="A328" s="18" t="s">
        <v>781</v>
      </c>
      <c r="B328" s="19">
        <v>45030</v>
      </c>
      <c r="C328" s="20">
        <v>0.74861111111111101</v>
      </c>
      <c r="D328" s="20">
        <v>0.8125</v>
      </c>
      <c r="E328" s="20">
        <v>6.3888888888888995E-2</v>
      </c>
      <c r="F328" s="21" t="s">
        <v>685</v>
      </c>
      <c r="G328" t="str">
        <f>VLOOKUP(F328,'Tipo Parada Fab 2'!$A$1:$B$105,2,FALSE())</f>
        <v>P</v>
      </c>
      <c r="H328" s="22">
        <f t="shared" si="10"/>
        <v>6.3888888888888995E-2</v>
      </c>
      <c r="I328">
        <f t="shared" si="11"/>
        <v>0</v>
      </c>
    </row>
    <row r="329" spans="1:9" x14ac:dyDescent="0.3">
      <c r="A329" s="18" t="s">
        <v>781</v>
      </c>
      <c r="B329" s="19">
        <v>45030</v>
      </c>
      <c r="C329" s="20">
        <v>0.8125</v>
      </c>
      <c r="D329" s="20">
        <v>0.87777777777777799</v>
      </c>
      <c r="E329" s="20">
        <v>6.5277777777777796E-2</v>
      </c>
      <c r="F329" s="21" t="s">
        <v>685</v>
      </c>
      <c r="G329" t="str">
        <f>VLOOKUP(F329,'Tipo Parada Fab 2'!$A$1:$B$105,2,FALSE())</f>
        <v>P</v>
      </c>
      <c r="H329" s="22">
        <f t="shared" si="10"/>
        <v>6.5277777777777796E-2</v>
      </c>
      <c r="I329">
        <f t="shared" si="11"/>
        <v>0</v>
      </c>
    </row>
    <row r="330" spans="1:9" x14ac:dyDescent="0.3">
      <c r="A330" s="18" t="s">
        <v>781</v>
      </c>
      <c r="B330" s="19">
        <v>45031</v>
      </c>
      <c r="C330" s="20">
        <v>0.2</v>
      </c>
      <c r="D330" s="20">
        <v>0.20624999999999999</v>
      </c>
      <c r="E330" s="20">
        <v>6.2500000000000298E-3</v>
      </c>
      <c r="F330" s="21" t="s">
        <v>784</v>
      </c>
      <c r="G330" t="str">
        <f>VLOOKUP(F330,'Tipo Parada Fab 2'!$A$1:$B$105,2,FALSE())</f>
        <v>NP</v>
      </c>
      <c r="H330">
        <f t="shared" si="10"/>
        <v>0</v>
      </c>
      <c r="I330" s="22">
        <f t="shared" si="11"/>
        <v>6.2500000000000298E-3</v>
      </c>
    </row>
    <row r="331" spans="1:9" x14ac:dyDescent="0.3">
      <c r="A331" s="18" t="s">
        <v>781</v>
      </c>
      <c r="B331" s="19">
        <v>45032</v>
      </c>
      <c r="C331" s="20">
        <v>0.89652777777777803</v>
      </c>
      <c r="D331" s="20">
        <v>0.9</v>
      </c>
      <c r="E331" s="20">
        <v>3.47222222222232E-3</v>
      </c>
      <c r="F331" s="21" t="s">
        <v>706</v>
      </c>
      <c r="G331" t="str">
        <f>VLOOKUP(F331,'Tipo Parada Fab 2'!$A$1:$B$105,2,FALSE())</f>
        <v>NP</v>
      </c>
      <c r="H331">
        <f t="shared" si="10"/>
        <v>0</v>
      </c>
      <c r="I331" s="22">
        <f t="shared" si="11"/>
        <v>3.47222222222232E-3</v>
      </c>
    </row>
    <row r="332" spans="1:9" x14ac:dyDescent="0.3">
      <c r="A332" s="18" t="s">
        <v>781</v>
      </c>
      <c r="B332" s="19">
        <v>45034</v>
      </c>
      <c r="C332" s="20">
        <v>0.74965277777777795</v>
      </c>
      <c r="D332" s="20">
        <v>0.8125</v>
      </c>
      <c r="E332" s="20">
        <v>6.2847222222222193E-2</v>
      </c>
      <c r="F332" s="21" t="s">
        <v>685</v>
      </c>
      <c r="G332" t="str">
        <f>VLOOKUP(F332,'Tipo Parada Fab 2'!$A$1:$B$105,2,FALSE())</f>
        <v>P</v>
      </c>
      <c r="H332" s="22">
        <f t="shared" si="10"/>
        <v>6.2847222222222193E-2</v>
      </c>
      <c r="I332">
        <f t="shared" si="11"/>
        <v>0</v>
      </c>
    </row>
    <row r="333" spans="1:9" x14ac:dyDescent="0.3">
      <c r="A333" s="18" t="s">
        <v>781</v>
      </c>
      <c r="B333" s="19">
        <v>45034</v>
      </c>
      <c r="C333" s="20">
        <v>0.8125</v>
      </c>
      <c r="D333" s="20">
        <v>0.875694444444444</v>
      </c>
      <c r="E333" s="20">
        <v>6.31944444444444E-2</v>
      </c>
      <c r="F333" s="21" t="s">
        <v>685</v>
      </c>
      <c r="G333" t="str">
        <f>VLOOKUP(F333,'Tipo Parada Fab 2'!$A$1:$B$105,2,FALSE())</f>
        <v>P</v>
      </c>
      <c r="H333" s="22">
        <f t="shared" si="10"/>
        <v>6.31944444444444E-2</v>
      </c>
      <c r="I333">
        <f t="shared" si="11"/>
        <v>0</v>
      </c>
    </row>
    <row r="334" spans="1:9" x14ac:dyDescent="0.3">
      <c r="A334" s="18" t="s">
        <v>781</v>
      </c>
      <c r="B334" s="19">
        <v>45035</v>
      </c>
      <c r="C334" s="20">
        <v>0.66805555555555596</v>
      </c>
      <c r="D334" s="20">
        <v>0.67222222222222205</v>
      </c>
      <c r="E334" s="20">
        <v>4.16666666666654E-3</v>
      </c>
      <c r="F334" s="21" t="s">
        <v>785</v>
      </c>
      <c r="G334" t="str">
        <f>VLOOKUP(F334,'Tipo Parada Fab 2'!$A$1:$B$105,2,FALSE())</f>
        <v>NP</v>
      </c>
      <c r="H334">
        <f t="shared" si="10"/>
        <v>0</v>
      </c>
      <c r="I334" s="22">
        <f t="shared" si="11"/>
        <v>4.16666666666654E-3</v>
      </c>
    </row>
    <row r="335" spans="1:9" x14ac:dyDescent="0.3">
      <c r="A335" s="18" t="s">
        <v>781</v>
      </c>
      <c r="B335" s="19">
        <v>45035</v>
      </c>
      <c r="C335" s="20">
        <v>0.74965277777777795</v>
      </c>
      <c r="D335" s="20">
        <v>0.8125</v>
      </c>
      <c r="E335" s="20">
        <v>6.2847222222222193E-2</v>
      </c>
      <c r="F335" s="21" t="s">
        <v>685</v>
      </c>
      <c r="G335" t="str">
        <f>VLOOKUP(F335,'Tipo Parada Fab 2'!$A$1:$B$105,2,FALSE())</f>
        <v>P</v>
      </c>
      <c r="H335" s="22">
        <f t="shared" si="10"/>
        <v>6.2847222222222193E-2</v>
      </c>
      <c r="I335">
        <f t="shared" si="11"/>
        <v>0</v>
      </c>
    </row>
    <row r="336" spans="1:9" x14ac:dyDescent="0.3">
      <c r="A336" s="18" t="s">
        <v>781</v>
      </c>
      <c r="B336" s="19">
        <v>45035</v>
      </c>
      <c r="C336" s="20">
        <v>0.8125</v>
      </c>
      <c r="D336" s="20">
        <v>0.875</v>
      </c>
      <c r="E336" s="20">
        <v>6.25E-2</v>
      </c>
      <c r="F336" s="21" t="s">
        <v>685</v>
      </c>
      <c r="G336" t="str">
        <f>VLOOKUP(F336,'Tipo Parada Fab 2'!$A$1:$B$105,2,FALSE())</f>
        <v>P</v>
      </c>
      <c r="H336" s="22">
        <f t="shared" si="10"/>
        <v>6.25E-2</v>
      </c>
      <c r="I336">
        <f t="shared" si="11"/>
        <v>0</v>
      </c>
    </row>
    <row r="337" spans="1:9" x14ac:dyDescent="0.3">
      <c r="A337" s="18" t="s">
        <v>781</v>
      </c>
      <c r="B337" s="19">
        <v>45035</v>
      </c>
      <c r="C337" s="20">
        <v>0.875</v>
      </c>
      <c r="D337" s="20">
        <v>0.95138888888888895</v>
      </c>
      <c r="E337" s="20">
        <v>7.6388888888888798E-2</v>
      </c>
      <c r="F337" s="21" t="s">
        <v>786</v>
      </c>
      <c r="G337" t="str">
        <f>VLOOKUP(F337,'Tipo Parada Fab 2'!$A$1:$B$105,2,FALSE())</f>
        <v>NP</v>
      </c>
      <c r="H337">
        <f t="shared" si="10"/>
        <v>0</v>
      </c>
      <c r="I337" s="22">
        <f t="shared" si="11"/>
        <v>7.6388888888888798E-2</v>
      </c>
    </row>
    <row r="338" spans="1:9" x14ac:dyDescent="0.3">
      <c r="A338" s="18" t="s">
        <v>781</v>
      </c>
      <c r="B338" s="19">
        <v>45036</v>
      </c>
      <c r="C338" s="20">
        <v>0.74965277777777795</v>
      </c>
      <c r="D338" s="20">
        <v>0.8125</v>
      </c>
      <c r="E338" s="20">
        <v>6.2847222222222193E-2</v>
      </c>
      <c r="F338" s="21" t="s">
        <v>685</v>
      </c>
      <c r="G338" t="str">
        <f>VLOOKUP(F338,'Tipo Parada Fab 2'!$A$1:$B$105,2,FALSE())</f>
        <v>P</v>
      </c>
      <c r="H338" s="22">
        <f t="shared" si="10"/>
        <v>6.2847222222222193E-2</v>
      </c>
      <c r="I338">
        <f t="shared" si="11"/>
        <v>0</v>
      </c>
    </row>
    <row r="339" spans="1:9" x14ac:dyDescent="0.3">
      <c r="A339" s="18" t="s">
        <v>781</v>
      </c>
      <c r="B339" s="19">
        <v>45036</v>
      </c>
      <c r="C339" s="20">
        <v>0.8125</v>
      </c>
      <c r="D339" s="20">
        <v>0.87638888888888899</v>
      </c>
      <c r="E339" s="20">
        <v>6.3888888888888995E-2</v>
      </c>
      <c r="F339" s="21" t="s">
        <v>685</v>
      </c>
      <c r="G339" t="str">
        <f>VLOOKUP(F339,'Tipo Parada Fab 2'!$A$1:$B$105,2,FALSE())</f>
        <v>P</v>
      </c>
      <c r="H339" s="22">
        <f t="shared" si="10"/>
        <v>6.3888888888888995E-2</v>
      </c>
      <c r="I339">
        <f t="shared" si="11"/>
        <v>0</v>
      </c>
    </row>
    <row r="340" spans="1:9" x14ac:dyDescent="0.3">
      <c r="A340" s="18" t="s">
        <v>781</v>
      </c>
      <c r="B340" s="19">
        <v>45037</v>
      </c>
      <c r="C340" s="20">
        <v>0.65972222222222199</v>
      </c>
      <c r="D340" s="20">
        <v>0.67222222222222205</v>
      </c>
      <c r="E340" s="20">
        <v>1.2500000000000001E-2</v>
      </c>
      <c r="F340" s="21" t="s">
        <v>706</v>
      </c>
      <c r="G340" t="str">
        <f>VLOOKUP(F340,'Tipo Parada Fab 2'!$A$1:$B$105,2,FALSE())</f>
        <v>NP</v>
      </c>
      <c r="H340">
        <f t="shared" si="10"/>
        <v>0</v>
      </c>
      <c r="I340" s="22">
        <f t="shared" si="11"/>
        <v>1.2500000000000001E-2</v>
      </c>
    </row>
    <row r="341" spans="1:9" x14ac:dyDescent="0.3">
      <c r="A341" s="18" t="s">
        <v>781</v>
      </c>
      <c r="B341" s="19">
        <v>45039</v>
      </c>
      <c r="C341" s="20">
        <v>8.6805555555555594E-2</v>
      </c>
      <c r="D341" s="20">
        <v>0.27222222222222198</v>
      </c>
      <c r="E341" s="20">
        <v>0.18541666666666701</v>
      </c>
      <c r="F341" s="21" t="s">
        <v>787</v>
      </c>
      <c r="G341" t="str">
        <f>VLOOKUP(F341,'Tipo Parada Fab 2'!$A$1:$B$105,2,FALSE())</f>
        <v>NP</v>
      </c>
      <c r="H341">
        <f t="shared" si="10"/>
        <v>0</v>
      </c>
      <c r="I341" s="22">
        <f t="shared" si="11"/>
        <v>0.18541666666666701</v>
      </c>
    </row>
    <row r="342" spans="1:9" x14ac:dyDescent="0.3">
      <c r="A342" s="18" t="s">
        <v>781</v>
      </c>
      <c r="B342" s="19">
        <v>45039</v>
      </c>
      <c r="C342" s="20">
        <v>0.76944444444444404</v>
      </c>
      <c r="D342" s="20">
        <v>0.79166666666666696</v>
      </c>
      <c r="E342" s="20">
        <v>2.2222222222222299E-2</v>
      </c>
      <c r="F342" s="21" t="s">
        <v>688</v>
      </c>
      <c r="G342" t="str">
        <f>VLOOKUP(F342,'Tipo Parada Fab 2'!$A$1:$B$105,2,FALSE())</f>
        <v>NP</v>
      </c>
      <c r="H342">
        <f t="shared" si="10"/>
        <v>0</v>
      </c>
      <c r="I342" s="22">
        <f t="shared" si="11"/>
        <v>2.2222222222222299E-2</v>
      </c>
    </row>
    <row r="343" spans="1:9" x14ac:dyDescent="0.3">
      <c r="A343" s="18" t="s">
        <v>781</v>
      </c>
      <c r="B343" s="19">
        <v>45040</v>
      </c>
      <c r="C343" s="20">
        <v>8.6805555555555594E-2</v>
      </c>
      <c r="D343" s="20">
        <v>0.27222222222222198</v>
      </c>
      <c r="E343" s="20">
        <v>0.18541666666666701</v>
      </c>
      <c r="F343" s="21" t="s">
        <v>787</v>
      </c>
      <c r="G343" t="str">
        <f>VLOOKUP(F343,'Tipo Parada Fab 2'!$A$1:$B$105,2,FALSE())</f>
        <v>NP</v>
      </c>
      <c r="H343">
        <f t="shared" si="10"/>
        <v>0</v>
      </c>
      <c r="I343" s="22">
        <f t="shared" si="11"/>
        <v>0.18541666666666701</v>
      </c>
    </row>
    <row r="344" spans="1:9" x14ac:dyDescent="0.3">
      <c r="A344" s="18" t="s">
        <v>781</v>
      </c>
      <c r="B344" s="19">
        <v>45040</v>
      </c>
      <c r="C344" s="20">
        <v>0.74722222222222201</v>
      </c>
      <c r="D344" s="20">
        <v>0.8125</v>
      </c>
      <c r="E344" s="20">
        <v>6.5277777777777796E-2</v>
      </c>
      <c r="F344" s="21" t="s">
        <v>685</v>
      </c>
      <c r="G344" t="str">
        <f>VLOOKUP(F344,'Tipo Parada Fab 2'!$A$1:$B$105,2,FALSE())</f>
        <v>P</v>
      </c>
      <c r="H344" s="22">
        <f t="shared" si="10"/>
        <v>6.5277777777777796E-2</v>
      </c>
      <c r="I344">
        <f t="shared" si="11"/>
        <v>0</v>
      </c>
    </row>
    <row r="345" spans="1:9" x14ac:dyDescent="0.3">
      <c r="A345" s="18" t="s">
        <v>781</v>
      </c>
      <c r="B345" s="19">
        <v>45040</v>
      </c>
      <c r="C345" s="20">
        <v>0.8125</v>
      </c>
      <c r="D345" s="20">
        <v>0.87638888888888899</v>
      </c>
      <c r="E345" s="20">
        <v>6.3888888888888995E-2</v>
      </c>
      <c r="F345" s="21" t="s">
        <v>788</v>
      </c>
      <c r="G345" t="str">
        <f>VLOOKUP(F345,'Tipo Parada Fab 2'!$A$1:$B$105,2,FALSE())</f>
        <v>NP</v>
      </c>
      <c r="H345">
        <f t="shared" si="10"/>
        <v>0</v>
      </c>
      <c r="I345" s="22">
        <f t="shared" si="11"/>
        <v>6.3888888888888995E-2</v>
      </c>
    </row>
    <row r="346" spans="1:9" x14ac:dyDescent="0.3">
      <c r="A346" s="18" t="s">
        <v>781</v>
      </c>
      <c r="B346" s="19">
        <v>45041</v>
      </c>
      <c r="C346" s="20">
        <v>0.51249999999999996</v>
      </c>
      <c r="D346" s="20">
        <v>0.51458333333333295</v>
      </c>
      <c r="E346" s="20">
        <v>2.0833333333332101E-3</v>
      </c>
      <c r="F346" s="21" t="s">
        <v>789</v>
      </c>
      <c r="G346" t="str">
        <f>VLOOKUP(F346,'Tipo Parada Fab 2'!$A$1:$B$105,2,FALSE())</f>
        <v>NP</v>
      </c>
      <c r="H346">
        <f t="shared" si="10"/>
        <v>0</v>
      </c>
      <c r="I346" s="22">
        <f t="shared" si="11"/>
        <v>2.0833333333332101E-3</v>
      </c>
    </row>
    <row r="347" spans="1:9" x14ac:dyDescent="0.3">
      <c r="A347" s="18" t="s">
        <v>781</v>
      </c>
      <c r="B347" s="19">
        <v>45041</v>
      </c>
      <c r="C347" s="20">
        <v>0.74861111111111101</v>
      </c>
      <c r="D347" s="20">
        <v>0.8125</v>
      </c>
      <c r="E347" s="20">
        <v>6.3888888888888995E-2</v>
      </c>
      <c r="F347" s="21" t="s">
        <v>685</v>
      </c>
      <c r="G347" t="str">
        <f>VLOOKUP(F347,'Tipo Parada Fab 2'!$A$1:$B$105,2,FALSE())</f>
        <v>P</v>
      </c>
      <c r="H347" s="22">
        <f t="shared" si="10"/>
        <v>6.3888888888888995E-2</v>
      </c>
      <c r="I347">
        <f t="shared" si="11"/>
        <v>0</v>
      </c>
    </row>
    <row r="348" spans="1:9" x14ac:dyDescent="0.3">
      <c r="A348" s="18" t="s">
        <v>781</v>
      </c>
      <c r="B348" s="19">
        <v>45041</v>
      </c>
      <c r="C348" s="20">
        <v>0.8125</v>
      </c>
      <c r="D348" s="20">
        <v>0.87777777777777799</v>
      </c>
      <c r="E348" s="20">
        <v>6.5277777777777796E-2</v>
      </c>
      <c r="F348" s="21" t="s">
        <v>685</v>
      </c>
      <c r="G348" t="str">
        <f>VLOOKUP(F348,'Tipo Parada Fab 2'!$A$1:$B$105,2,FALSE())</f>
        <v>P</v>
      </c>
      <c r="H348" s="22">
        <f t="shared" si="10"/>
        <v>6.5277777777777796E-2</v>
      </c>
      <c r="I348">
        <f t="shared" si="11"/>
        <v>0</v>
      </c>
    </row>
    <row r="349" spans="1:9" x14ac:dyDescent="0.3">
      <c r="A349" s="18" t="s">
        <v>781</v>
      </c>
      <c r="B349" s="19">
        <v>45042</v>
      </c>
      <c r="C349" s="20">
        <v>0.74861111111111101</v>
      </c>
      <c r="D349" s="20">
        <v>0.8125</v>
      </c>
      <c r="E349" s="20">
        <v>6.3888888888888995E-2</v>
      </c>
      <c r="F349" s="21" t="s">
        <v>685</v>
      </c>
      <c r="G349" t="str">
        <f>VLOOKUP(F349,'Tipo Parada Fab 2'!$A$1:$B$105,2,FALSE())</f>
        <v>P</v>
      </c>
      <c r="H349" s="22">
        <f t="shared" si="10"/>
        <v>6.3888888888888995E-2</v>
      </c>
      <c r="I349">
        <f t="shared" si="11"/>
        <v>0</v>
      </c>
    </row>
    <row r="350" spans="1:9" x14ac:dyDescent="0.3">
      <c r="A350" s="18" t="s">
        <v>781</v>
      </c>
      <c r="B350" s="19">
        <v>45042</v>
      </c>
      <c r="C350" s="20">
        <v>0.8125</v>
      </c>
      <c r="D350" s="20">
        <v>0.875</v>
      </c>
      <c r="E350" s="20">
        <v>6.25E-2</v>
      </c>
      <c r="F350" s="21" t="s">
        <v>685</v>
      </c>
      <c r="G350" t="str">
        <f>VLOOKUP(F350,'Tipo Parada Fab 2'!$A$1:$B$105,2,FALSE())</f>
        <v>P</v>
      </c>
      <c r="H350" s="22">
        <f t="shared" si="10"/>
        <v>6.25E-2</v>
      </c>
      <c r="I350">
        <f t="shared" si="11"/>
        <v>0</v>
      </c>
    </row>
    <row r="351" spans="1:9" x14ac:dyDescent="0.3">
      <c r="A351" s="18" t="s">
        <v>781</v>
      </c>
      <c r="B351" s="19">
        <v>45042</v>
      </c>
      <c r="C351" s="20">
        <v>0.875</v>
      </c>
      <c r="D351" s="20">
        <v>0.92152777777777795</v>
      </c>
      <c r="E351" s="20">
        <v>4.65277777777778E-2</v>
      </c>
      <c r="F351" s="21" t="s">
        <v>790</v>
      </c>
      <c r="G351" t="str">
        <f>VLOOKUP(F351,'Tipo Parada Fab 2'!$A$1:$B$105,2,FALSE())</f>
        <v>NP</v>
      </c>
      <c r="H351">
        <f t="shared" si="10"/>
        <v>0</v>
      </c>
      <c r="I351" s="22">
        <f t="shared" si="11"/>
        <v>4.65277777777778E-2</v>
      </c>
    </row>
    <row r="352" spans="1:9" x14ac:dyDescent="0.3">
      <c r="A352" s="18" t="s">
        <v>781</v>
      </c>
      <c r="B352" s="19">
        <v>45043</v>
      </c>
      <c r="C352" s="20">
        <v>0.74861111111111101</v>
      </c>
      <c r="D352" s="20">
        <v>0.8125</v>
      </c>
      <c r="E352" s="20">
        <v>6.3888888888888995E-2</v>
      </c>
      <c r="F352" s="21" t="s">
        <v>685</v>
      </c>
      <c r="G352" t="str">
        <f>VLOOKUP(F352,'Tipo Parada Fab 2'!$A$1:$B$105,2,FALSE())</f>
        <v>P</v>
      </c>
      <c r="H352" s="22">
        <f t="shared" si="10"/>
        <v>6.3888888888888995E-2</v>
      </c>
      <c r="I352">
        <f t="shared" si="11"/>
        <v>0</v>
      </c>
    </row>
    <row r="353" spans="1:9" x14ac:dyDescent="0.3">
      <c r="A353" s="18" t="s">
        <v>781</v>
      </c>
      <c r="B353" s="19">
        <v>45043</v>
      </c>
      <c r="C353" s="20">
        <v>0.8125</v>
      </c>
      <c r="D353" s="20">
        <v>0.88263888888888897</v>
      </c>
      <c r="E353" s="20">
        <v>7.0138888888888903E-2</v>
      </c>
      <c r="F353" s="21" t="s">
        <v>685</v>
      </c>
      <c r="G353" t="str">
        <f>VLOOKUP(F353,'Tipo Parada Fab 2'!$A$1:$B$105,2,FALSE())</f>
        <v>P</v>
      </c>
      <c r="H353" s="22">
        <f t="shared" si="10"/>
        <v>7.0138888888888903E-2</v>
      </c>
      <c r="I353">
        <f t="shared" si="11"/>
        <v>0</v>
      </c>
    </row>
    <row r="354" spans="1:9" x14ac:dyDescent="0.3">
      <c r="A354" s="18" t="s">
        <v>781</v>
      </c>
      <c r="B354" s="19">
        <v>45044</v>
      </c>
      <c r="C354" s="20">
        <v>0.749305555555556</v>
      </c>
      <c r="D354" s="20">
        <v>0.8125</v>
      </c>
      <c r="E354" s="20">
        <v>6.31944444444444E-2</v>
      </c>
      <c r="F354" s="21" t="s">
        <v>685</v>
      </c>
      <c r="G354" t="str">
        <f>VLOOKUP(F354,'Tipo Parada Fab 2'!$A$1:$B$105,2,FALSE())</f>
        <v>P</v>
      </c>
      <c r="H354" s="22">
        <f t="shared" si="10"/>
        <v>6.31944444444444E-2</v>
      </c>
      <c r="I354">
        <f t="shared" si="11"/>
        <v>0</v>
      </c>
    </row>
    <row r="355" spans="1:9" x14ac:dyDescent="0.3">
      <c r="A355" s="18" t="s">
        <v>781</v>
      </c>
      <c r="B355" s="19">
        <v>45044</v>
      </c>
      <c r="C355" s="20">
        <v>0.8125</v>
      </c>
      <c r="D355" s="20">
        <v>0.875</v>
      </c>
      <c r="E355" s="20">
        <v>6.25E-2</v>
      </c>
      <c r="F355" s="21" t="s">
        <v>685</v>
      </c>
      <c r="G355" t="str">
        <f>VLOOKUP(F355,'Tipo Parada Fab 2'!$A$1:$B$105,2,FALSE())</f>
        <v>P</v>
      </c>
      <c r="H355" s="22">
        <f t="shared" si="10"/>
        <v>6.25E-2</v>
      </c>
      <c r="I355">
        <f t="shared" si="11"/>
        <v>0</v>
      </c>
    </row>
    <row r="356" spans="1:9" x14ac:dyDescent="0.3">
      <c r="A356" s="18" t="s">
        <v>781</v>
      </c>
      <c r="B356" s="19">
        <v>45044</v>
      </c>
      <c r="C356" s="20">
        <v>0.875</v>
      </c>
      <c r="D356" s="20">
        <v>2.7777777777777801E-2</v>
      </c>
      <c r="E356" s="20">
        <v>0.15277777777777801</v>
      </c>
      <c r="F356" s="21" t="s">
        <v>791</v>
      </c>
      <c r="G356" t="str">
        <f>VLOOKUP(F356,'Tipo Parada Fab 2'!$A$1:$B$105,2,FALSE())</f>
        <v>NP</v>
      </c>
      <c r="H356">
        <f t="shared" si="10"/>
        <v>0</v>
      </c>
      <c r="I356" s="22">
        <f t="shared" si="11"/>
        <v>0.15277777777777801</v>
      </c>
    </row>
    <row r="357" spans="1:9" x14ac:dyDescent="0.3">
      <c r="A357" s="18" t="s">
        <v>781</v>
      </c>
      <c r="B357" s="19">
        <v>45045</v>
      </c>
      <c r="C357" s="20">
        <v>0.68125000000000002</v>
      </c>
      <c r="D357" s="20">
        <v>0.68472222222222201</v>
      </c>
      <c r="E357" s="20">
        <v>3.4722222222222099E-3</v>
      </c>
      <c r="F357" s="21" t="s">
        <v>792</v>
      </c>
      <c r="G357" t="str">
        <f>VLOOKUP(F357,'Tipo Parada Fab 2'!$A$1:$B$105,2,FALSE())</f>
        <v>NP</v>
      </c>
      <c r="H357">
        <f t="shared" si="10"/>
        <v>0</v>
      </c>
      <c r="I357" s="22">
        <f t="shared" si="11"/>
        <v>3.4722222222222099E-3</v>
      </c>
    </row>
    <row r="358" spans="1:9" x14ac:dyDescent="0.3">
      <c r="A358" s="18" t="s">
        <v>781</v>
      </c>
      <c r="B358" s="19">
        <v>45046</v>
      </c>
      <c r="C358" s="20">
        <v>0.68125000000000002</v>
      </c>
      <c r="D358" s="20">
        <v>0.68472222222222201</v>
      </c>
      <c r="E358" s="20">
        <v>3.4722222222222099E-3</v>
      </c>
      <c r="F358" s="21" t="s">
        <v>792</v>
      </c>
      <c r="G358" t="str">
        <f>VLOOKUP(F358,'Tipo Parada Fab 2'!$A$1:$B$105,2,FALSE())</f>
        <v>NP</v>
      </c>
      <c r="H358">
        <f t="shared" si="10"/>
        <v>0</v>
      </c>
      <c r="I358" s="22">
        <f t="shared" si="11"/>
        <v>3.4722222222222099E-3</v>
      </c>
    </row>
    <row r="359" spans="1:9" x14ac:dyDescent="0.3">
      <c r="E359" s="22">
        <f>SUM(E2:E358)</f>
        <v>18.048611111111111</v>
      </c>
      <c r="H359" s="22">
        <f>SUM(H2:H358)</f>
        <v>10.261805555555563</v>
      </c>
      <c r="I359" s="22">
        <f>SUM(I2:I358)</f>
        <v>7.7868055555555564</v>
      </c>
    </row>
    <row r="361" spans="1:9" x14ac:dyDescent="0.3">
      <c r="E361" s="23"/>
      <c r="H361" s="23"/>
      <c r="I361" s="2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7"/>
  <sheetViews>
    <sheetView zoomScaleNormal="100" workbookViewId="0">
      <selection activeCell="B3" sqref="B3"/>
    </sheetView>
  </sheetViews>
  <sheetFormatPr defaultColWidth="8.44140625" defaultRowHeight="15.05" x14ac:dyDescent="0.3"/>
  <cols>
    <col min="1" max="1" width="46" customWidth="1"/>
  </cols>
  <sheetData>
    <row r="1" spans="1:2" x14ac:dyDescent="0.3">
      <c r="A1" t="s">
        <v>793</v>
      </c>
      <c r="B1" t="s">
        <v>28</v>
      </c>
    </row>
    <row r="2" spans="1:2" x14ac:dyDescent="0.3">
      <c r="A2" s="21" t="s">
        <v>32</v>
      </c>
      <c r="B2" t="s">
        <v>794</v>
      </c>
    </row>
    <row r="3" spans="1:2" x14ac:dyDescent="0.3">
      <c r="A3" s="21" t="s">
        <v>33</v>
      </c>
      <c r="B3" t="s">
        <v>794</v>
      </c>
    </row>
    <row r="4" spans="1:2" x14ac:dyDescent="0.3">
      <c r="A4" s="21" t="s">
        <v>34</v>
      </c>
      <c r="B4" t="s">
        <v>795</v>
      </c>
    </row>
    <row r="5" spans="1:2" x14ac:dyDescent="0.3">
      <c r="A5" s="21" t="s">
        <v>35</v>
      </c>
      <c r="B5" t="s">
        <v>795</v>
      </c>
    </row>
    <row r="6" spans="1:2" x14ac:dyDescent="0.3">
      <c r="A6" s="21" t="s">
        <v>36</v>
      </c>
      <c r="B6" t="s">
        <v>795</v>
      </c>
    </row>
    <row r="7" spans="1:2" x14ac:dyDescent="0.3">
      <c r="A7" s="21" t="s">
        <v>37</v>
      </c>
      <c r="B7" t="s">
        <v>795</v>
      </c>
    </row>
    <row r="8" spans="1:2" x14ac:dyDescent="0.3">
      <c r="A8" s="21" t="s">
        <v>38</v>
      </c>
      <c r="B8" t="s">
        <v>795</v>
      </c>
    </row>
    <row r="9" spans="1:2" x14ac:dyDescent="0.3">
      <c r="A9" s="21" t="s">
        <v>39</v>
      </c>
      <c r="B9" t="s">
        <v>795</v>
      </c>
    </row>
    <row r="10" spans="1:2" x14ac:dyDescent="0.3">
      <c r="A10" s="21" t="s">
        <v>40</v>
      </c>
      <c r="B10" t="s">
        <v>795</v>
      </c>
    </row>
    <row r="11" spans="1:2" x14ac:dyDescent="0.3">
      <c r="A11" s="21" t="s">
        <v>41</v>
      </c>
      <c r="B11" t="s">
        <v>795</v>
      </c>
    </row>
    <row r="12" spans="1:2" x14ac:dyDescent="0.3">
      <c r="A12" s="21" t="s">
        <v>42</v>
      </c>
      <c r="B12" t="s">
        <v>795</v>
      </c>
    </row>
    <row r="13" spans="1:2" x14ac:dyDescent="0.3">
      <c r="A13" s="21" t="s">
        <v>43</v>
      </c>
      <c r="B13" t="s">
        <v>795</v>
      </c>
    </row>
    <row r="14" spans="1:2" x14ac:dyDescent="0.3">
      <c r="A14" s="21" t="s">
        <v>44</v>
      </c>
      <c r="B14" t="s">
        <v>795</v>
      </c>
    </row>
    <row r="15" spans="1:2" x14ac:dyDescent="0.3">
      <c r="A15" s="21" t="s">
        <v>45</v>
      </c>
      <c r="B15" t="s">
        <v>795</v>
      </c>
    </row>
    <row r="16" spans="1:2" x14ac:dyDescent="0.3">
      <c r="A16" s="21" t="s">
        <v>47</v>
      </c>
      <c r="B16" t="s">
        <v>795</v>
      </c>
    </row>
    <row r="17" spans="1:2" x14ac:dyDescent="0.3">
      <c r="A17" s="21" t="s">
        <v>48</v>
      </c>
      <c r="B17" t="s">
        <v>795</v>
      </c>
    </row>
    <row r="18" spans="1:2" x14ac:dyDescent="0.3">
      <c r="A18" s="21" t="s">
        <v>49</v>
      </c>
      <c r="B18" t="s">
        <v>795</v>
      </c>
    </row>
    <row r="19" spans="1:2" x14ac:dyDescent="0.3">
      <c r="A19" s="21" t="s">
        <v>51</v>
      </c>
      <c r="B19" t="s">
        <v>795</v>
      </c>
    </row>
    <row r="20" spans="1:2" x14ac:dyDescent="0.3">
      <c r="A20" s="21" t="s">
        <v>52</v>
      </c>
      <c r="B20" t="s">
        <v>795</v>
      </c>
    </row>
    <row r="21" spans="1:2" x14ac:dyDescent="0.3">
      <c r="A21" s="21" t="s">
        <v>54</v>
      </c>
      <c r="B21" t="s">
        <v>795</v>
      </c>
    </row>
    <row r="22" spans="1:2" x14ac:dyDescent="0.3">
      <c r="A22" s="21" t="s">
        <v>55</v>
      </c>
      <c r="B22" t="s">
        <v>795</v>
      </c>
    </row>
    <row r="23" spans="1:2" x14ac:dyDescent="0.3">
      <c r="A23" s="21" t="s">
        <v>57</v>
      </c>
      <c r="B23" t="s">
        <v>795</v>
      </c>
    </row>
    <row r="24" spans="1:2" x14ac:dyDescent="0.3">
      <c r="A24" s="21" t="s">
        <v>58</v>
      </c>
      <c r="B24" t="s">
        <v>795</v>
      </c>
    </row>
    <row r="25" spans="1:2" x14ac:dyDescent="0.3">
      <c r="A25" s="21" t="s">
        <v>59</v>
      </c>
      <c r="B25" t="s">
        <v>795</v>
      </c>
    </row>
    <row r="26" spans="1:2" x14ac:dyDescent="0.3">
      <c r="A26" s="21" t="s">
        <v>60</v>
      </c>
      <c r="B26" t="s">
        <v>795</v>
      </c>
    </row>
    <row r="27" spans="1:2" x14ac:dyDescent="0.3">
      <c r="A27" s="21" t="s">
        <v>61</v>
      </c>
      <c r="B27" t="s">
        <v>795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"/>
  <sheetViews>
    <sheetView zoomScaleNormal="100" workbookViewId="0">
      <selection activeCell="M25" sqref="M25"/>
    </sheetView>
  </sheetViews>
  <sheetFormatPr defaultColWidth="8.44140625" defaultRowHeight="15.05" x14ac:dyDescent="0.3"/>
  <cols>
    <col min="1" max="1" width="31.6640625" customWidth="1"/>
  </cols>
  <sheetData>
    <row r="1" spans="1:3" x14ac:dyDescent="0.3">
      <c r="A1" t="s">
        <v>793</v>
      </c>
      <c r="B1" t="s">
        <v>28</v>
      </c>
    </row>
    <row r="2" spans="1:3" x14ac:dyDescent="0.3">
      <c r="A2" t="s">
        <v>66</v>
      </c>
      <c r="B2" t="s">
        <v>795</v>
      </c>
      <c r="C2" t="s">
        <v>794</v>
      </c>
    </row>
    <row r="3" spans="1:3" x14ac:dyDescent="0.3">
      <c r="A3" t="s">
        <v>69</v>
      </c>
      <c r="B3" t="s">
        <v>795</v>
      </c>
      <c r="C3" t="s">
        <v>794</v>
      </c>
    </row>
    <row r="4" spans="1:3" x14ac:dyDescent="0.3">
      <c r="A4" t="s">
        <v>71</v>
      </c>
      <c r="B4" t="s">
        <v>795</v>
      </c>
      <c r="C4" t="s">
        <v>794</v>
      </c>
    </row>
    <row r="5" spans="1:3" x14ac:dyDescent="0.3">
      <c r="A5" t="s">
        <v>74</v>
      </c>
      <c r="B5" t="s">
        <v>795</v>
      </c>
      <c r="C5" t="s">
        <v>794</v>
      </c>
    </row>
    <row r="6" spans="1:3" x14ac:dyDescent="0.3">
      <c r="A6" t="s">
        <v>89</v>
      </c>
      <c r="B6" t="s">
        <v>795</v>
      </c>
      <c r="C6" t="s">
        <v>794</v>
      </c>
    </row>
    <row r="7" spans="1:3" x14ac:dyDescent="0.3">
      <c r="A7" t="s">
        <v>105</v>
      </c>
      <c r="B7" t="s">
        <v>795</v>
      </c>
      <c r="C7" t="s">
        <v>794</v>
      </c>
    </row>
    <row r="8" spans="1:3" x14ac:dyDescent="0.3">
      <c r="A8" t="s">
        <v>138</v>
      </c>
      <c r="B8" t="s">
        <v>795</v>
      </c>
    </row>
    <row r="9" spans="1:3" x14ac:dyDescent="0.3">
      <c r="A9" t="s">
        <v>150</v>
      </c>
      <c r="B9" t="s">
        <v>795</v>
      </c>
    </row>
    <row r="10" spans="1:3" x14ac:dyDescent="0.3">
      <c r="A10" t="s">
        <v>169</v>
      </c>
      <c r="B10" t="s">
        <v>795</v>
      </c>
    </row>
    <row r="11" spans="1:3" x14ac:dyDescent="0.3">
      <c r="A11" t="s">
        <v>248</v>
      </c>
      <c r="B11" t="s">
        <v>795</v>
      </c>
    </row>
    <row r="12" spans="1:3" x14ac:dyDescent="0.3">
      <c r="A12" t="s">
        <v>253</v>
      </c>
      <c r="B12" t="s">
        <v>794</v>
      </c>
    </row>
    <row r="13" spans="1:3" x14ac:dyDescent="0.3">
      <c r="A13" t="s">
        <v>323</v>
      </c>
      <c r="B13" t="s">
        <v>795</v>
      </c>
    </row>
    <row r="14" spans="1:3" x14ac:dyDescent="0.3">
      <c r="A14" t="s">
        <v>417</v>
      </c>
      <c r="B14" t="s">
        <v>795</v>
      </c>
    </row>
    <row r="15" spans="1:3" x14ac:dyDescent="0.3">
      <c r="A15" t="s">
        <v>426</v>
      </c>
      <c r="B15" t="s">
        <v>795</v>
      </c>
    </row>
    <row r="16" spans="1:3" x14ac:dyDescent="0.3">
      <c r="A16" t="s">
        <v>450</v>
      </c>
      <c r="B16" t="s">
        <v>795</v>
      </c>
    </row>
    <row r="17" spans="1:2" x14ac:dyDescent="0.3">
      <c r="A17" t="s">
        <v>523</v>
      </c>
      <c r="B17" t="s">
        <v>795</v>
      </c>
    </row>
    <row r="18" spans="1:2" x14ac:dyDescent="0.3">
      <c r="A18" t="s">
        <v>571</v>
      </c>
      <c r="B18" t="s">
        <v>795</v>
      </c>
    </row>
    <row r="19" spans="1:2" x14ac:dyDescent="0.3">
      <c r="A19" t="s">
        <v>627</v>
      </c>
      <c r="B19" t="s">
        <v>795</v>
      </c>
    </row>
    <row r="20" spans="1:2" x14ac:dyDescent="0.3">
      <c r="A20" t="s">
        <v>661</v>
      </c>
      <c r="B20" t="s">
        <v>795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5"/>
  <sheetViews>
    <sheetView zoomScaleNormal="100" workbookViewId="0">
      <selection activeCell="B5" sqref="B5"/>
    </sheetView>
  </sheetViews>
  <sheetFormatPr defaultColWidth="8.44140625" defaultRowHeight="15.05" x14ac:dyDescent="0.3"/>
  <cols>
    <col min="1" max="1" width="89" customWidth="1"/>
  </cols>
  <sheetData>
    <row r="1" spans="1:2" x14ac:dyDescent="0.3">
      <c r="A1" t="s">
        <v>793</v>
      </c>
      <c r="B1" t="s">
        <v>28</v>
      </c>
    </row>
    <row r="2" spans="1:2" x14ac:dyDescent="0.3">
      <c r="A2" s="21" t="s">
        <v>684</v>
      </c>
      <c r="B2" t="s">
        <v>795</v>
      </c>
    </row>
    <row r="3" spans="1:2" x14ac:dyDescent="0.3">
      <c r="A3" s="21" t="s">
        <v>685</v>
      </c>
      <c r="B3" t="s">
        <v>794</v>
      </c>
    </row>
    <row r="4" spans="1:2" x14ac:dyDescent="0.3">
      <c r="A4" s="21" t="s">
        <v>686</v>
      </c>
      <c r="B4" t="s">
        <v>795</v>
      </c>
    </row>
    <row r="5" spans="1:2" x14ac:dyDescent="0.3">
      <c r="A5" s="21" t="s">
        <v>687</v>
      </c>
      <c r="B5" t="s">
        <v>795</v>
      </c>
    </row>
    <row r="6" spans="1:2" x14ac:dyDescent="0.3">
      <c r="A6" s="21" t="s">
        <v>688</v>
      </c>
      <c r="B6" t="s">
        <v>795</v>
      </c>
    </row>
    <row r="7" spans="1:2" x14ac:dyDescent="0.3">
      <c r="A7" s="21" t="s">
        <v>689</v>
      </c>
      <c r="B7" t="s">
        <v>795</v>
      </c>
    </row>
    <row r="8" spans="1:2" x14ac:dyDescent="0.3">
      <c r="A8" s="21" t="s">
        <v>690</v>
      </c>
      <c r="B8" t="s">
        <v>795</v>
      </c>
    </row>
    <row r="9" spans="1:2" x14ac:dyDescent="0.3">
      <c r="A9" s="21" t="s">
        <v>691</v>
      </c>
      <c r="B9" t="s">
        <v>795</v>
      </c>
    </row>
    <row r="10" spans="1:2" x14ac:dyDescent="0.3">
      <c r="A10" s="21" t="s">
        <v>692</v>
      </c>
      <c r="B10" t="s">
        <v>795</v>
      </c>
    </row>
    <row r="11" spans="1:2" x14ac:dyDescent="0.3">
      <c r="A11" s="21" t="s">
        <v>693</v>
      </c>
      <c r="B11" t="s">
        <v>795</v>
      </c>
    </row>
    <row r="12" spans="1:2" x14ac:dyDescent="0.3">
      <c r="A12" s="21" t="s">
        <v>694</v>
      </c>
      <c r="B12" t="s">
        <v>795</v>
      </c>
    </row>
    <row r="13" spans="1:2" x14ac:dyDescent="0.3">
      <c r="A13" s="21" t="s">
        <v>695</v>
      </c>
      <c r="B13" t="s">
        <v>795</v>
      </c>
    </row>
    <row r="14" spans="1:2" x14ac:dyDescent="0.3">
      <c r="A14" s="21" t="s">
        <v>696</v>
      </c>
      <c r="B14" t="s">
        <v>795</v>
      </c>
    </row>
    <row r="15" spans="1:2" x14ac:dyDescent="0.3">
      <c r="A15" s="21" t="s">
        <v>697</v>
      </c>
      <c r="B15" t="s">
        <v>795</v>
      </c>
    </row>
    <row r="16" spans="1:2" x14ac:dyDescent="0.3">
      <c r="A16" s="21" t="s">
        <v>698</v>
      </c>
      <c r="B16" t="s">
        <v>795</v>
      </c>
    </row>
    <row r="17" spans="1:2" x14ac:dyDescent="0.3">
      <c r="A17" s="21" t="s">
        <v>699</v>
      </c>
      <c r="B17" t="s">
        <v>795</v>
      </c>
    </row>
    <row r="18" spans="1:2" x14ac:dyDescent="0.3">
      <c r="A18" s="21" t="s">
        <v>701</v>
      </c>
      <c r="B18" t="s">
        <v>795</v>
      </c>
    </row>
    <row r="19" spans="1:2" x14ac:dyDescent="0.3">
      <c r="A19" s="21" t="s">
        <v>702</v>
      </c>
      <c r="B19" t="s">
        <v>795</v>
      </c>
    </row>
    <row r="20" spans="1:2" x14ac:dyDescent="0.3">
      <c r="A20" s="21" t="s">
        <v>703</v>
      </c>
      <c r="B20" t="s">
        <v>795</v>
      </c>
    </row>
    <row r="21" spans="1:2" x14ac:dyDescent="0.3">
      <c r="A21" s="21" t="s">
        <v>704</v>
      </c>
      <c r="B21" t="s">
        <v>795</v>
      </c>
    </row>
    <row r="22" spans="1:2" x14ac:dyDescent="0.3">
      <c r="A22" s="21" t="s">
        <v>705</v>
      </c>
      <c r="B22" t="s">
        <v>795</v>
      </c>
    </row>
    <row r="23" spans="1:2" x14ac:dyDescent="0.3">
      <c r="A23" s="21" t="s">
        <v>706</v>
      </c>
      <c r="B23" t="s">
        <v>795</v>
      </c>
    </row>
    <row r="24" spans="1:2" x14ac:dyDescent="0.3">
      <c r="A24" s="21" t="s">
        <v>707</v>
      </c>
      <c r="B24" t="s">
        <v>795</v>
      </c>
    </row>
    <row r="25" spans="1:2" x14ac:dyDescent="0.3">
      <c r="A25" s="21" t="s">
        <v>708</v>
      </c>
      <c r="B25" t="s">
        <v>795</v>
      </c>
    </row>
    <row r="26" spans="1:2" x14ac:dyDescent="0.3">
      <c r="A26" s="21" t="s">
        <v>709</v>
      </c>
      <c r="B26" t="s">
        <v>795</v>
      </c>
    </row>
    <row r="27" spans="1:2" x14ac:dyDescent="0.3">
      <c r="A27" s="21" t="s">
        <v>710</v>
      </c>
      <c r="B27" t="s">
        <v>795</v>
      </c>
    </row>
    <row r="28" spans="1:2" x14ac:dyDescent="0.3">
      <c r="A28" s="21" t="s">
        <v>711</v>
      </c>
      <c r="B28" t="s">
        <v>795</v>
      </c>
    </row>
    <row r="29" spans="1:2" x14ac:dyDescent="0.3">
      <c r="A29" s="21" t="s">
        <v>712</v>
      </c>
      <c r="B29" t="s">
        <v>795</v>
      </c>
    </row>
    <row r="30" spans="1:2" x14ac:dyDescent="0.3">
      <c r="A30" s="21" t="s">
        <v>713</v>
      </c>
      <c r="B30" t="s">
        <v>795</v>
      </c>
    </row>
    <row r="31" spans="1:2" x14ac:dyDescent="0.3">
      <c r="A31" s="21" t="s">
        <v>714</v>
      </c>
      <c r="B31" t="s">
        <v>795</v>
      </c>
    </row>
    <row r="32" spans="1:2" x14ac:dyDescent="0.3">
      <c r="A32" s="21" t="s">
        <v>715</v>
      </c>
      <c r="B32" t="s">
        <v>795</v>
      </c>
    </row>
    <row r="33" spans="1:2" x14ac:dyDescent="0.3">
      <c r="A33" s="21" t="s">
        <v>716</v>
      </c>
      <c r="B33" t="s">
        <v>795</v>
      </c>
    </row>
    <row r="34" spans="1:2" x14ac:dyDescent="0.3">
      <c r="A34" s="21" t="s">
        <v>717</v>
      </c>
      <c r="B34" t="s">
        <v>795</v>
      </c>
    </row>
    <row r="35" spans="1:2" x14ac:dyDescent="0.3">
      <c r="A35" s="21" t="s">
        <v>718</v>
      </c>
      <c r="B35" t="s">
        <v>795</v>
      </c>
    </row>
    <row r="36" spans="1:2" x14ac:dyDescent="0.3">
      <c r="A36" s="21" t="s">
        <v>719</v>
      </c>
      <c r="B36" t="s">
        <v>795</v>
      </c>
    </row>
    <row r="37" spans="1:2" x14ac:dyDescent="0.3">
      <c r="A37" s="21" t="s">
        <v>720</v>
      </c>
      <c r="B37" t="s">
        <v>795</v>
      </c>
    </row>
    <row r="38" spans="1:2" x14ac:dyDescent="0.3">
      <c r="A38" s="21" t="s">
        <v>721</v>
      </c>
      <c r="B38" t="s">
        <v>795</v>
      </c>
    </row>
    <row r="39" spans="1:2" x14ac:dyDescent="0.3">
      <c r="A39" s="21" t="s">
        <v>722</v>
      </c>
      <c r="B39" t="s">
        <v>795</v>
      </c>
    </row>
    <row r="40" spans="1:2" x14ac:dyDescent="0.3">
      <c r="A40" s="21" t="s">
        <v>723</v>
      </c>
      <c r="B40" t="s">
        <v>795</v>
      </c>
    </row>
    <row r="41" spans="1:2" x14ac:dyDescent="0.3">
      <c r="A41" s="21" t="s">
        <v>724</v>
      </c>
      <c r="B41" t="s">
        <v>795</v>
      </c>
    </row>
    <row r="42" spans="1:2" x14ac:dyDescent="0.3">
      <c r="A42" s="21" t="s">
        <v>726</v>
      </c>
      <c r="B42" t="s">
        <v>795</v>
      </c>
    </row>
    <row r="43" spans="1:2" x14ac:dyDescent="0.3">
      <c r="A43" s="21" t="s">
        <v>727</v>
      </c>
      <c r="B43" t="s">
        <v>795</v>
      </c>
    </row>
    <row r="44" spans="1:2" x14ac:dyDescent="0.3">
      <c r="A44" s="21" t="s">
        <v>728</v>
      </c>
      <c r="B44" t="s">
        <v>795</v>
      </c>
    </row>
    <row r="45" spans="1:2" x14ac:dyDescent="0.3">
      <c r="A45" s="21" t="s">
        <v>729</v>
      </c>
      <c r="B45" t="s">
        <v>795</v>
      </c>
    </row>
    <row r="46" spans="1:2" x14ac:dyDescent="0.3">
      <c r="A46" s="21" t="s">
        <v>730</v>
      </c>
      <c r="B46" t="s">
        <v>795</v>
      </c>
    </row>
    <row r="47" spans="1:2" x14ac:dyDescent="0.3">
      <c r="A47" s="21" t="s">
        <v>731</v>
      </c>
      <c r="B47" t="s">
        <v>795</v>
      </c>
    </row>
    <row r="48" spans="1:2" x14ac:dyDescent="0.3">
      <c r="A48" s="21" t="s">
        <v>732</v>
      </c>
      <c r="B48" t="s">
        <v>795</v>
      </c>
    </row>
    <row r="49" spans="1:2" x14ac:dyDescent="0.3">
      <c r="A49" s="21" t="s">
        <v>733</v>
      </c>
      <c r="B49" t="s">
        <v>795</v>
      </c>
    </row>
    <row r="50" spans="1:2" x14ac:dyDescent="0.3">
      <c r="A50" s="21" t="s">
        <v>734</v>
      </c>
      <c r="B50" t="s">
        <v>795</v>
      </c>
    </row>
    <row r="51" spans="1:2" x14ac:dyDescent="0.3">
      <c r="A51" s="21" t="s">
        <v>735</v>
      </c>
      <c r="B51" t="s">
        <v>795</v>
      </c>
    </row>
    <row r="52" spans="1:2" x14ac:dyDescent="0.3">
      <c r="A52" s="21" t="s">
        <v>736</v>
      </c>
      <c r="B52" t="s">
        <v>795</v>
      </c>
    </row>
    <row r="53" spans="1:2" x14ac:dyDescent="0.3">
      <c r="A53" s="21" t="s">
        <v>737</v>
      </c>
      <c r="B53" t="s">
        <v>795</v>
      </c>
    </row>
    <row r="54" spans="1:2" x14ac:dyDescent="0.3">
      <c r="A54" s="21" t="s">
        <v>738</v>
      </c>
      <c r="B54" t="s">
        <v>795</v>
      </c>
    </row>
    <row r="55" spans="1:2" x14ac:dyDescent="0.3">
      <c r="A55" s="21" t="s">
        <v>739</v>
      </c>
      <c r="B55" t="s">
        <v>795</v>
      </c>
    </row>
    <row r="56" spans="1:2" x14ac:dyDescent="0.3">
      <c r="A56" s="21" t="s">
        <v>740</v>
      </c>
      <c r="B56" t="s">
        <v>795</v>
      </c>
    </row>
    <row r="57" spans="1:2" x14ac:dyDescent="0.3">
      <c r="A57" s="21" t="s">
        <v>741</v>
      </c>
      <c r="B57" t="s">
        <v>795</v>
      </c>
    </row>
    <row r="58" spans="1:2" x14ac:dyDescent="0.3">
      <c r="A58" s="21" t="s">
        <v>742</v>
      </c>
      <c r="B58" t="s">
        <v>795</v>
      </c>
    </row>
    <row r="59" spans="1:2" x14ac:dyDescent="0.3">
      <c r="A59" s="21" t="s">
        <v>743</v>
      </c>
      <c r="B59" t="s">
        <v>795</v>
      </c>
    </row>
    <row r="60" spans="1:2" x14ac:dyDescent="0.3">
      <c r="A60" s="21" t="s">
        <v>745</v>
      </c>
      <c r="B60" t="s">
        <v>795</v>
      </c>
    </row>
    <row r="61" spans="1:2" x14ac:dyDescent="0.3">
      <c r="A61" s="21" t="s">
        <v>746</v>
      </c>
      <c r="B61" t="s">
        <v>795</v>
      </c>
    </row>
    <row r="62" spans="1:2" x14ac:dyDescent="0.3">
      <c r="A62" s="21" t="s">
        <v>747</v>
      </c>
      <c r="B62" t="s">
        <v>795</v>
      </c>
    </row>
    <row r="63" spans="1:2" x14ac:dyDescent="0.3">
      <c r="A63" s="21" t="s">
        <v>748</v>
      </c>
      <c r="B63" t="s">
        <v>795</v>
      </c>
    </row>
    <row r="64" spans="1:2" x14ac:dyDescent="0.3">
      <c r="A64" s="21" t="s">
        <v>749</v>
      </c>
      <c r="B64" t="s">
        <v>795</v>
      </c>
    </row>
    <row r="65" spans="1:2" x14ac:dyDescent="0.3">
      <c r="A65" s="21" t="s">
        <v>750</v>
      </c>
      <c r="B65" t="s">
        <v>795</v>
      </c>
    </row>
    <row r="66" spans="1:2" x14ac:dyDescent="0.3">
      <c r="A66" s="21" t="s">
        <v>751</v>
      </c>
      <c r="B66" t="s">
        <v>795</v>
      </c>
    </row>
    <row r="67" spans="1:2" x14ac:dyDescent="0.3">
      <c r="A67" s="21" t="s">
        <v>752</v>
      </c>
      <c r="B67" t="s">
        <v>795</v>
      </c>
    </row>
    <row r="68" spans="1:2" x14ac:dyDescent="0.3">
      <c r="A68" s="21" t="s">
        <v>753</v>
      </c>
      <c r="B68" t="s">
        <v>795</v>
      </c>
    </row>
    <row r="69" spans="1:2" x14ac:dyDescent="0.3">
      <c r="A69" s="21" t="s">
        <v>754</v>
      </c>
      <c r="B69" t="s">
        <v>795</v>
      </c>
    </row>
    <row r="70" spans="1:2" x14ac:dyDescent="0.3">
      <c r="A70" s="21" t="s">
        <v>755</v>
      </c>
      <c r="B70" t="s">
        <v>795</v>
      </c>
    </row>
    <row r="71" spans="1:2" x14ac:dyDescent="0.3">
      <c r="A71" s="21" t="s">
        <v>756</v>
      </c>
      <c r="B71" t="s">
        <v>795</v>
      </c>
    </row>
    <row r="72" spans="1:2" x14ac:dyDescent="0.3">
      <c r="A72" s="21" t="s">
        <v>757</v>
      </c>
      <c r="B72" t="s">
        <v>795</v>
      </c>
    </row>
    <row r="73" spans="1:2" x14ac:dyDescent="0.3">
      <c r="A73" s="21" t="s">
        <v>758</v>
      </c>
      <c r="B73" t="s">
        <v>795</v>
      </c>
    </row>
    <row r="74" spans="1:2" x14ac:dyDescent="0.3">
      <c r="A74" s="21" t="s">
        <v>759</v>
      </c>
      <c r="B74" t="s">
        <v>795</v>
      </c>
    </row>
    <row r="75" spans="1:2" x14ac:dyDescent="0.3">
      <c r="A75" s="21" t="s">
        <v>760</v>
      </c>
      <c r="B75" t="s">
        <v>795</v>
      </c>
    </row>
    <row r="76" spans="1:2" x14ac:dyDescent="0.3">
      <c r="A76" s="21" t="s">
        <v>761</v>
      </c>
      <c r="B76" t="s">
        <v>795</v>
      </c>
    </row>
    <row r="77" spans="1:2" x14ac:dyDescent="0.3">
      <c r="A77" s="21" t="s">
        <v>762</v>
      </c>
      <c r="B77" t="s">
        <v>795</v>
      </c>
    </row>
    <row r="78" spans="1:2" x14ac:dyDescent="0.3">
      <c r="A78" s="21" t="s">
        <v>763</v>
      </c>
      <c r="B78" t="s">
        <v>795</v>
      </c>
    </row>
    <row r="79" spans="1:2" x14ac:dyDescent="0.3">
      <c r="A79" s="21" t="s">
        <v>764</v>
      </c>
      <c r="B79" t="s">
        <v>795</v>
      </c>
    </row>
    <row r="80" spans="1:2" x14ac:dyDescent="0.3">
      <c r="A80" s="21" t="s">
        <v>765</v>
      </c>
      <c r="B80" t="s">
        <v>795</v>
      </c>
    </row>
    <row r="81" spans="1:2" x14ac:dyDescent="0.3">
      <c r="A81" s="21" t="s">
        <v>766</v>
      </c>
      <c r="B81" t="s">
        <v>795</v>
      </c>
    </row>
    <row r="82" spans="1:2" x14ac:dyDescent="0.3">
      <c r="A82" s="21" t="s">
        <v>767</v>
      </c>
      <c r="B82" t="s">
        <v>795</v>
      </c>
    </row>
    <row r="83" spans="1:2" x14ac:dyDescent="0.3">
      <c r="A83" s="21" t="s">
        <v>768</v>
      </c>
      <c r="B83" t="s">
        <v>795</v>
      </c>
    </row>
    <row r="84" spans="1:2" x14ac:dyDescent="0.3">
      <c r="A84" s="21" t="s">
        <v>769</v>
      </c>
      <c r="B84" t="s">
        <v>795</v>
      </c>
    </row>
    <row r="85" spans="1:2" x14ac:dyDescent="0.3">
      <c r="A85" s="21" t="s">
        <v>770</v>
      </c>
      <c r="B85" t="s">
        <v>795</v>
      </c>
    </row>
    <row r="86" spans="1:2" x14ac:dyDescent="0.3">
      <c r="A86" s="21" t="s">
        <v>772</v>
      </c>
      <c r="B86" t="s">
        <v>795</v>
      </c>
    </row>
    <row r="87" spans="1:2" x14ac:dyDescent="0.3">
      <c r="A87" s="21" t="s">
        <v>773</v>
      </c>
      <c r="B87" t="s">
        <v>795</v>
      </c>
    </row>
    <row r="88" spans="1:2" x14ac:dyDescent="0.3">
      <c r="A88" s="21" t="s">
        <v>774</v>
      </c>
      <c r="B88" t="s">
        <v>795</v>
      </c>
    </row>
    <row r="89" spans="1:2" x14ac:dyDescent="0.3">
      <c r="A89" s="21" t="s">
        <v>775</v>
      </c>
      <c r="B89" t="s">
        <v>795</v>
      </c>
    </row>
    <row r="90" spans="1:2" x14ac:dyDescent="0.3">
      <c r="A90" s="21" t="s">
        <v>776</v>
      </c>
      <c r="B90" t="s">
        <v>795</v>
      </c>
    </row>
    <row r="91" spans="1:2" x14ac:dyDescent="0.3">
      <c r="A91" s="21" t="s">
        <v>777</v>
      </c>
      <c r="B91" t="s">
        <v>795</v>
      </c>
    </row>
    <row r="92" spans="1:2" x14ac:dyDescent="0.3">
      <c r="A92" s="21" t="s">
        <v>778</v>
      </c>
      <c r="B92" t="s">
        <v>795</v>
      </c>
    </row>
    <row r="93" spans="1:2" x14ac:dyDescent="0.3">
      <c r="A93" s="21" t="s">
        <v>779</v>
      </c>
      <c r="B93" t="s">
        <v>795</v>
      </c>
    </row>
    <row r="94" spans="1:2" x14ac:dyDescent="0.3">
      <c r="A94" s="21" t="s">
        <v>780</v>
      </c>
      <c r="B94" t="s">
        <v>795</v>
      </c>
    </row>
    <row r="95" spans="1:2" x14ac:dyDescent="0.3">
      <c r="A95" s="21" t="s">
        <v>782</v>
      </c>
      <c r="B95" t="s">
        <v>795</v>
      </c>
    </row>
    <row r="96" spans="1:2" x14ac:dyDescent="0.3">
      <c r="A96" s="21" t="s">
        <v>783</v>
      </c>
      <c r="B96" t="s">
        <v>795</v>
      </c>
    </row>
    <row r="97" spans="1:2" x14ac:dyDescent="0.3">
      <c r="A97" s="21" t="s">
        <v>784</v>
      </c>
      <c r="B97" t="s">
        <v>795</v>
      </c>
    </row>
    <row r="98" spans="1:2" x14ac:dyDescent="0.3">
      <c r="A98" s="21" t="s">
        <v>785</v>
      </c>
      <c r="B98" t="s">
        <v>795</v>
      </c>
    </row>
    <row r="99" spans="1:2" x14ac:dyDescent="0.3">
      <c r="A99" s="21" t="s">
        <v>786</v>
      </c>
      <c r="B99" t="s">
        <v>795</v>
      </c>
    </row>
    <row r="100" spans="1:2" x14ac:dyDescent="0.3">
      <c r="A100" s="21" t="s">
        <v>787</v>
      </c>
      <c r="B100" t="s">
        <v>795</v>
      </c>
    </row>
    <row r="101" spans="1:2" x14ac:dyDescent="0.3">
      <c r="A101" s="21" t="s">
        <v>788</v>
      </c>
      <c r="B101" t="s">
        <v>795</v>
      </c>
    </row>
    <row r="102" spans="1:2" x14ac:dyDescent="0.3">
      <c r="A102" s="21" t="s">
        <v>789</v>
      </c>
      <c r="B102" t="s">
        <v>795</v>
      </c>
    </row>
    <row r="103" spans="1:2" x14ac:dyDescent="0.3">
      <c r="A103" s="21" t="s">
        <v>790</v>
      </c>
      <c r="B103" t="s">
        <v>795</v>
      </c>
    </row>
    <row r="104" spans="1:2" x14ac:dyDescent="0.3">
      <c r="A104" s="21" t="s">
        <v>791</v>
      </c>
      <c r="B104" t="s">
        <v>795</v>
      </c>
    </row>
    <row r="105" spans="1:2" x14ac:dyDescent="0.3">
      <c r="A105" s="21" t="s">
        <v>792</v>
      </c>
      <c r="B105" t="s">
        <v>795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48235"/>
  </sheetPr>
  <dimension ref="A1:H1308"/>
  <sheetViews>
    <sheetView showGridLines="0" zoomScaleNormal="100" workbookViewId="0">
      <pane xSplit="6" ySplit="1" topLeftCell="G17" activePane="bottomRight" state="frozen"/>
      <selection pane="topRight" activeCell="G1" sqref="G1"/>
      <selection pane="bottomLeft" activeCell="A17" sqref="A17"/>
      <selection pane="bottomRight" activeCell="B2" sqref="B2"/>
    </sheetView>
  </sheetViews>
  <sheetFormatPr defaultColWidth="8.44140625" defaultRowHeight="15.05" x14ac:dyDescent="0.3"/>
  <cols>
    <col min="1" max="1" width="10.6640625" style="18" customWidth="1"/>
    <col min="2" max="2" width="12.5546875" style="19" customWidth="1"/>
    <col min="3" max="3" width="12.5546875" style="20" customWidth="1"/>
    <col min="4" max="4" width="11.5546875" style="20" customWidth="1"/>
    <col min="5" max="5" width="11.109375" style="20" customWidth="1"/>
    <col min="6" max="6" width="49.5546875" style="21" customWidth="1"/>
    <col min="7" max="7" width="11.33203125" customWidth="1"/>
    <col min="8" max="8" width="11.6640625" customWidth="1"/>
    <col min="9" max="10" width="12.109375" customWidth="1"/>
    <col min="11" max="11" width="11.88671875" customWidth="1"/>
  </cols>
  <sheetData>
    <row r="1" spans="1:7" ht="22.55" customHeight="1" x14ac:dyDescent="0.3">
      <c r="A1" s="14" t="s">
        <v>22</v>
      </c>
      <c r="B1" s="15" t="s">
        <v>23</v>
      </c>
      <c r="C1" s="16" t="s">
        <v>24</v>
      </c>
      <c r="D1" s="16" t="s">
        <v>25</v>
      </c>
      <c r="E1" s="16" t="s">
        <v>26</v>
      </c>
      <c r="F1" s="14" t="s">
        <v>27</v>
      </c>
      <c r="G1" s="14" t="s">
        <v>796</v>
      </c>
    </row>
    <row r="2" spans="1:7" x14ac:dyDescent="0.3">
      <c r="A2" s="18" t="s">
        <v>31</v>
      </c>
      <c r="B2" s="19">
        <v>45019</v>
      </c>
      <c r="C2" s="20">
        <v>0.74861111111111101</v>
      </c>
      <c r="D2" s="20">
        <v>0.8125</v>
      </c>
      <c r="E2" s="20">
        <v>6.3888888888888995E-2</v>
      </c>
      <c r="F2" s="21" t="s">
        <v>32</v>
      </c>
      <c r="G2" t="s">
        <v>797</v>
      </c>
    </row>
    <row r="3" spans="1:7" x14ac:dyDescent="0.3">
      <c r="A3" s="18" t="s">
        <v>31</v>
      </c>
      <c r="B3" s="19">
        <v>45019</v>
      </c>
      <c r="C3" s="20">
        <v>0.8125</v>
      </c>
      <c r="D3" s="20">
        <v>0.875694444444444</v>
      </c>
      <c r="E3" s="20">
        <v>6.31944444444444E-2</v>
      </c>
      <c r="F3" s="21" t="s">
        <v>32</v>
      </c>
      <c r="G3" t="s">
        <v>797</v>
      </c>
    </row>
    <row r="4" spans="1:7" x14ac:dyDescent="0.3">
      <c r="A4" s="18" t="s">
        <v>31</v>
      </c>
      <c r="B4" s="19">
        <v>45020</v>
      </c>
      <c r="C4" s="20">
        <v>0.74861111111111101</v>
      </c>
      <c r="D4" s="20">
        <v>0.8125</v>
      </c>
      <c r="E4" s="20">
        <v>6.3888888888888995E-2</v>
      </c>
      <c r="F4" s="21" t="s">
        <v>32</v>
      </c>
      <c r="G4" t="s">
        <v>798</v>
      </c>
    </row>
    <row r="5" spans="1:7" x14ac:dyDescent="0.3">
      <c r="A5" s="18" t="s">
        <v>31</v>
      </c>
      <c r="B5" s="19">
        <v>45020</v>
      </c>
      <c r="C5" s="20">
        <v>0.8125</v>
      </c>
      <c r="D5" s="20">
        <v>0.875</v>
      </c>
      <c r="E5" s="20">
        <v>6.25E-2</v>
      </c>
      <c r="F5" s="21" t="s">
        <v>32</v>
      </c>
      <c r="G5" t="s">
        <v>798</v>
      </c>
    </row>
    <row r="6" spans="1:7" x14ac:dyDescent="0.3">
      <c r="A6" s="18" t="s">
        <v>31</v>
      </c>
      <c r="B6" s="19">
        <v>45020</v>
      </c>
      <c r="C6" s="20">
        <v>0.875</v>
      </c>
      <c r="D6" s="20">
        <v>0.99305555555555503</v>
      </c>
      <c r="E6" s="20">
        <v>0.118055555555555</v>
      </c>
      <c r="F6" s="21" t="s">
        <v>33</v>
      </c>
      <c r="G6" t="s">
        <v>798</v>
      </c>
    </row>
    <row r="7" spans="1:7" x14ac:dyDescent="0.3">
      <c r="A7" s="18" t="s">
        <v>31</v>
      </c>
      <c r="B7" s="19">
        <v>45020</v>
      </c>
      <c r="C7" s="20">
        <v>0.99305555555555503</v>
      </c>
      <c r="D7" s="20">
        <v>3.4722222222222199E-3</v>
      </c>
      <c r="E7" s="20">
        <v>1.04166666666669E-2</v>
      </c>
      <c r="F7" s="21" t="s">
        <v>34</v>
      </c>
      <c r="G7" t="s">
        <v>798</v>
      </c>
    </row>
    <row r="8" spans="1:7" x14ac:dyDescent="0.3">
      <c r="A8" s="18" t="s">
        <v>31</v>
      </c>
      <c r="B8" s="19">
        <v>45021</v>
      </c>
      <c r="C8" s="20">
        <v>0.74861111111111101</v>
      </c>
      <c r="D8" s="20">
        <v>0.8125</v>
      </c>
      <c r="E8" s="20">
        <v>6.3888888888888995E-2</v>
      </c>
      <c r="F8" s="21" t="s">
        <v>32</v>
      </c>
      <c r="G8" t="s">
        <v>799</v>
      </c>
    </row>
    <row r="9" spans="1:7" x14ac:dyDescent="0.3">
      <c r="A9" s="18" t="s">
        <v>31</v>
      </c>
      <c r="B9" s="19">
        <v>45021</v>
      </c>
      <c r="C9" s="20">
        <v>0.8125</v>
      </c>
      <c r="D9" s="20">
        <v>0.875694444444444</v>
      </c>
      <c r="E9" s="20">
        <v>6.31944444444444E-2</v>
      </c>
      <c r="F9" s="21" t="s">
        <v>32</v>
      </c>
      <c r="G9" t="s">
        <v>799</v>
      </c>
    </row>
    <row r="10" spans="1:7" x14ac:dyDescent="0.3">
      <c r="A10" s="18" t="s">
        <v>31</v>
      </c>
      <c r="B10" s="19">
        <v>45022</v>
      </c>
      <c r="C10" s="20">
        <v>0.74861111111111101</v>
      </c>
      <c r="D10" s="20">
        <v>0.8125</v>
      </c>
      <c r="E10" s="20">
        <v>6.3888888888888995E-2</v>
      </c>
      <c r="F10" s="21" t="s">
        <v>32</v>
      </c>
      <c r="G10" t="s">
        <v>800</v>
      </c>
    </row>
    <row r="11" spans="1:7" x14ac:dyDescent="0.3">
      <c r="A11" s="18" t="s">
        <v>31</v>
      </c>
      <c r="B11" s="19">
        <v>45022</v>
      </c>
      <c r="C11" s="20">
        <v>0.8125</v>
      </c>
      <c r="D11" s="20">
        <v>0.875694444444444</v>
      </c>
      <c r="E11" s="20">
        <v>6.31944444444444E-2</v>
      </c>
      <c r="F11" s="21" t="s">
        <v>32</v>
      </c>
      <c r="G11" t="s">
        <v>800</v>
      </c>
    </row>
    <row r="12" spans="1:7" x14ac:dyDescent="0.3">
      <c r="A12" s="18" t="s">
        <v>31</v>
      </c>
      <c r="B12" s="19">
        <v>45022</v>
      </c>
      <c r="C12" s="20">
        <v>0.89166666666666705</v>
      </c>
      <c r="D12" s="20">
        <v>0.89305555555555605</v>
      </c>
      <c r="E12" s="20">
        <v>1.388888888889E-3</v>
      </c>
      <c r="F12" s="21" t="s">
        <v>35</v>
      </c>
      <c r="G12" t="s">
        <v>800</v>
      </c>
    </row>
    <row r="13" spans="1:7" x14ac:dyDescent="0.3">
      <c r="A13" s="18" t="s">
        <v>31</v>
      </c>
      <c r="B13" s="19">
        <v>45023</v>
      </c>
      <c r="C13" s="20">
        <v>0.64791666666666703</v>
      </c>
      <c r="D13" s="20">
        <v>0.67569444444444404</v>
      </c>
      <c r="E13" s="20">
        <v>2.77777777777777E-2</v>
      </c>
      <c r="F13" s="21" t="s">
        <v>36</v>
      </c>
      <c r="G13" t="s">
        <v>801</v>
      </c>
    </row>
    <row r="14" spans="1:7" x14ac:dyDescent="0.3">
      <c r="A14" s="18" t="s">
        <v>31</v>
      </c>
      <c r="B14" s="19">
        <v>45023</v>
      </c>
      <c r="C14" s="20">
        <v>0.77847222222222201</v>
      </c>
      <c r="D14" s="20">
        <v>0.8125</v>
      </c>
      <c r="E14" s="20">
        <v>3.4027777777777803E-2</v>
      </c>
      <c r="F14" s="21" t="s">
        <v>37</v>
      </c>
      <c r="G14" t="s">
        <v>801</v>
      </c>
    </row>
    <row r="15" spans="1:7" x14ac:dyDescent="0.3">
      <c r="A15" s="18" t="s">
        <v>31</v>
      </c>
      <c r="B15" s="19">
        <v>45023</v>
      </c>
      <c r="C15" s="20">
        <v>0.8125</v>
      </c>
      <c r="D15" s="20">
        <v>0.81736111111111098</v>
      </c>
      <c r="E15" s="20">
        <v>4.8611111111110904E-3</v>
      </c>
      <c r="F15" s="21" t="s">
        <v>37</v>
      </c>
      <c r="G15" t="s">
        <v>801</v>
      </c>
    </row>
    <row r="16" spans="1:7" x14ac:dyDescent="0.3">
      <c r="A16" s="18" t="s">
        <v>31</v>
      </c>
      <c r="B16" s="19">
        <v>45025</v>
      </c>
      <c r="C16" s="20">
        <v>0.90763888888888899</v>
      </c>
      <c r="D16" s="20">
        <v>0.97361111111111098</v>
      </c>
      <c r="E16" s="20">
        <v>6.5972222222222099E-2</v>
      </c>
      <c r="F16" s="21" t="s">
        <v>38</v>
      </c>
      <c r="G16" t="s">
        <v>802</v>
      </c>
    </row>
    <row r="17" spans="1:7" x14ac:dyDescent="0.3">
      <c r="A17" s="18" t="s">
        <v>31</v>
      </c>
      <c r="B17" s="19">
        <v>45026</v>
      </c>
      <c r="C17" s="20">
        <v>0.61041666666666705</v>
      </c>
      <c r="D17" s="20">
        <v>0.74861111111111101</v>
      </c>
      <c r="E17" s="20">
        <v>0.13819444444444401</v>
      </c>
      <c r="F17" s="21" t="s">
        <v>39</v>
      </c>
      <c r="G17" t="s">
        <v>797</v>
      </c>
    </row>
    <row r="18" spans="1:7" x14ac:dyDescent="0.3">
      <c r="A18" s="18" t="s">
        <v>31</v>
      </c>
      <c r="B18" s="19">
        <v>45026</v>
      </c>
      <c r="C18" s="20">
        <v>0.74861111111111101</v>
      </c>
      <c r="D18" s="20">
        <v>0.8125</v>
      </c>
      <c r="E18" s="20">
        <v>6.3888888888888995E-2</v>
      </c>
      <c r="F18" s="21" t="s">
        <v>32</v>
      </c>
      <c r="G18" t="s">
        <v>797</v>
      </c>
    </row>
    <row r="19" spans="1:7" x14ac:dyDescent="0.3">
      <c r="A19" s="18" t="s">
        <v>31</v>
      </c>
      <c r="B19" s="19">
        <v>45026</v>
      </c>
      <c r="C19" s="20">
        <v>0.8125</v>
      </c>
      <c r="D19" s="20">
        <v>0.875694444444444</v>
      </c>
      <c r="E19" s="20">
        <v>6.31944444444444E-2</v>
      </c>
      <c r="F19" s="21" t="s">
        <v>32</v>
      </c>
      <c r="G19" t="s">
        <v>797</v>
      </c>
    </row>
    <row r="20" spans="1:7" x14ac:dyDescent="0.3">
      <c r="A20" s="18" t="s">
        <v>31</v>
      </c>
      <c r="B20" s="19">
        <v>45026</v>
      </c>
      <c r="C20" s="20">
        <v>0.875694444444444</v>
      </c>
      <c r="D20" s="20">
        <v>0.9375</v>
      </c>
      <c r="E20" s="20">
        <v>6.18055555555556E-2</v>
      </c>
      <c r="F20" s="21" t="s">
        <v>35</v>
      </c>
      <c r="G20" t="s">
        <v>797</v>
      </c>
    </row>
    <row r="21" spans="1:7" x14ac:dyDescent="0.3">
      <c r="A21" s="18" t="s">
        <v>31</v>
      </c>
      <c r="B21" s="19">
        <v>45026</v>
      </c>
      <c r="C21" s="20">
        <v>0.96319444444444402</v>
      </c>
      <c r="D21" s="20">
        <v>0.96458333333333302</v>
      </c>
      <c r="E21" s="20">
        <v>1.3888888888887699E-3</v>
      </c>
      <c r="F21" s="21" t="s">
        <v>35</v>
      </c>
      <c r="G21" t="s">
        <v>797</v>
      </c>
    </row>
    <row r="22" spans="1:7" x14ac:dyDescent="0.3">
      <c r="A22" s="18" t="s">
        <v>31</v>
      </c>
      <c r="B22" s="19">
        <v>45026</v>
      </c>
      <c r="C22" s="20">
        <v>6.9444444444444404E-4</v>
      </c>
      <c r="D22" s="20">
        <v>1.0416666666666701E-2</v>
      </c>
      <c r="E22" s="20">
        <v>9.7222222222222206E-3</v>
      </c>
      <c r="F22" s="21" t="s">
        <v>35</v>
      </c>
      <c r="G22" t="s">
        <v>797</v>
      </c>
    </row>
    <row r="23" spans="1:7" x14ac:dyDescent="0.3">
      <c r="A23" s="18" t="s">
        <v>31</v>
      </c>
      <c r="B23" s="19">
        <v>45027</v>
      </c>
      <c r="C23" s="20">
        <v>0.33888888888888902</v>
      </c>
      <c r="D23" s="20">
        <v>0.43263888888888902</v>
      </c>
      <c r="E23" s="20">
        <v>9.375E-2</v>
      </c>
      <c r="F23" s="21" t="s">
        <v>40</v>
      </c>
      <c r="G23" t="s">
        <v>798</v>
      </c>
    </row>
    <row r="24" spans="1:7" x14ac:dyDescent="0.3">
      <c r="A24" s="18" t="s">
        <v>31</v>
      </c>
      <c r="B24" s="19">
        <v>45027</v>
      </c>
      <c r="C24" s="20">
        <v>0.74861111111111101</v>
      </c>
      <c r="D24" s="20">
        <v>0.8125</v>
      </c>
      <c r="E24" s="20">
        <v>6.3888888888888995E-2</v>
      </c>
      <c r="F24" s="21" t="s">
        <v>32</v>
      </c>
      <c r="G24" t="s">
        <v>798</v>
      </c>
    </row>
    <row r="25" spans="1:7" x14ac:dyDescent="0.3">
      <c r="A25" s="18" t="s">
        <v>31</v>
      </c>
      <c r="B25" s="19">
        <v>45027</v>
      </c>
      <c r="C25" s="20">
        <v>0.8125</v>
      </c>
      <c r="D25" s="20">
        <v>0.875694444444444</v>
      </c>
      <c r="E25" s="20">
        <v>6.31944444444444E-2</v>
      </c>
      <c r="F25" s="21" t="s">
        <v>32</v>
      </c>
      <c r="G25" t="s">
        <v>798</v>
      </c>
    </row>
    <row r="26" spans="1:7" x14ac:dyDescent="0.3">
      <c r="A26" s="18" t="s">
        <v>31</v>
      </c>
      <c r="B26" s="19">
        <v>45028</v>
      </c>
      <c r="C26" s="20">
        <v>0.74861111111111101</v>
      </c>
      <c r="D26" s="20">
        <v>0.8125</v>
      </c>
      <c r="E26" s="20">
        <v>6.3888888888888995E-2</v>
      </c>
      <c r="F26" s="21" t="s">
        <v>32</v>
      </c>
      <c r="G26" t="s">
        <v>799</v>
      </c>
    </row>
    <row r="27" spans="1:7" x14ac:dyDescent="0.3">
      <c r="A27" s="18" t="s">
        <v>31</v>
      </c>
      <c r="B27" s="19">
        <v>45028</v>
      </c>
      <c r="C27" s="20">
        <v>0.8125</v>
      </c>
      <c r="D27" s="20">
        <v>0.875694444444444</v>
      </c>
      <c r="E27" s="20">
        <v>6.31944444444444E-2</v>
      </c>
      <c r="F27" s="21" t="s">
        <v>32</v>
      </c>
      <c r="G27" t="s">
        <v>799</v>
      </c>
    </row>
    <row r="28" spans="1:7" x14ac:dyDescent="0.3">
      <c r="A28" s="18" t="s">
        <v>31</v>
      </c>
      <c r="B28" s="19">
        <v>45029</v>
      </c>
      <c r="C28" s="20">
        <v>0.51458333333333295</v>
      </c>
      <c r="D28" s="20">
        <v>0.5625</v>
      </c>
      <c r="E28" s="20">
        <v>4.7916666666666698E-2</v>
      </c>
      <c r="F28" s="21" t="s">
        <v>33</v>
      </c>
      <c r="G28" t="s">
        <v>800</v>
      </c>
    </row>
    <row r="29" spans="1:7" x14ac:dyDescent="0.3">
      <c r="A29" s="18" t="s">
        <v>31</v>
      </c>
      <c r="B29" s="19">
        <v>45029</v>
      </c>
      <c r="C29" s="20">
        <v>0.5625</v>
      </c>
      <c r="D29" s="20">
        <v>0.8125</v>
      </c>
      <c r="E29" s="20">
        <v>0.25</v>
      </c>
      <c r="F29" s="21" t="s">
        <v>33</v>
      </c>
      <c r="G29" t="s">
        <v>800</v>
      </c>
    </row>
    <row r="30" spans="1:7" x14ac:dyDescent="0.3">
      <c r="A30" s="18" t="s">
        <v>31</v>
      </c>
      <c r="B30" s="19">
        <v>45029</v>
      </c>
      <c r="C30" s="20">
        <v>0.8125</v>
      </c>
      <c r="D30" s="20">
        <v>0.875694444444444</v>
      </c>
      <c r="E30" s="20">
        <v>6.31944444444444E-2</v>
      </c>
      <c r="F30" s="21" t="s">
        <v>32</v>
      </c>
      <c r="G30" t="s">
        <v>800</v>
      </c>
    </row>
    <row r="31" spans="1:7" x14ac:dyDescent="0.3">
      <c r="A31" s="18" t="s">
        <v>31</v>
      </c>
      <c r="B31" s="19">
        <v>45029</v>
      </c>
      <c r="C31" s="20">
        <v>0.875694444444444</v>
      </c>
      <c r="D31" s="20">
        <v>6.25E-2</v>
      </c>
      <c r="E31" s="20">
        <v>0.186805555555556</v>
      </c>
      <c r="F31" s="21" t="s">
        <v>33</v>
      </c>
      <c r="G31" t="s">
        <v>800</v>
      </c>
    </row>
    <row r="32" spans="1:7" x14ac:dyDescent="0.3">
      <c r="A32" s="18" t="s">
        <v>31</v>
      </c>
      <c r="B32" s="19">
        <v>45030</v>
      </c>
      <c r="C32" s="20">
        <v>6.25E-2</v>
      </c>
      <c r="D32" s="20">
        <v>0.3125</v>
      </c>
      <c r="E32" s="20">
        <v>0.25</v>
      </c>
      <c r="F32" s="21" t="s">
        <v>33</v>
      </c>
      <c r="G32" t="s">
        <v>801</v>
      </c>
    </row>
    <row r="33" spans="1:7" x14ac:dyDescent="0.3">
      <c r="A33" s="18" t="s">
        <v>31</v>
      </c>
      <c r="B33" s="19">
        <v>45030</v>
      </c>
      <c r="C33" s="20">
        <v>0.3125</v>
      </c>
      <c r="D33" s="20">
        <v>0.49305555555555602</v>
      </c>
      <c r="E33" s="20">
        <v>0.180555555555556</v>
      </c>
      <c r="F33" s="21" t="s">
        <v>33</v>
      </c>
      <c r="G33" t="s">
        <v>801</v>
      </c>
    </row>
    <row r="34" spans="1:7" x14ac:dyDescent="0.3">
      <c r="A34" s="18" t="s">
        <v>31</v>
      </c>
      <c r="B34" s="19">
        <v>45030</v>
      </c>
      <c r="C34" s="20">
        <v>0.54513888888888895</v>
      </c>
      <c r="D34" s="20">
        <v>0.54722222222222205</v>
      </c>
      <c r="E34" s="20">
        <v>2.0833333333332101E-3</v>
      </c>
      <c r="G34" t="s">
        <v>801</v>
      </c>
    </row>
    <row r="35" spans="1:7" x14ac:dyDescent="0.3">
      <c r="A35" s="18" t="s">
        <v>31</v>
      </c>
      <c r="B35" s="19">
        <v>45030</v>
      </c>
      <c r="C35" s="20">
        <v>0.74861111111111101</v>
      </c>
      <c r="D35" s="20">
        <v>0.8125</v>
      </c>
      <c r="E35" s="20">
        <v>6.3888888888888995E-2</v>
      </c>
      <c r="F35" s="21" t="s">
        <v>32</v>
      </c>
      <c r="G35" t="s">
        <v>801</v>
      </c>
    </row>
    <row r="36" spans="1:7" x14ac:dyDescent="0.3">
      <c r="A36" s="18" t="s">
        <v>31</v>
      </c>
      <c r="B36" s="19">
        <v>45030</v>
      </c>
      <c r="C36" s="20">
        <v>0.8125</v>
      </c>
      <c r="D36" s="20">
        <v>0.87777777777777799</v>
      </c>
      <c r="E36" s="20">
        <v>6.5277777777777796E-2</v>
      </c>
      <c r="F36" s="21" t="s">
        <v>32</v>
      </c>
      <c r="G36" t="s">
        <v>801</v>
      </c>
    </row>
    <row r="37" spans="1:7" x14ac:dyDescent="0.3">
      <c r="A37" s="18" t="s">
        <v>31</v>
      </c>
      <c r="B37" s="19">
        <v>45032</v>
      </c>
      <c r="C37" s="20">
        <v>0.75833333333333297</v>
      </c>
      <c r="D37" s="20">
        <v>0.76249999999999996</v>
      </c>
      <c r="E37" s="20">
        <v>4.1666666666667603E-3</v>
      </c>
      <c r="F37" s="21" t="s">
        <v>41</v>
      </c>
      <c r="G37" t="s">
        <v>802</v>
      </c>
    </row>
    <row r="38" spans="1:7" x14ac:dyDescent="0.3">
      <c r="A38" s="18" t="s">
        <v>31</v>
      </c>
      <c r="B38" s="19">
        <v>45033</v>
      </c>
      <c r="C38" s="20">
        <v>0.74861111111111101</v>
      </c>
      <c r="D38" s="20">
        <v>0.8125</v>
      </c>
      <c r="E38" s="20">
        <v>6.3888888888888995E-2</v>
      </c>
      <c r="F38" s="21" t="s">
        <v>32</v>
      </c>
      <c r="G38" t="s">
        <v>797</v>
      </c>
    </row>
    <row r="39" spans="1:7" x14ac:dyDescent="0.3">
      <c r="A39" s="18" t="s">
        <v>31</v>
      </c>
      <c r="B39" s="19">
        <v>45033</v>
      </c>
      <c r="C39" s="20">
        <v>0.8125</v>
      </c>
      <c r="D39" s="20">
        <v>0.875</v>
      </c>
      <c r="E39" s="20">
        <v>6.25E-2</v>
      </c>
      <c r="F39" s="21" t="s">
        <v>32</v>
      </c>
      <c r="G39" t="s">
        <v>797</v>
      </c>
    </row>
    <row r="40" spans="1:7" x14ac:dyDescent="0.3">
      <c r="A40" s="18" t="s">
        <v>31</v>
      </c>
      <c r="B40" s="19">
        <v>45033</v>
      </c>
      <c r="C40" s="20">
        <v>0.875694444444444</v>
      </c>
      <c r="D40" s="20">
        <v>0.88541666666666696</v>
      </c>
      <c r="E40" s="20">
        <v>9.7222222222221894E-3</v>
      </c>
      <c r="F40" s="21" t="s">
        <v>42</v>
      </c>
      <c r="G40" t="s">
        <v>797</v>
      </c>
    </row>
    <row r="41" spans="1:7" x14ac:dyDescent="0.3">
      <c r="A41" s="18" t="s">
        <v>31</v>
      </c>
      <c r="B41" s="19">
        <v>45034</v>
      </c>
      <c r="C41" s="20">
        <v>0.74861111111111101</v>
      </c>
      <c r="D41" s="20">
        <v>0.8125</v>
      </c>
      <c r="E41" s="20">
        <v>6.3888888888888995E-2</v>
      </c>
      <c r="F41" s="21" t="s">
        <v>32</v>
      </c>
      <c r="G41" t="s">
        <v>798</v>
      </c>
    </row>
    <row r="42" spans="1:7" x14ac:dyDescent="0.3">
      <c r="A42" s="18" t="s">
        <v>31</v>
      </c>
      <c r="B42" s="19">
        <v>45034</v>
      </c>
      <c r="C42" s="20">
        <v>0.8125</v>
      </c>
      <c r="D42" s="20">
        <v>0.875694444444444</v>
      </c>
      <c r="E42" s="20">
        <v>6.31944444444444E-2</v>
      </c>
      <c r="F42" s="21" t="s">
        <v>32</v>
      </c>
      <c r="G42" t="s">
        <v>798</v>
      </c>
    </row>
    <row r="43" spans="1:7" x14ac:dyDescent="0.3">
      <c r="A43" s="18" t="s">
        <v>31</v>
      </c>
      <c r="B43" s="19">
        <v>45035</v>
      </c>
      <c r="C43" s="20">
        <v>0.16805555555555601</v>
      </c>
      <c r="D43" s="20">
        <v>0.171527777777778</v>
      </c>
      <c r="E43" s="20">
        <v>3.4722222222222099E-3</v>
      </c>
      <c r="F43" s="21" t="s">
        <v>43</v>
      </c>
      <c r="G43" t="s">
        <v>799</v>
      </c>
    </row>
    <row r="44" spans="1:7" x14ac:dyDescent="0.3">
      <c r="A44" s="18" t="s">
        <v>31</v>
      </c>
      <c r="B44" s="19">
        <v>45035</v>
      </c>
      <c r="C44" s="20">
        <v>0.74861111111111101</v>
      </c>
      <c r="D44" s="20">
        <v>0.8125</v>
      </c>
      <c r="E44" s="20">
        <v>6.3888888888888995E-2</v>
      </c>
      <c r="F44" s="21" t="s">
        <v>32</v>
      </c>
      <c r="G44" t="s">
        <v>799</v>
      </c>
    </row>
    <row r="45" spans="1:7" x14ac:dyDescent="0.3">
      <c r="A45" s="18" t="s">
        <v>31</v>
      </c>
      <c r="B45" s="19">
        <v>45035</v>
      </c>
      <c r="C45" s="20">
        <v>0.8125</v>
      </c>
      <c r="D45" s="20">
        <v>0.875694444444444</v>
      </c>
      <c r="E45" s="20">
        <v>6.31944444444444E-2</v>
      </c>
      <c r="F45" s="21" t="s">
        <v>32</v>
      </c>
      <c r="G45" t="s">
        <v>799</v>
      </c>
    </row>
    <row r="46" spans="1:7" x14ac:dyDescent="0.3">
      <c r="A46" s="18" t="s">
        <v>31</v>
      </c>
      <c r="B46" s="19">
        <v>45035</v>
      </c>
      <c r="C46" s="20">
        <v>0.875694444444444</v>
      </c>
      <c r="D46" s="20">
        <v>0.95069444444444395</v>
      </c>
      <c r="E46" s="20">
        <v>7.4999999999999997E-2</v>
      </c>
      <c r="F46" s="21" t="s">
        <v>44</v>
      </c>
      <c r="G46" t="s">
        <v>799</v>
      </c>
    </row>
    <row r="47" spans="1:7" x14ac:dyDescent="0.3">
      <c r="A47" s="18" t="s">
        <v>31</v>
      </c>
      <c r="B47" s="19">
        <v>45036</v>
      </c>
      <c r="C47" s="20">
        <v>6.25E-2</v>
      </c>
      <c r="D47" s="20">
        <v>0.15625</v>
      </c>
      <c r="E47" s="20">
        <v>9.375E-2</v>
      </c>
      <c r="F47" s="21" t="s">
        <v>44</v>
      </c>
      <c r="G47" t="s">
        <v>800</v>
      </c>
    </row>
    <row r="48" spans="1:7" x14ac:dyDescent="0.3">
      <c r="A48" s="18" t="s">
        <v>31</v>
      </c>
      <c r="B48" s="19">
        <v>45036</v>
      </c>
      <c r="C48" s="20">
        <v>0.74861111111111101</v>
      </c>
      <c r="D48" s="20">
        <v>0.8125</v>
      </c>
      <c r="E48" s="20">
        <v>6.3888888888888995E-2</v>
      </c>
      <c r="F48" s="21" t="s">
        <v>32</v>
      </c>
      <c r="G48" t="s">
        <v>800</v>
      </c>
    </row>
    <row r="49" spans="1:7" x14ac:dyDescent="0.3">
      <c r="A49" s="18" t="s">
        <v>31</v>
      </c>
      <c r="B49" s="19">
        <v>45036</v>
      </c>
      <c r="C49" s="20">
        <v>0.8125</v>
      </c>
      <c r="D49" s="20">
        <v>0.875694444444444</v>
      </c>
      <c r="E49" s="20">
        <v>6.31944444444444E-2</v>
      </c>
      <c r="F49" s="21" t="s">
        <v>32</v>
      </c>
      <c r="G49" t="s">
        <v>800</v>
      </c>
    </row>
    <row r="50" spans="1:7" x14ac:dyDescent="0.3">
      <c r="A50" s="18" t="s">
        <v>31</v>
      </c>
      <c r="B50" s="19">
        <v>45036</v>
      </c>
      <c r="C50" s="20">
        <v>0.875694444444444</v>
      </c>
      <c r="D50" s="20">
        <v>0.92986111111111103</v>
      </c>
      <c r="E50" s="20">
        <v>5.4166666666666703E-2</v>
      </c>
      <c r="F50" s="21" t="s">
        <v>44</v>
      </c>
      <c r="G50" t="s">
        <v>800</v>
      </c>
    </row>
    <row r="51" spans="1:7" x14ac:dyDescent="0.3">
      <c r="A51" s="18" t="s">
        <v>31</v>
      </c>
      <c r="B51" s="19">
        <v>45037</v>
      </c>
      <c r="C51" s="20">
        <v>0.24027777777777801</v>
      </c>
      <c r="D51" s="20">
        <v>0.241666666666667</v>
      </c>
      <c r="E51" s="20">
        <v>1.3888888888888801E-3</v>
      </c>
      <c r="F51" s="21" t="s">
        <v>43</v>
      </c>
      <c r="G51" t="s">
        <v>801</v>
      </c>
    </row>
    <row r="52" spans="1:7" x14ac:dyDescent="0.3">
      <c r="A52" s="18" t="s">
        <v>31</v>
      </c>
      <c r="B52" s="19">
        <v>45037</v>
      </c>
      <c r="C52" s="20">
        <v>0.62847222222222199</v>
      </c>
      <c r="D52" s="20">
        <v>0.63055555555555598</v>
      </c>
      <c r="E52" s="20">
        <v>2.0833333333333298E-3</v>
      </c>
      <c r="F52" s="21" t="s">
        <v>43</v>
      </c>
      <c r="G52" t="s">
        <v>801</v>
      </c>
    </row>
    <row r="53" spans="1:7" x14ac:dyDescent="0.3">
      <c r="A53" s="18" t="s">
        <v>31</v>
      </c>
      <c r="B53" s="19">
        <v>45037</v>
      </c>
      <c r="C53" s="20">
        <v>0.70902777777777803</v>
      </c>
      <c r="D53" s="20">
        <v>0.77777777777777801</v>
      </c>
      <c r="E53" s="20">
        <v>6.8750000000000103E-2</v>
      </c>
      <c r="F53" s="21" t="s">
        <v>44</v>
      </c>
      <c r="G53" t="s">
        <v>801</v>
      </c>
    </row>
    <row r="54" spans="1:7" x14ac:dyDescent="0.3">
      <c r="A54" s="18" t="s">
        <v>31</v>
      </c>
      <c r="B54" s="19">
        <v>45037</v>
      </c>
      <c r="C54" s="20">
        <v>0.90138888888888902</v>
      </c>
      <c r="D54" s="20">
        <v>0.90763888888888899</v>
      </c>
      <c r="E54" s="20">
        <v>6.2500000000000897E-3</v>
      </c>
      <c r="F54" s="21" t="s">
        <v>35</v>
      </c>
      <c r="G54" t="s">
        <v>801</v>
      </c>
    </row>
    <row r="55" spans="1:7" x14ac:dyDescent="0.3">
      <c r="A55" s="18" t="s">
        <v>31</v>
      </c>
      <c r="B55" s="19">
        <v>45039</v>
      </c>
      <c r="C55" s="20">
        <v>0.32638888888888901</v>
      </c>
      <c r="D55" s="20">
        <v>0.46319444444444402</v>
      </c>
      <c r="E55" s="20">
        <v>0.13680555555555601</v>
      </c>
      <c r="F55" s="21" t="s">
        <v>44</v>
      </c>
      <c r="G55" t="s">
        <v>802</v>
      </c>
    </row>
    <row r="56" spans="1:7" x14ac:dyDescent="0.3">
      <c r="A56" s="18" t="s">
        <v>31</v>
      </c>
      <c r="B56" s="19">
        <v>45040</v>
      </c>
      <c r="C56" s="20">
        <v>0.74861111111111101</v>
      </c>
      <c r="D56" s="20">
        <v>0.8125</v>
      </c>
      <c r="E56" s="20">
        <v>6.3888888888888995E-2</v>
      </c>
      <c r="F56" s="21" t="s">
        <v>32</v>
      </c>
      <c r="G56" t="s">
        <v>797</v>
      </c>
    </row>
    <row r="57" spans="1:7" x14ac:dyDescent="0.3">
      <c r="A57" s="18" t="s">
        <v>31</v>
      </c>
      <c r="B57" s="19">
        <v>45040</v>
      </c>
      <c r="C57" s="20">
        <v>0.8125</v>
      </c>
      <c r="D57" s="20">
        <v>0.875694444444444</v>
      </c>
      <c r="E57" s="20">
        <v>6.31944444444444E-2</v>
      </c>
      <c r="F57" s="21" t="s">
        <v>32</v>
      </c>
      <c r="G57" t="s">
        <v>797</v>
      </c>
    </row>
    <row r="58" spans="1:7" x14ac:dyDescent="0.3">
      <c r="A58" s="18" t="s">
        <v>31</v>
      </c>
      <c r="B58" s="19">
        <v>45040</v>
      </c>
      <c r="C58" s="20">
        <v>0.94513888888888897</v>
      </c>
      <c r="D58" s="20">
        <v>3.8194444444444399E-2</v>
      </c>
      <c r="E58" s="20">
        <v>9.30555555555556E-2</v>
      </c>
      <c r="F58" s="21" t="s">
        <v>34</v>
      </c>
      <c r="G58" t="s">
        <v>797</v>
      </c>
    </row>
    <row r="59" spans="1:7" x14ac:dyDescent="0.3">
      <c r="A59" s="18" t="s">
        <v>31</v>
      </c>
      <c r="B59" s="19">
        <v>45041</v>
      </c>
      <c r="C59" s="20">
        <v>0.74861111111111101</v>
      </c>
      <c r="D59" s="20">
        <v>0.8125</v>
      </c>
      <c r="E59" s="20">
        <v>6.3888888888888995E-2</v>
      </c>
      <c r="F59" s="21" t="s">
        <v>32</v>
      </c>
      <c r="G59" t="s">
        <v>798</v>
      </c>
    </row>
    <row r="60" spans="1:7" x14ac:dyDescent="0.3">
      <c r="A60" s="18" t="s">
        <v>31</v>
      </c>
      <c r="B60" s="19">
        <v>45041</v>
      </c>
      <c r="C60" s="20">
        <v>0.8125</v>
      </c>
      <c r="D60" s="20">
        <v>0.87847222222222199</v>
      </c>
      <c r="E60" s="20">
        <v>6.5972222222222196E-2</v>
      </c>
      <c r="F60" s="21" t="s">
        <v>32</v>
      </c>
      <c r="G60" t="s">
        <v>798</v>
      </c>
    </row>
    <row r="61" spans="1:7" x14ac:dyDescent="0.3">
      <c r="A61" s="18" t="s">
        <v>31</v>
      </c>
      <c r="B61" s="19">
        <v>45042</v>
      </c>
      <c r="C61" s="20">
        <v>0.74861111111111101</v>
      </c>
      <c r="D61" s="20">
        <v>0.8125</v>
      </c>
      <c r="E61" s="20">
        <v>6.3888888888888995E-2</v>
      </c>
      <c r="F61" s="21" t="s">
        <v>32</v>
      </c>
      <c r="G61" t="s">
        <v>799</v>
      </c>
    </row>
    <row r="62" spans="1:7" x14ac:dyDescent="0.3">
      <c r="A62" s="18" t="s">
        <v>31</v>
      </c>
      <c r="B62" s="19">
        <v>45042</v>
      </c>
      <c r="C62" s="20">
        <v>0.8125</v>
      </c>
      <c r="D62" s="20">
        <v>0.87708333333333299</v>
      </c>
      <c r="E62" s="20">
        <v>6.4583333333333298E-2</v>
      </c>
      <c r="F62" s="21" t="s">
        <v>32</v>
      </c>
      <c r="G62" t="s">
        <v>799</v>
      </c>
    </row>
    <row r="63" spans="1:7" x14ac:dyDescent="0.3">
      <c r="A63" s="18" t="s">
        <v>31</v>
      </c>
      <c r="B63" s="19">
        <v>45043</v>
      </c>
      <c r="C63" s="20">
        <v>0.74861111111111101</v>
      </c>
      <c r="D63" s="20">
        <v>0.8125</v>
      </c>
      <c r="E63" s="20">
        <v>6.3888888888888995E-2</v>
      </c>
      <c r="F63" s="21" t="s">
        <v>32</v>
      </c>
      <c r="G63" t="s">
        <v>800</v>
      </c>
    </row>
    <row r="64" spans="1:7" x14ac:dyDescent="0.3">
      <c r="A64" s="18" t="s">
        <v>31</v>
      </c>
      <c r="B64" s="19">
        <v>45043</v>
      </c>
      <c r="C64" s="20">
        <v>0.8125</v>
      </c>
      <c r="D64" s="20">
        <v>0.875694444444444</v>
      </c>
      <c r="E64" s="20">
        <v>6.31944444444444E-2</v>
      </c>
      <c r="F64" s="21" t="s">
        <v>32</v>
      </c>
      <c r="G64" t="s">
        <v>800</v>
      </c>
    </row>
    <row r="65" spans="1:7" x14ac:dyDescent="0.3">
      <c r="A65" s="18" t="s">
        <v>31</v>
      </c>
      <c r="B65" s="19">
        <v>45043</v>
      </c>
      <c r="C65" s="20">
        <v>0.875694444444444</v>
      </c>
      <c r="D65" s="20">
        <v>0.90763888888888899</v>
      </c>
      <c r="E65" s="20">
        <v>3.1944444444444602E-2</v>
      </c>
      <c r="F65" s="21" t="s">
        <v>40</v>
      </c>
      <c r="G65" t="s">
        <v>800</v>
      </c>
    </row>
    <row r="66" spans="1:7" x14ac:dyDescent="0.3">
      <c r="A66" s="18" t="s">
        <v>31</v>
      </c>
      <c r="B66" s="19">
        <v>45044</v>
      </c>
      <c r="C66" s="20">
        <v>0.74861111111111101</v>
      </c>
      <c r="D66" s="20">
        <v>0.8125</v>
      </c>
      <c r="E66" s="20">
        <v>6.3888888888888995E-2</v>
      </c>
      <c r="F66" s="21" t="s">
        <v>32</v>
      </c>
      <c r="G66" t="s">
        <v>801</v>
      </c>
    </row>
    <row r="67" spans="1:7" x14ac:dyDescent="0.3">
      <c r="A67" s="18" t="s">
        <v>31</v>
      </c>
      <c r="B67" s="19">
        <v>45044</v>
      </c>
      <c r="C67" s="20">
        <v>0.8125</v>
      </c>
      <c r="D67" s="20">
        <v>0.875694444444444</v>
      </c>
      <c r="E67" s="20">
        <v>6.31944444444444E-2</v>
      </c>
      <c r="F67" s="21" t="s">
        <v>32</v>
      </c>
      <c r="G67" t="s">
        <v>801</v>
      </c>
    </row>
    <row r="68" spans="1:7" x14ac:dyDescent="0.3">
      <c r="A68" s="18" t="s">
        <v>31</v>
      </c>
      <c r="B68" s="19">
        <v>45045</v>
      </c>
      <c r="C68" s="20">
        <v>0.88124999999999998</v>
      </c>
      <c r="D68" s="20">
        <v>0.88333333333333297</v>
      </c>
      <c r="E68" s="20">
        <v>2.0833333333333298E-3</v>
      </c>
      <c r="F68" s="21" t="s">
        <v>43</v>
      </c>
      <c r="G68" t="s">
        <v>803</v>
      </c>
    </row>
    <row r="69" spans="1:7" x14ac:dyDescent="0.3">
      <c r="A69" s="18" t="s">
        <v>31</v>
      </c>
      <c r="B69" s="19">
        <v>45046</v>
      </c>
      <c r="C69" s="20">
        <v>0.75833333333333297</v>
      </c>
      <c r="D69" s="20">
        <v>0.8125</v>
      </c>
      <c r="E69" s="20">
        <v>5.4166666666666703E-2</v>
      </c>
      <c r="F69" s="21" t="s">
        <v>45</v>
      </c>
      <c r="G69" t="s">
        <v>802</v>
      </c>
    </row>
    <row r="70" spans="1:7" x14ac:dyDescent="0.3">
      <c r="A70" s="18" t="s">
        <v>46</v>
      </c>
      <c r="B70" s="19">
        <v>45019</v>
      </c>
      <c r="C70" s="20">
        <v>0.74861111111111101</v>
      </c>
      <c r="D70" s="20">
        <v>0.8125</v>
      </c>
      <c r="E70" s="20">
        <v>6.3888888888888995E-2</v>
      </c>
      <c r="F70" s="21" t="s">
        <v>32</v>
      </c>
      <c r="G70" t="s">
        <v>797</v>
      </c>
    </row>
    <row r="71" spans="1:7" x14ac:dyDescent="0.3">
      <c r="A71" s="18" t="s">
        <v>46</v>
      </c>
      <c r="B71" s="19">
        <v>45019</v>
      </c>
      <c r="C71" s="20">
        <v>0.8125</v>
      </c>
      <c r="D71" s="20">
        <v>0.875694444444444</v>
      </c>
      <c r="E71" s="20">
        <v>6.31944444444444E-2</v>
      </c>
      <c r="F71" s="21" t="s">
        <v>32</v>
      </c>
      <c r="G71" t="s">
        <v>797</v>
      </c>
    </row>
    <row r="72" spans="1:7" x14ac:dyDescent="0.3">
      <c r="A72" s="18" t="s">
        <v>46</v>
      </c>
      <c r="B72" s="19">
        <v>45020</v>
      </c>
      <c r="C72" s="20">
        <v>0.74861111111111101</v>
      </c>
      <c r="D72" s="20">
        <v>0.8125</v>
      </c>
      <c r="E72" s="20">
        <v>6.3888888888888995E-2</v>
      </c>
      <c r="F72" s="21" t="s">
        <v>32</v>
      </c>
      <c r="G72" t="s">
        <v>798</v>
      </c>
    </row>
    <row r="73" spans="1:7" x14ac:dyDescent="0.3">
      <c r="A73" s="18" t="s">
        <v>46</v>
      </c>
      <c r="B73" s="19">
        <v>45020</v>
      </c>
      <c r="C73" s="20">
        <v>0.8125</v>
      </c>
      <c r="D73" s="20">
        <v>0.875</v>
      </c>
      <c r="E73" s="20">
        <v>6.25E-2</v>
      </c>
      <c r="F73" s="21" t="s">
        <v>32</v>
      </c>
      <c r="G73" t="s">
        <v>798</v>
      </c>
    </row>
    <row r="74" spans="1:7" x14ac:dyDescent="0.3">
      <c r="A74" s="18" t="s">
        <v>46</v>
      </c>
      <c r="B74" s="19">
        <v>45020</v>
      </c>
      <c r="C74" s="20">
        <v>0.875</v>
      </c>
      <c r="D74" s="20">
        <v>0.87986111111111098</v>
      </c>
      <c r="E74" s="20">
        <v>4.8611111111110904E-3</v>
      </c>
      <c r="F74" s="21" t="s">
        <v>47</v>
      </c>
      <c r="G74" t="s">
        <v>798</v>
      </c>
    </row>
    <row r="75" spans="1:7" x14ac:dyDescent="0.3">
      <c r="A75" s="18" t="s">
        <v>46</v>
      </c>
      <c r="B75" s="19">
        <v>45021</v>
      </c>
      <c r="C75" s="20">
        <v>0.74861111111111101</v>
      </c>
      <c r="D75" s="20">
        <v>0.8125</v>
      </c>
      <c r="E75" s="20">
        <v>6.3888888888888995E-2</v>
      </c>
      <c r="F75" s="21" t="s">
        <v>32</v>
      </c>
      <c r="G75" t="s">
        <v>799</v>
      </c>
    </row>
    <row r="76" spans="1:7" x14ac:dyDescent="0.3">
      <c r="A76" s="18" t="s">
        <v>46</v>
      </c>
      <c r="B76" s="19">
        <v>45021</v>
      </c>
      <c r="C76" s="20">
        <v>0.8125</v>
      </c>
      <c r="D76" s="20">
        <v>0.875694444444444</v>
      </c>
      <c r="E76" s="20">
        <v>6.31944444444444E-2</v>
      </c>
      <c r="F76" s="21" t="s">
        <v>32</v>
      </c>
      <c r="G76" t="s">
        <v>799</v>
      </c>
    </row>
    <row r="77" spans="1:7" x14ac:dyDescent="0.3">
      <c r="A77" s="18" t="s">
        <v>46</v>
      </c>
      <c r="B77" s="19">
        <v>45022</v>
      </c>
      <c r="C77" s="20">
        <v>0.74861111111111101</v>
      </c>
      <c r="D77" s="20">
        <v>0.8125</v>
      </c>
      <c r="E77" s="20">
        <v>6.3888888888888995E-2</v>
      </c>
      <c r="F77" s="21" t="s">
        <v>32</v>
      </c>
      <c r="G77" t="s">
        <v>800</v>
      </c>
    </row>
    <row r="78" spans="1:7" x14ac:dyDescent="0.3">
      <c r="A78" s="18" t="s">
        <v>46</v>
      </c>
      <c r="B78" s="19">
        <v>45022</v>
      </c>
      <c r="C78" s="20">
        <v>0.8125</v>
      </c>
      <c r="D78" s="20">
        <v>0.875694444444444</v>
      </c>
      <c r="E78" s="20">
        <v>6.31944444444444E-2</v>
      </c>
      <c r="F78" s="21" t="s">
        <v>32</v>
      </c>
      <c r="G78" t="s">
        <v>800</v>
      </c>
    </row>
    <row r="79" spans="1:7" x14ac:dyDescent="0.3">
      <c r="A79" s="18" t="s">
        <v>46</v>
      </c>
      <c r="B79" s="19">
        <v>45023</v>
      </c>
      <c r="C79" s="20">
        <v>7.5694444444444398E-2</v>
      </c>
      <c r="D79" s="20">
        <v>8.5416666666666696E-2</v>
      </c>
      <c r="E79" s="20">
        <v>9.7222222222222206E-3</v>
      </c>
      <c r="F79" s="21" t="s">
        <v>41</v>
      </c>
      <c r="G79" t="s">
        <v>801</v>
      </c>
    </row>
    <row r="80" spans="1:7" x14ac:dyDescent="0.3">
      <c r="A80" s="18" t="s">
        <v>46</v>
      </c>
      <c r="B80" s="19">
        <v>45023</v>
      </c>
      <c r="C80" s="20">
        <v>0.227777777777778</v>
      </c>
      <c r="D80" s="20">
        <v>0.3125</v>
      </c>
      <c r="E80" s="20">
        <v>8.4722222222222199E-2</v>
      </c>
      <c r="F80" s="21" t="s">
        <v>48</v>
      </c>
      <c r="G80" t="s">
        <v>801</v>
      </c>
    </row>
    <row r="81" spans="1:7" x14ac:dyDescent="0.3">
      <c r="A81" s="18" t="s">
        <v>46</v>
      </c>
      <c r="B81" s="19">
        <v>45023</v>
      </c>
      <c r="C81" s="20">
        <v>0.3125</v>
      </c>
      <c r="D81" s="20">
        <v>0.5625</v>
      </c>
      <c r="E81" s="20">
        <v>0.25</v>
      </c>
      <c r="F81" s="21" t="s">
        <v>48</v>
      </c>
      <c r="G81" t="s">
        <v>801</v>
      </c>
    </row>
    <row r="82" spans="1:7" x14ac:dyDescent="0.3">
      <c r="A82" s="18" t="s">
        <v>46</v>
      </c>
      <c r="B82" s="19">
        <v>45023</v>
      </c>
      <c r="C82" s="20">
        <v>0.5625</v>
      </c>
      <c r="D82" s="20">
        <v>0.8125</v>
      </c>
      <c r="E82" s="20">
        <v>0.25</v>
      </c>
      <c r="F82" s="21" t="s">
        <v>48</v>
      </c>
      <c r="G82" t="s">
        <v>801</v>
      </c>
    </row>
    <row r="83" spans="1:7" x14ac:dyDescent="0.3">
      <c r="A83" s="18" t="s">
        <v>46</v>
      </c>
      <c r="B83" s="19">
        <v>45023</v>
      </c>
      <c r="C83" s="20">
        <v>0.8125</v>
      </c>
      <c r="D83" s="20">
        <v>6.25E-2</v>
      </c>
      <c r="E83" s="20">
        <v>0.25</v>
      </c>
      <c r="F83" s="21" t="s">
        <v>48</v>
      </c>
      <c r="G83" t="s">
        <v>801</v>
      </c>
    </row>
    <row r="84" spans="1:7" x14ac:dyDescent="0.3">
      <c r="A84" s="18" t="s">
        <v>46</v>
      </c>
      <c r="B84" s="19">
        <v>45024</v>
      </c>
      <c r="C84" s="20">
        <v>6.25E-2</v>
      </c>
      <c r="D84" s="20">
        <v>0.104861111111111</v>
      </c>
      <c r="E84" s="20">
        <v>4.2361111111111099E-2</v>
      </c>
      <c r="F84" s="21" t="s">
        <v>48</v>
      </c>
      <c r="G84" t="s">
        <v>803</v>
      </c>
    </row>
    <row r="85" spans="1:7" x14ac:dyDescent="0.3">
      <c r="A85" s="18" t="s">
        <v>46</v>
      </c>
      <c r="B85" s="19">
        <v>45024</v>
      </c>
      <c r="C85" s="20">
        <v>0.27916666666666701</v>
      </c>
      <c r="D85" s="20">
        <v>0.27986111111111101</v>
      </c>
      <c r="E85" s="20">
        <v>6.9444444444444198E-4</v>
      </c>
      <c r="F85" s="21" t="s">
        <v>35</v>
      </c>
      <c r="G85" t="s">
        <v>803</v>
      </c>
    </row>
    <row r="86" spans="1:7" x14ac:dyDescent="0.3">
      <c r="A86" s="18" t="s">
        <v>46</v>
      </c>
      <c r="B86" s="19">
        <v>45024</v>
      </c>
      <c r="C86" s="20">
        <v>0.49375000000000002</v>
      </c>
      <c r="D86" s="20">
        <v>0.5625</v>
      </c>
      <c r="E86" s="20">
        <v>6.8750000000000006E-2</v>
      </c>
      <c r="F86" s="21" t="s">
        <v>49</v>
      </c>
      <c r="G86" t="s">
        <v>803</v>
      </c>
    </row>
    <row r="87" spans="1:7" x14ac:dyDescent="0.3">
      <c r="A87" s="18" t="s">
        <v>46</v>
      </c>
      <c r="B87" s="19">
        <v>45024</v>
      </c>
      <c r="C87" s="20">
        <v>0.5625</v>
      </c>
      <c r="D87" s="20">
        <v>0.60069444444444398</v>
      </c>
      <c r="E87" s="20">
        <v>3.8194444444444399E-2</v>
      </c>
      <c r="F87" s="21" t="s">
        <v>49</v>
      </c>
      <c r="G87" t="s">
        <v>803</v>
      </c>
    </row>
    <row r="88" spans="1:7" x14ac:dyDescent="0.3">
      <c r="A88" s="18" t="s">
        <v>46</v>
      </c>
      <c r="B88" s="19">
        <v>45026</v>
      </c>
      <c r="C88" s="20">
        <v>0.65138888888888902</v>
      </c>
      <c r="D88" s="20">
        <v>0.655555555555556</v>
      </c>
      <c r="E88" s="20">
        <v>4.1666666666666501E-3</v>
      </c>
      <c r="F88" s="21" t="s">
        <v>43</v>
      </c>
      <c r="G88" t="s">
        <v>797</v>
      </c>
    </row>
    <row r="89" spans="1:7" x14ac:dyDescent="0.3">
      <c r="A89" s="18" t="s">
        <v>46</v>
      </c>
      <c r="B89" s="19">
        <v>45026</v>
      </c>
      <c r="C89" s="20">
        <v>0.74861111111111101</v>
      </c>
      <c r="D89" s="20">
        <v>0.8125</v>
      </c>
      <c r="E89" s="20">
        <v>6.3888888888888995E-2</v>
      </c>
      <c r="F89" s="21" t="s">
        <v>32</v>
      </c>
      <c r="G89" t="s">
        <v>797</v>
      </c>
    </row>
    <row r="90" spans="1:7" x14ac:dyDescent="0.3">
      <c r="A90" s="18" t="s">
        <v>46</v>
      </c>
      <c r="B90" s="19">
        <v>45026</v>
      </c>
      <c r="C90" s="20">
        <v>0.74097222222222203</v>
      </c>
      <c r="D90" s="20">
        <v>0.74236111111111103</v>
      </c>
      <c r="E90" s="20">
        <v>1.3888888888888801E-3</v>
      </c>
      <c r="F90" s="21" t="s">
        <v>43</v>
      </c>
      <c r="G90" t="s">
        <v>797</v>
      </c>
    </row>
    <row r="91" spans="1:7" x14ac:dyDescent="0.3">
      <c r="A91" s="18" t="s">
        <v>46</v>
      </c>
      <c r="B91" s="19">
        <v>45026</v>
      </c>
      <c r="C91" s="20">
        <v>0.8125</v>
      </c>
      <c r="D91" s="20">
        <v>0.875694444444444</v>
      </c>
      <c r="E91" s="20">
        <v>6.31944444444444E-2</v>
      </c>
      <c r="F91" s="21" t="s">
        <v>32</v>
      </c>
      <c r="G91" t="s">
        <v>797</v>
      </c>
    </row>
    <row r="92" spans="1:7" x14ac:dyDescent="0.3">
      <c r="A92" s="18" t="s">
        <v>46</v>
      </c>
      <c r="B92" s="19">
        <v>45026</v>
      </c>
      <c r="C92" s="20">
        <v>0.94097222222222199</v>
      </c>
      <c r="D92" s="20">
        <v>0.94305555555555598</v>
      </c>
      <c r="E92" s="20">
        <v>2.0833333333333298E-3</v>
      </c>
      <c r="F92" s="21" t="s">
        <v>43</v>
      </c>
      <c r="G92" t="s">
        <v>797</v>
      </c>
    </row>
    <row r="93" spans="1:7" x14ac:dyDescent="0.3">
      <c r="A93" s="18" t="s">
        <v>46</v>
      </c>
      <c r="B93" s="19">
        <v>45027</v>
      </c>
      <c r="C93" s="20">
        <v>7.7083333333333295E-2</v>
      </c>
      <c r="D93" s="20">
        <v>7.9166666666666705E-2</v>
      </c>
      <c r="E93" s="20">
        <v>2.0833333333333298E-3</v>
      </c>
      <c r="F93" s="21" t="s">
        <v>43</v>
      </c>
      <c r="G93" t="s">
        <v>798</v>
      </c>
    </row>
    <row r="94" spans="1:7" x14ac:dyDescent="0.3">
      <c r="A94" s="18" t="s">
        <v>46</v>
      </c>
      <c r="B94" s="19">
        <v>45027</v>
      </c>
      <c r="C94" s="20">
        <v>0.16666666666666699</v>
      </c>
      <c r="D94" s="20">
        <v>0.16875000000000001</v>
      </c>
      <c r="E94" s="20">
        <v>2.0833333333333298E-3</v>
      </c>
      <c r="F94" s="21" t="s">
        <v>43</v>
      </c>
      <c r="G94" t="s">
        <v>798</v>
      </c>
    </row>
    <row r="95" spans="1:7" x14ac:dyDescent="0.3">
      <c r="A95" s="18" t="s">
        <v>46</v>
      </c>
      <c r="B95" s="19">
        <v>45027</v>
      </c>
      <c r="C95" s="20">
        <v>0.227083333333333</v>
      </c>
      <c r="D95" s="20">
        <v>0.22847222222222199</v>
      </c>
      <c r="E95" s="20">
        <v>1.3888888888888801E-3</v>
      </c>
      <c r="F95" s="21" t="s">
        <v>43</v>
      </c>
      <c r="G95" t="s">
        <v>798</v>
      </c>
    </row>
    <row r="96" spans="1:7" x14ac:dyDescent="0.3">
      <c r="A96" s="18" t="s">
        <v>46</v>
      </c>
      <c r="B96" s="19">
        <v>45027</v>
      </c>
      <c r="C96" s="20">
        <v>0.74861111111111101</v>
      </c>
      <c r="D96" s="20">
        <v>0.8125</v>
      </c>
      <c r="E96" s="20">
        <v>6.3888888888888995E-2</v>
      </c>
      <c r="F96" s="21" t="s">
        <v>32</v>
      </c>
      <c r="G96" t="s">
        <v>798</v>
      </c>
    </row>
    <row r="97" spans="1:7" x14ac:dyDescent="0.3">
      <c r="A97" s="18" t="s">
        <v>46</v>
      </c>
      <c r="B97" s="19">
        <v>45027</v>
      </c>
      <c r="C97" s="20">
        <v>0.8125</v>
      </c>
      <c r="D97" s="20">
        <v>0.875694444444444</v>
      </c>
      <c r="E97" s="20">
        <v>6.31944444444444E-2</v>
      </c>
      <c r="F97" s="21" t="s">
        <v>32</v>
      </c>
      <c r="G97" t="s">
        <v>798</v>
      </c>
    </row>
    <row r="98" spans="1:7" x14ac:dyDescent="0.3">
      <c r="A98" s="18" t="s">
        <v>46</v>
      </c>
      <c r="B98" s="19">
        <v>45028</v>
      </c>
      <c r="C98" s="20">
        <v>0.8125</v>
      </c>
      <c r="D98" s="20">
        <v>0.875694444444444</v>
      </c>
      <c r="E98" s="20">
        <v>6.31944444444444E-2</v>
      </c>
      <c r="F98" s="21" t="s">
        <v>32</v>
      </c>
      <c r="G98" t="s">
        <v>799</v>
      </c>
    </row>
    <row r="99" spans="1:7" x14ac:dyDescent="0.3">
      <c r="A99" s="18" t="s">
        <v>46</v>
      </c>
      <c r="B99" s="19">
        <v>45028</v>
      </c>
      <c r="C99" s="20">
        <v>0.875694444444444</v>
      </c>
      <c r="D99" s="20">
        <v>0.89027777777777795</v>
      </c>
      <c r="E99" s="20">
        <v>1.4583333333333399E-2</v>
      </c>
      <c r="F99" s="21" t="s">
        <v>35</v>
      </c>
      <c r="G99" t="s">
        <v>799</v>
      </c>
    </row>
    <row r="100" spans="1:7" x14ac:dyDescent="0.3">
      <c r="A100" s="18" t="s">
        <v>46</v>
      </c>
      <c r="B100" s="19">
        <v>45029</v>
      </c>
      <c r="C100" s="20">
        <v>0.74861111111111101</v>
      </c>
      <c r="D100" s="20">
        <v>0.8125</v>
      </c>
      <c r="E100" s="20">
        <v>6.3888888888888995E-2</v>
      </c>
      <c r="F100" s="21" t="s">
        <v>32</v>
      </c>
      <c r="G100" t="s">
        <v>800</v>
      </c>
    </row>
    <row r="101" spans="1:7" x14ac:dyDescent="0.3">
      <c r="A101" s="18" t="s">
        <v>46</v>
      </c>
      <c r="B101" s="19">
        <v>45029</v>
      </c>
      <c r="C101" s="20">
        <v>0.8125</v>
      </c>
      <c r="D101" s="20">
        <v>0.875694444444444</v>
      </c>
      <c r="E101" s="20">
        <v>6.31944444444444E-2</v>
      </c>
      <c r="F101" s="21" t="s">
        <v>32</v>
      </c>
      <c r="G101" t="s">
        <v>800</v>
      </c>
    </row>
    <row r="102" spans="1:7" x14ac:dyDescent="0.3">
      <c r="A102" s="18" t="s">
        <v>46</v>
      </c>
      <c r="B102" s="19">
        <v>45030</v>
      </c>
      <c r="C102" s="20">
        <v>0.14444444444444399</v>
      </c>
      <c r="D102" s="20">
        <v>0.14652777777777801</v>
      </c>
      <c r="E102" s="20">
        <v>2.0833333333333298E-3</v>
      </c>
      <c r="F102" s="21" t="s">
        <v>43</v>
      </c>
      <c r="G102" t="s">
        <v>801</v>
      </c>
    </row>
    <row r="103" spans="1:7" x14ac:dyDescent="0.3">
      <c r="A103" s="18" t="s">
        <v>46</v>
      </c>
      <c r="B103" s="19">
        <v>45030</v>
      </c>
      <c r="C103" s="20">
        <v>0.240972222222222</v>
      </c>
      <c r="D103" s="20">
        <v>0.242361111111111</v>
      </c>
      <c r="E103" s="20">
        <v>1.3888888888888801E-3</v>
      </c>
      <c r="F103" s="21" t="s">
        <v>43</v>
      </c>
      <c r="G103" t="s">
        <v>801</v>
      </c>
    </row>
    <row r="104" spans="1:7" x14ac:dyDescent="0.3">
      <c r="A104" s="18" t="s">
        <v>46</v>
      </c>
      <c r="B104" s="19">
        <v>45030</v>
      </c>
      <c r="C104" s="20">
        <v>0.74861111111111101</v>
      </c>
      <c r="D104" s="20">
        <v>0.8125</v>
      </c>
      <c r="E104" s="20">
        <v>6.3888888888888995E-2</v>
      </c>
      <c r="F104" s="21" t="s">
        <v>32</v>
      </c>
      <c r="G104" t="s">
        <v>801</v>
      </c>
    </row>
    <row r="105" spans="1:7" x14ac:dyDescent="0.3">
      <c r="A105" s="18" t="s">
        <v>46</v>
      </c>
      <c r="B105" s="19">
        <v>45030</v>
      </c>
      <c r="C105" s="20">
        <v>0.8125</v>
      </c>
      <c r="D105" s="20">
        <v>0.87777777777777799</v>
      </c>
      <c r="E105" s="20">
        <v>6.5277777777777796E-2</v>
      </c>
      <c r="F105" s="21" t="s">
        <v>32</v>
      </c>
      <c r="G105" t="s">
        <v>801</v>
      </c>
    </row>
    <row r="106" spans="1:7" x14ac:dyDescent="0.3">
      <c r="A106" s="18" t="s">
        <v>46</v>
      </c>
      <c r="B106" s="19">
        <v>45031</v>
      </c>
      <c r="C106" s="20">
        <v>0.53958333333333297</v>
      </c>
      <c r="D106" s="20">
        <v>0.55902777777777801</v>
      </c>
      <c r="E106" s="20">
        <v>1.94444444444445E-2</v>
      </c>
      <c r="F106" s="21" t="s">
        <v>41</v>
      </c>
      <c r="G106" t="s">
        <v>803</v>
      </c>
    </row>
    <row r="107" spans="1:7" x14ac:dyDescent="0.3">
      <c r="A107" s="18" t="s">
        <v>46</v>
      </c>
      <c r="B107" s="19">
        <v>45032</v>
      </c>
      <c r="C107" s="20">
        <v>0.28958333333333303</v>
      </c>
      <c r="D107" s="20">
        <v>0.29930555555555599</v>
      </c>
      <c r="E107" s="20">
        <v>9.7222222222221894E-3</v>
      </c>
      <c r="F107" s="21" t="s">
        <v>48</v>
      </c>
      <c r="G107" t="s">
        <v>802</v>
      </c>
    </row>
    <row r="108" spans="1:7" x14ac:dyDescent="0.3">
      <c r="A108" s="18" t="s">
        <v>46</v>
      </c>
      <c r="B108" s="19">
        <v>45032</v>
      </c>
      <c r="C108" s="20">
        <v>0.55069444444444404</v>
      </c>
      <c r="D108" s="20">
        <v>0.5625</v>
      </c>
      <c r="E108" s="20">
        <v>1.18055555555555E-2</v>
      </c>
      <c r="F108" s="21" t="s">
        <v>38</v>
      </c>
      <c r="G108" t="s">
        <v>802</v>
      </c>
    </row>
    <row r="109" spans="1:7" x14ac:dyDescent="0.3">
      <c r="A109" s="18" t="s">
        <v>46</v>
      </c>
      <c r="B109" s="19">
        <v>45032</v>
      </c>
      <c r="C109" s="20">
        <v>0.5625</v>
      </c>
      <c r="D109" s="20">
        <v>0.58958333333333302</v>
      </c>
      <c r="E109" s="20">
        <v>2.70833333333333E-2</v>
      </c>
      <c r="F109" s="21" t="s">
        <v>38</v>
      </c>
      <c r="G109" t="s">
        <v>802</v>
      </c>
    </row>
    <row r="110" spans="1:7" x14ac:dyDescent="0.3">
      <c r="A110" s="18" t="s">
        <v>46</v>
      </c>
      <c r="B110" s="19">
        <v>45033</v>
      </c>
      <c r="C110" s="20">
        <v>0.74861111111111101</v>
      </c>
      <c r="D110" s="20">
        <v>0.8125</v>
      </c>
      <c r="E110" s="20">
        <v>6.3888888888888995E-2</v>
      </c>
      <c r="F110" s="21" t="s">
        <v>32</v>
      </c>
      <c r="G110" t="s">
        <v>797</v>
      </c>
    </row>
    <row r="111" spans="1:7" x14ac:dyDescent="0.3">
      <c r="A111" s="18" t="s">
        <v>46</v>
      </c>
      <c r="B111" s="19">
        <v>45033</v>
      </c>
      <c r="C111" s="20">
        <v>0.8125</v>
      </c>
      <c r="D111" s="20">
        <v>0.875694444444444</v>
      </c>
      <c r="E111" s="20">
        <v>6.31944444444444E-2</v>
      </c>
      <c r="F111" s="21" t="s">
        <v>32</v>
      </c>
      <c r="G111" t="s">
        <v>797</v>
      </c>
    </row>
    <row r="112" spans="1:7" x14ac:dyDescent="0.3">
      <c r="A112" s="18" t="s">
        <v>46</v>
      </c>
      <c r="B112" s="19">
        <v>45034</v>
      </c>
      <c r="C112" s="20">
        <v>0.74861111111111101</v>
      </c>
      <c r="D112" s="20">
        <v>0.8125</v>
      </c>
      <c r="E112" s="20">
        <v>6.3888888888888995E-2</v>
      </c>
      <c r="F112" s="21" t="s">
        <v>32</v>
      </c>
      <c r="G112" t="s">
        <v>798</v>
      </c>
    </row>
    <row r="113" spans="1:7" x14ac:dyDescent="0.3">
      <c r="A113" s="18" t="s">
        <v>46</v>
      </c>
      <c r="B113" s="19">
        <v>45034</v>
      </c>
      <c r="C113" s="20">
        <v>0.5625</v>
      </c>
      <c r="D113" s="20">
        <v>0.875694444444444</v>
      </c>
      <c r="E113" s="20">
        <v>0.313194444444444</v>
      </c>
      <c r="F113" s="21" t="s">
        <v>32</v>
      </c>
      <c r="G113" t="s">
        <v>798</v>
      </c>
    </row>
    <row r="114" spans="1:7" x14ac:dyDescent="0.3">
      <c r="A114" s="18" t="s">
        <v>46</v>
      </c>
      <c r="B114" s="19">
        <v>45034</v>
      </c>
      <c r="C114" s="20">
        <v>0.875694444444444</v>
      </c>
      <c r="D114" s="20">
        <v>0.89097222222222205</v>
      </c>
      <c r="E114" s="20">
        <v>1.5277777777777699E-2</v>
      </c>
      <c r="F114" s="21" t="s">
        <v>35</v>
      </c>
      <c r="G114" t="s">
        <v>798</v>
      </c>
    </row>
    <row r="115" spans="1:7" x14ac:dyDescent="0.3">
      <c r="A115" s="18" t="s">
        <v>46</v>
      </c>
      <c r="B115" s="19">
        <v>45035</v>
      </c>
      <c r="C115" s="20">
        <v>0.74861111111111101</v>
      </c>
      <c r="D115" s="20">
        <v>0.8125</v>
      </c>
      <c r="E115" s="20">
        <v>6.3888888888888995E-2</v>
      </c>
      <c r="F115" s="21" t="s">
        <v>32</v>
      </c>
      <c r="G115" t="s">
        <v>799</v>
      </c>
    </row>
    <row r="116" spans="1:7" x14ac:dyDescent="0.3">
      <c r="A116" s="18" t="s">
        <v>46</v>
      </c>
      <c r="B116" s="19">
        <v>45035</v>
      </c>
      <c r="C116" s="20">
        <v>0.8125</v>
      </c>
      <c r="D116" s="20">
        <v>0.87708333333333299</v>
      </c>
      <c r="E116" s="20">
        <v>6.4583333333333298E-2</v>
      </c>
      <c r="F116" s="21" t="s">
        <v>32</v>
      </c>
      <c r="G116" t="s">
        <v>799</v>
      </c>
    </row>
    <row r="117" spans="1:7" x14ac:dyDescent="0.3">
      <c r="A117" s="18" t="s">
        <v>46</v>
      </c>
      <c r="B117" s="19">
        <v>45036</v>
      </c>
      <c r="C117" s="20">
        <v>0.74861111111111101</v>
      </c>
      <c r="D117" s="20">
        <v>0.8125</v>
      </c>
      <c r="E117" s="20">
        <v>6.3888888888888995E-2</v>
      </c>
      <c r="F117" s="21" t="s">
        <v>32</v>
      </c>
      <c r="G117" t="s">
        <v>800</v>
      </c>
    </row>
    <row r="118" spans="1:7" x14ac:dyDescent="0.3">
      <c r="A118" s="18" t="s">
        <v>46</v>
      </c>
      <c r="B118" s="19">
        <v>45036</v>
      </c>
      <c r="C118" s="20">
        <v>0.8125</v>
      </c>
      <c r="D118" s="20">
        <v>0.87847222222222199</v>
      </c>
      <c r="E118" s="20">
        <v>6.5972222222222196E-2</v>
      </c>
      <c r="F118" s="21" t="s">
        <v>32</v>
      </c>
      <c r="G118" t="s">
        <v>800</v>
      </c>
    </row>
    <row r="119" spans="1:7" x14ac:dyDescent="0.3">
      <c r="A119" s="18" t="s">
        <v>46</v>
      </c>
      <c r="B119" s="19">
        <v>45039</v>
      </c>
      <c r="C119" s="20">
        <v>0.52222222222222203</v>
      </c>
      <c r="D119" s="20">
        <v>0.52291666666666703</v>
      </c>
      <c r="E119" s="20">
        <v>6.9444444444444198E-4</v>
      </c>
      <c r="F119" s="21" t="s">
        <v>43</v>
      </c>
      <c r="G119" t="s">
        <v>802</v>
      </c>
    </row>
    <row r="120" spans="1:7" x14ac:dyDescent="0.3">
      <c r="A120" s="18" t="s">
        <v>46</v>
      </c>
      <c r="B120" s="19">
        <v>45039</v>
      </c>
      <c r="C120" s="20">
        <v>0.61180555555555605</v>
      </c>
      <c r="D120" s="20">
        <v>0.61319444444444404</v>
      </c>
      <c r="E120" s="20">
        <v>1.3888888888888801E-3</v>
      </c>
      <c r="F120" s="21" t="s">
        <v>43</v>
      </c>
      <c r="G120" t="s">
        <v>802</v>
      </c>
    </row>
    <row r="121" spans="1:7" x14ac:dyDescent="0.3">
      <c r="A121" s="18" t="s">
        <v>46</v>
      </c>
      <c r="B121" s="19">
        <v>45040</v>
      </c>
      <c r="C121" s="20">
        <v>0.148611111111111</v>
      </c>
      <c r="D121" s="20">
        <v>0.15</v>
      </c>
      <c r="E121" s="20">
        <v>1.3888888888888801E-3</v>
      </c>
      <c r="F121" s="21" t="s">
        <v>43</v>
      </c>
      <c r="G121" t="s">
        <v>797</v>
      </c>
    </row>
    <row r="122" spans="1:7" x14ac:dyDescent="0.3">
      <c r="A122" s="18" t="s">
        <v>46</v>
      </c>
      <c r="B122" s="19">
        <v>45040</v>
      </c>
      <c r="C122" s="20">
        <v>0.74861111111111101</v>
      </c>
      <c r="D122" s="20">
        <v>0.8125</v>
      </c>
      <c r="E122" s="20">
        <v>6.3888888888888995E-2</v>
      </c>
      <c r="F122" s="21" t="s">
        <v>32</v>
      </c>
      <c r="G122" t="s">
        <v>797</v>
      </c>
    </row>
    <row r="123" spans="1:7" x14ac:dyDescent="0.3">
      <c r="A123" s="18" t="s">
        <v>46</v>
      </c>
      <c r="B123" s="19">
        <v>45040</v>
      </c>
      <c r="C123" s="20">
        <v>0.8125</v>
      </c>
      <c r="D123" s="20">
        <v>0.875694444444444</v>
      </c>
      <c r="E123" s="20">
        <v>6.31944444444444E-2</v>
      </c>
      <c r="F123" s="21" t="s">
        <v>32</v>
      </c>
      <c r="G123" t="s">
        <v>797</v>
      </c>
    </row>
    <row r="124" spans="1:7" x14ac:dyDescent="0.3">
      <c r="A124" s="18" t="s">
        <v>46</v>
      </c>
      <c r="B124" s="19">
        <v>45040</v>
      </c>
      <c r="C124" s="20">
        <v>0.999305555555556</v>
      </c>
      <c r="D124" s="20">
        <v>6.9444444444444404E-4</v>
      </c>
      <c r="E124" s="20">
        <v>1.388888888889E-3</v>
      </c>
      <c r="F124" s="21" t="s">
        <v>35</v>
      </c>
      <c r="G124" t="s">
        <v>797</v>
      </c>
    </row>
    <row r="125" spans="1:7" x14ac:dyDescent="0.3">
      <c r="A125" s="18" t="s">
        <v>46</v>
      </c>
      <c r="B125" s="19">
        <v>45041</v>
      </c>
      <c r="C125" s="20">
        <v>0.74861111111111101</v>
      </c>
      <c r="D125" s="20">
        <v>0.8125</v>
      </c>
      <c r="E125" s="20">
        <v>6.3888888888888995E-2</v>
      </c>
      <c r="F125" s="21" t="s">
        <v>32</v>
      </c>
      <c r="G125" t="s">
        <v>798</v>
      </c>
    </row>
    <row r="126" spans="1:7" x14ac:dyDescent="0.3">
      <c r="A126" s="18" t="s">
        <v>46</v>
      </c>
      <c r="B126" s="19">
        <v>45041</v>
      </c>
      <c r="C126" s="20">
        <v>0.8125</v>
      </c>
      <c r="D126" s="20">
        <v>0.87847222222222199</v>
      </c>
      <c r="E126" s="20">
        <v>6.5972222222222196E-2</v>
      </c>
      <c r="F126" s="21" t="s">
        <v>32</v>
      </c>
      <c r="G126" t="s">
        <v>798</v>
      </c>
    </row>
    <row r="127" spans="1:7" x14ac:dyDescent="0.3">
      <c r="A127" s="18" t="s">
        <v>46</v>
      </c>
      <c r="B127" s="19">
        <v>45041</v>
      </c>
      <c r="C127" s="20">
        <v>5.6250000000000001E-2</v>
      </c>
      <c r="D127" s="20">
        <v>5.83333333333333E-2</v>
      </c>
      <c r="E127" s="20">
        <v>2.0833333333333298E-3</v>
      </c>
      <c r="F127" s="21" t="s">
        <v>43</v>
      </c>
      <c r="G127" t="s">
        <v>798</v>
      </c>
    </row>
    <row r="128" spans="1:7" x14ac:dyDescent="0.3">
      <c r="A128" s="18" t="s">
        <v>46</v>
      </c>
      <c r="B128" s="19">
        <v>45042</v>
      </c>
      <c r="C128" s="20">
        <v>0.73194444444444395</v>
      </c>
      <c r="D128" s="20">
        <v>0.73750000000000004</v>
      </c>
      <c r="E128" s="20">
        <v>5.5555555555555402E-3</v>
      </c>
      <c r="F128" s="21" t="s">
        <v>43</v>
      </c>
      <c r="G128" t="s">
        <v>799</v>
      </c>
    </row>
    <row r="129" spans="1:7" x14ac:dyDescent="0.3">
      <c r="A129" s="18" t="s">
        <v>46</v>
      </c>
      <c r="B129" s="19">
        <v>45042</v>
      </c>
      <c r="C129" s="20">
        <v>0.74861111111111101</v>
      </c>
      <c r="D129" s="20">
        <v>0.8125</v>
      </c>
      <c r="E129" s="20">
        <v>6.3888888888888995E-2</v>
      </c>
      <c r="F129" s="21" t="s">
        <v>32</v>
      </c>
      <c r="G129" t="s">
        <v>799</v>
      </c>
    </row>
    <row r="130" spans="1:7" x14ac:dyDescent="0.3">
      <c r="A130" s="18" t="s">
        <v>46</v>
      </c>
      <c r="B130" s="19">
        <v>45042</v>
      </c>
      <c r="C130" s="20">
        <v>0.8125</v>
      </c>
      <c r="D130" s="20">
        <v>0.87708333333333299</v>
      </c>
      <c r="E130" s="20">
        <v>6.4583333333333298E-2</v>
      </c>
      <c r="F130" s="21" t="s">
        <v>32</v>
      </c>
      <c r="G130" t="s">
        <v>799</v>
      </c>
    </row>
    <row r="131" spans="1:7" x14ac:dyDescent="0.3">
      <c r="A131" s="18" t="s">
        <v>46</v>
      </c>
      <c r="B131" s="19">
        <v>45043</v>
      </c>
      <c r="C131" s="20">
        <v>0.27430555555555503</v>
      </c>
      <c r="D131" s="20">
        <v>0.27569444444444402</v>
      </c>
      <c r="E131" s="20">
        <v>1.3888888888889399E-3</v>
      </c>
      <c r="F131" s="21" t="s">
        <v>43</v>
      </c>
      <c r="G131" t="s">
        <v>800</v>
      </c>
    </row>
    <row r="132" spans="1:7" x14ac:dyDescent="0.3">
      <c r="A132" s="18" t="s">
        <v>46</v>
      </c>
      <c r="B132" s="19">
        <v>45043</v>
      </c>
      <c r="C132" s="20">
        <v>0.74861111111111101</v>
      </c>
      <c r="D132" s="20">
        <v>0.8125</v>
      </c>
      <c r="E132" s="20">
        <v>6.3888888888888995E-2</v>
      </c>
      <c r="F132" s="21" t="s">
        <v>32</v>
      </c>
      <c r="G132" t="s">
        <v>800</v>
      </c>
    </row>
    <row r="133" spans="1:7" x14ac:dyDescent="0.3">
      <c r="A133" s="18" t="s">
        <v>46</v>
      </c>
      <c r="B133" s="19">
        <v>45043</v>
      </c>
      <c r="C133" s="20">
        <v>0.8125</v>
      </c>
      <c r="D133" s="20">
        <v>0.87916666666666698</v>
      </c>
      <c r="E133" s="20">
        <v>6.6666666666666805E-2</v>
      </c>
      <c r="F133" s="21" t="s">
        <v>32</v>
      </c>
      <c r="G133" t="s">
        <v>800</v>
      </c>
    </row>
    <row r="134" spans="1:7" x14ac:dyDescent="0.3">
      <c r="A134" s="18" t="s">
        <v>46</v>
      </c>
      <c r="B134" s="19">
        <v>45044</v>
      </c>
      <c r="C134" s="20">
        <v>0.74861111111111101</v>
      </c>
      <c r="D134" s="20">
        <v>0.8125</v>
      </c>
      <c r="E134" s="20">
        <v>6.3888888888888995E-2</v>
      </c>
      <c r="F134" s="21" t="s">
        <v>32</v>
      </c>
      <c r="G134" t="s">
        <v>801</v>
      </c>
    </row>
    <row r="135" spans="1:7" x14ac:dyDescent="0.3">
      <c r="A135" s="18" t="s">
        <v>46</v>
      </c>
      <c r="B135" s="19">
        <v>45044</v>
      </c>
      <c r="C135" s="20">
        <v>0.8125</v>
      </c>
      <c r="D135" s="20">
        <v>0.875694444444444</v>
      </c>
      <c r="E135" s="20">
        <v>6.31944444444444E-2</v>
      </c>
      <c r="F135" s="21" t="s">
        <v>32</v>
      </c>
      <c r="G135" t="s">
        <v>801</v>
      </c>
    </row>
    <row r="136" spans="1:7" x14ac:dyDescent="0.3">
      <c r="A136" s="18" t="s">
        <v>46</v>
      </c>
      <c r="B136" s="19">
        <v>45044</v>
      </c>
      <c r="C136" s="20">
        <v>0.875694444444444</v>
      </c>
      <c r="D136" s="20">
        <v>0.94027777777777799</v>
      </c>
      <c r="E136" s="20">
        <v>6.4583333333333298E-2</v>
      </c>
      <c r="F136" s="21" t="s">
        <v>33</v>
      </c>
      <c r="G136" t="s">
        <v>801</v>
      </c>
    </row>
    <row r="137" spans="1:7" x14ac:dyDescent="0.3">
      <c r="A137" s="18" t="s">
        <v>62</v>
      </c>
      <c r="B137" s="19">
        <v>45017</v>
      </c>
      <c r="C137" s="20" t="s">
        <v>63</v>
      </c>
      <c r="D137" s="20" t="s">
        <v>64</v>
      </c>
      <c r="E137" s="20" t="s">
        <v>65</v>
      </c>
      <c r="F137" s="21" t="s">
        <v>66</v>
      </c>
      <c r="G137" t="s">
        <v>803</v>
      </c>
    </row>
    <row r="138" spans="1:7" x14ac:dyDescent="0.3">
      <c r="A138" s="18" t="s">
        <v>62</v>
      </c>
      <c r="B138" s="19">
        <v>45017</v>
      </c>
      <c r="C138" s="20" t="s">
        <v>67</v>
      </c>
      <c r="D138" s="20" t="s">
        <v>68</v>
      </c>
      <c r="E138" s="20" t="s">
        <v>65</v>
      </c>
      <c r="F138" s="21" t="s">
        <v>69</v>
      </c>
      <c r="G138" t="s">
        <v>803</v>
      </c>
    </row>
    <row r="139" spans="1:7" x14ac:dyDescent="0.3">
      <c r="A139" s="18" t="s">
        <v>62</v>
      </c>
      <c r="B139" s="19">
        <v>45017</v>
      </c>
      <c r="C139" s="20" t="s">
        <v>68</v>
      </c>
      <c r="D139" s="20" t="s">
        <v>70</v>
      </c>
      <c r="E139" s="20" t="s">
        <v>65</v>
      </c>
      <c r="F139" s="21" t="s">
        <v>71</v>
      </c>
      <c r="G139" t="s">
        <v>803</v>
      </c>
    </row>
    <row r="140" spans="1:7" x14ac:dyDescent="0.3">
      <c r="A140" s="18" t="s">
        <v>62</v>
      </c>
      <c r="B140" s="19">
        <v>45017</v>
      </c>
      <c r="C140" s="20" t="s">
        <v>70</v>
      </c>
      <c r="D140" s="20" t="s">
        <v>72</v>
      </c>
      <c r="E140" s="20" t="s">
        <v>73</v>
      </c>
      <c r="F140" s="21" t="s">
        <v>74</v>
      </c>
      <c r="G140" t="s">
        <v>803</v>
      </c>
    </row>
    <row r="141" spans="1:7" x14ac:dyDescent="0.3">
      <c r="A141" s="18" t="s">
        <v>62</v>
      </c>
      <c r="B141" s="19">
        <v>45017</v>
      </c>
      <c r="C141" s="20" t="s">
        <v>72</v>
      </c>
      <c r="D141" s="20" t="s">
        <v>75</v>
      </c>
      <c r="E141" s="20" t="s">
        <v>76</v>
      </c>
      <c r="F141" s="21" t="s">
        <v>66</v>
      </c>
      <c r="G141" t="s">
        <v>803</v>
      </c>
    </row>
    <row r="142" spans="1:7" x14ac:dyDescent="0.3">
      <c r="A142" s="18" t="s">
        <v>62</v>
      </c>
      <c r="B142" s="19">
        <v>45017</v>
      </c>
      <c r="C142" s="20" t="s">
        <v>77</v>
      </c>
      <c r="D142" s="20" t="s">
        <v>78</v>
      </c>
      <c r="E142" s="20" t="s">
        <v>65</v>
      </c>
      <c r="F142" s="21" t="s">
        <v>69</v>
      </c>
      <c r="G142" t="s">
        <v>803</v>
      </c>
    </row>
    <row r="143" spans="1:7" x14ac:dyDescent="0.3">
      <c r="A143" s="18" t="s">
        <v>62</v>
      </c>
      <c r="B143" s="19">
        <v>45017</v>
      </c>
      <c r="C143" s="20" t="s">
        <v>78</v>
      </c>
      <c r="D143" s="20" t="s">
        <v>79</v>
      </c>
      <c r="E143" s="20" t="s">
        <v>80</v>
      </c>
      <c r="F143" s="21" t="s">
        <v>71</v>
      </c>
      <c r="G143" t="s">
        <v>803</v>
      </c>
    </row>
    <row r="144" spans="1:7" x14ac:dyDescent="0.3">
      <c r="A144" s="18" t="s">
        <v>62</v>
      </c>
      <c r="B144" s="19">
        <v>45017</v>
      </c>
      <c r="C144" s="20" t="s">
        <v>79</v>
      </c>
      <c r="D144" s="20" t="s">
        <v>81</v>
      </c>
      <c r="E144" s="20" t="s">
        <v>65</v>
      </c>
      <c r="F144" s="21" t="s">
        <v>74</v>
      </c>
      <c r="G144" t="s">
        <v>803</v>
      </c>
    </row>
    <row r="145" spans="1:7" x14ac:dyDescent="0.3">
      <c r="A145" s="18" t="s">
        <v>62</v>
      </c>
      <c r="B145" s="19">
        <v>45017</v>
      </c>
      <c r="C145" s="20" t="s">
        <v>82</v>
      </c>
      <c r="D145" s="20" t="s">
        <v>83</v>
      </c>
      <c r="E145" s="20" t="s">
        <v>65</v>
      </c>
      <c r="F145" s="21" t="s">
        <v>69</v>
      </c>
      <c r="G145" t="s">
        <v>803</v>
      </c>
    </row>
    <row r="146" spans="1:7" x14ac:dyDescent="0.3">
      <c r="A146" s="18" t="s">
        <v>62</v>
      </c>
      <c r="B146" s="19">
        <v>45017</v>
      </c>
      <c r="C146" s="20" t="s">
        <v>83</v>
      </c>
      <c r="D146" s="20" t="s">
        <v>84</v>
      </c>
      <c r="E146" s="20" t="s">
        <v>85</v>
      </c>
      <c r="F146" s="21" t="s">
        <v>71</v>
      </c>
      <c r="G146" t="s">
        <v>803</v>
      </c>
    </row>
    <row r="147" spans="1:7" x14ac:dyDescent="0.3">
      <c r="A147" s="18" t="s">
        <v>62</v>
      </c>
      <c r="B147" s="19">
        <v>45017</v>
      </c>
      <c r="C147" s="20" t="s">
        <v>84</v>
      </c>
      <c r="D147" s="20" t="s">
        <v>86</v>
      </c>
      <c r="E147" s="20" t="s">
        <v>87</v>
      </c>
      <c r="F147" s="21" t="s">
        <v>74</v>
      </c>
      <c r="G147" t="s">
        <v>803</v>
      </c>
    </row>
    <row r="148" spans="1:7" x14ac:dyDescent="0.3">
      <c r="A148" s="18" t="s">
        <v>62</v>
      </c>
      <c r="B148" s="19">
        <v>45017</v>
      </c>
      <c r="C148" s="20" t="s">
        <v>86</v>
      </c>
      <c r="D148" s="20" t="s">
        <v>88</v>
      </c>
      <c r="E148" s="20" t="s">
        <v>76</v>
      </c>
      <c r="F148" s="21" t="s">
        <v>89</v>
      </c>
      <c r="G148" t="s">
        <v>803</v>
      </c>
    </row>
    <row r="149" spans="1:7" x14ac:dyDescent="0.3">
      <c r="A149" s="18" t="s">
        <v>62</v>
      </c>
      <c r="B149" s="19">
        <v>45018</v>
      </c>
      <c r="C149" s="20" t="s">
        <v>90</v>
      </c>
      <c r="D149" s="20" t="s">
        <v>91</v>
      </c>
      <c r="E149" s="20" t="s">
        <v>65</v>
      </c>
      <c r="F149" s="21" t="s">
        <v>69</v>
      </c>
      <c r="G149" t="s">
        <v>802</v>
      </c>
    </row>
    <row r="150" spans="1:7" x14ac:dyDescent="0.3">
      <c r="A150" s="18" t="s">
        <v>62</v>
      </c>
      <c r="B150" s="19">
        <v>45018</v>
      </c>
      <c r="C150" s="20" t="s">
        <v>91</v>
      </c>
      <c r="D150" s="20" t="s">
        <v>92</v>
      </c>
      <c r="E150" s="20" t="s">
        <v>65</v>
      </c>
      <c r="F150" s="21" t="s">
        <v>71</v>
      </c>
      <c r="G150" t="s">
        <v>802</v>
      </c>
    </row>
    <row r="151" spans="1:7" x14ac:dyDescent="0.3">
      <c r="A151" s="18" t="s">
        <v>62</v>
      </c>
      <c r="B151" s="19">
        <v>45018</v>
      </c>
      <c r="C151" s="20" t="s">
        <v>92</v>
      </c>
      <c r="D151" s="20" t="s">
        <v>93</v>
      </c>
      <c r="E151" s="20" t="s">
        <v>65</v>
      </c>
      <c r="F151" s="21" t="s">
        <v>74</v>
      </c>
      <c r="G151" t="s">
        <v>802</v>
      </c>
    </row>
    <row r="152" spans="1:7" x14ac:dyDescent="0.3">
      <c r="A152" s="18" t="s">
        <v>62</v>
      </c>
      <c r="B152" s="19">
        <v>45018</v>
      </c>
      <c r="C152" s="20" t="s">
        <v>94</v>
      </c>
      <c r="D152" s="20" t="s">
        <v>95</v>
      </c>
      <c r="E152" s="20" t="s">
        <v>65</v>
      </c>
      <c r="F152" s="21" t="s">
        <v>69</v>
      </c>
      <c r="G152" t="s">
        <v>802</v>
      </c>
    </row>
    <row r="153" spans="1:7" x14ac:dyDescent="0.3">
      <c r="A153" s="18" t="s">
        <v>62</v>
      </c>
      <c r="B153" s="19">
        <v>45018</v>
      </c>
      <c r="C153" s="20" t="s">
        <v>95</v>
      </c>
      <c r="D153" s="20" t="s">
        <v>96</v>
      </c>
      <c r="E153" s="20" t="s">
        <v>97</v>
      </c>
      <c r="F153" s="21" t="s">
        <v>71</v>
      </c>
      <c r="G153" t="s">
        <v>802</v>
      </c>
    </row>
    <row r="154" spans="1:7" x14ac:dyDescent="0.3">
      <c r="A154" s="18" t="s">
        <v>62</v>
      </c>
      <c r="B154" s="19">
        <v>45018</v>
      </c>
      <c r="C154" s="20" t="s">
        <v>96</v>
      </c>
      <c r="D154" s="20" t="s">
        <v>98</v>
      </c>
      <c r="E154" s="20" t="s">
        <v>99</v>
      </c>
      <c r="F154" s="21" t="s">
        <v>74</v>
      </c>
      <c r="G154" t="s">
        <v>802</v>
      </c>
    </row>
    <row r="155" spans="1:7" x14ac:dyDescent="0.3">
      <c r="A155" s="18" t="s">
        <v>62</v>
      </c>
      <c r="B155" s="19">
        <v>45018</v>
      </c>
      <c r="C155" s="20" t="s">
        <v>100</v>
      </c>
      <c r="D155" s="20" t="s">
        <v>101</v>
      </c>
      <c r="E155" s="20" t="s">
        <v>80</v>
      </c>
      <c r="F155" s="21" t="s">
        <v>69</v>
      </c>
      <c r="G155" t="s">
        <v>802</v>
      </c>
    </row>
    <row r="156" spans="1:7" x14ac:dyDescent="0.3">
      <c r="A156" s="18" t="s">
        <v>62</v>
      </c>
      <c r="B156" s="19">
        <v>45018</v>
      </c>
      <c r="C156" s="20" t="s">
        <v>101</v>
      </c>
      <c r="D156" s="20" t="s">
        <v>102</v>
      </c>
      <c r="E156" s="20" t="s">
        <v>65</v>
      </c>
      <c r="F156" s="21" t="s">
        <v>71</v>
      </c>
      <c r="G156" t="s">
        <v>802</v>
      </c>
    </row>
    <row r="157" spans="1:7" x14ac:dyDescent="0.3">
      <c r="A157" s="18" t="s">
        <v>62</v>
      </c>
      <c r="B157" s="19">
        <v>45018</v>
      </c>
      <c r="C157" s="20" t="s">
        <v>102</v>
      </c>
      <c r="D157" s="20" t="s">
        <v>103</v>
      </c>
      <c r="E157" s="20" t="s">
        <v>104</v>
      </c>
      <c r="F157" s="21" t="s">
        <v>105</v>
      </c>
      <c r="G157" t="s">
        <v>802</v>
      </c>
    </row>
    <row r="158" spans="1:7" x14ac:dyDescent="0.3">
      <c r="A158" s="18" t="s">
        <v>62</v>
      </c>
      <c r="B158" s="19">
        <v>45019</v>
      </c>
      <c r="C158" s="20" t="s">
        <v>106</v>
      </c>
      <c r="D158" s="20" t="s">
        <v>107</v>
      </c>
      <c r="E158" s="20" t="s">
        <v>65</v>
      </c>
      <c r="F158" s="21" t="s">
        <v>69</v>
      </c>
      <c r="G158" t="s">
        <v>797</v>
      </c>
    </row>
    <row r="159" spans="1:7" x14ac:dyDescent="0.3">
      <c r="A159" s="18" t="s">
        <v>62</v>
      </c>
      <c r="B159" s="19">
        <v>45019</v>
      </c>
      <c r="C159" s="20" t="s">
        <v>107</v>
      </c>
      <c r="D159" s="20" t="s">
        <v>108</v>
      </c>
      <c r="E159" s="20" t="s">
        <v>65</v>
      </c>
      <c r="F159" s="21" t="s">
        <v>71</v>
      </c>
      <c r="G159" t="s">
        <v>797</v>
      </c>
    </row>
    <row r="160" spans="1:7" x14ac:dyDescent="0.3">
      <c r="A160" s="18" t="s">
        <v>62</v>
      </c>
      <c r="B160" s="19">
        <v>45019</v>
      </c>
      <c r="C160" s="20" t="s">
        <v>108</v>
      </c>
      <c r="D160" s="20" t="s">
        <v>109</v>
      </c>
      <c r="E160" s="20" t="s">
        <v>110</v>
      </c>
      <c r="F160" s="21" t="s">
        <v>74</v>
      </c>
      <c r="G160" t="s">
        <v>797</v>
      </c>
    </row>
    <row r="161" spans="1:7" x14ac:dyDescent="0.3">
      <c r="A161" s="18" t="s">
        <v>62</v>
      </c>
      <c r="B161" s="19">
        <v>45019</v>
      </c>
      <c r="C161" s="20" t="s">
        <v>111</v>
      </c>
      <c r="D161" s="20" t="s">
        <v>112</v>
      </c>
      <c r="E161" s="20" t="s">
        <v>113</v>
      </c>
      <c r="F161" s="21" t="s">
        <v>105</v>
      </c>
      <c r="G161" t="s">
        <v>797</v>
      </c>
    </row>
    <row r="162" spans="1:7" x14ac:dyDescent="0.3">
      <c r="A162" s="18" t="s">
        <v>62</v>
      </c>
      <c r="B162" s="19">
        <v>45019</v>
      </c>
      <c r="C162" s="20" t="s">
        <v>114</v>
      </c>
      <c r="D162" s="20" t="s">
        <v>115</v>
      </c>
      <c r="E162" s="20" t="s">
        <v>65</v>
      </c>
      <c r="F162" s="21" t="s">
        <v>69</v>
      </c>
      <c r="G162" t="s">
        <v>797</v>
      </c>
    </row>
    <row r="163" spans="1:7" x14ac:dyDescent="0.3">
      <c r="A163" s="18" t="s">
        <v>62</v>
      </c>
      <c r="B163" s="19">
        <v>45019</v>
      </c>
      <c r="C163" s="20" t="s">
        <v>115</v>
      </c>
      <c r="D163" s="20" t="s">
        <v>116</v>
      </c>
      <c r="E163" s="20" t="s">
        <v>97</v>
      </c>
      <c r="F163" s="21" t="s">
        <v>71</v>
      </c>
      <c r="G163" t="s">
        <v>797</v>
      </c>
    </row>
    <row r="164" spans="1:7" x14ac:dyDescent="0.3">
      <c r="A164" s="18" t="s">
        <v>62</v>
      </c>
      <c r="B164" s="19">
        <v>45019</v>
      </c>
      <c r="C164" s="20" t="s">
        <v>116</v>
      </c>
      <c r="D164" s="20" t="s">
        <v>117</v>
      </c>
      <c r="E164" s="20" t="s">
        <v>110</v>
      </c>
      <c r="F164" s="21" t="s">
        <v>74</v>
      </c>
      <c r="G164" t="s">
        <v>797</v>
      </c>
    </row>
    <row r="165" spans="1:7" x14ac:dyDescent="0.3">
      <c r="A165" s="18" t="s">
        <v>62</v>
      </c>
      <c r="B165" s="19">
        <v>45019</v>
      </c>
      <c r="C165" s="20" t="s">
        <v>118</v>
      </c>
      <c r="D165" s="20" t="s">
        <v>119</v>
      </c>
      <c r="E165" s="20" t="s">
        <v>65</v>
      </c>
      <c r="F165" s="21" t="s">
        <v>69</v>
      </c>
      <c r="G165" t="s">
        <v>797</v>
      </c>
    </row>
    <row r="166" spans="1:7" x14ac:dyDescent="0.3">
      <c r="A166" s="18" t="s">
        <v>62</v>
      </c>
      <c r="B166" s="19">
        <v>45019</v>
      </c>
      <c r="C166" s="20" t="s">
        <v>119</v>
      </c>
      <c r="D166" s="20" t="s">
        <v>120</v>
      </c>
      <c r="E166" s="20" t="s">
        <v>65</v>
      </c>
      <c r="F166" s="21" t="s">
        <v>71</v>
      </c>
      <c r="G166" t="s">
        <v>797</v>
      </c>
    </row>
    <row r="167" spans="1:7" x14ac:dyDescent="0.3">
      <c r="A167" s="18" t="s">
        <v>62</v>
      </c>
      <c r="B167" s="19">
        <v>45019</v>
      </c>
      <c r="C167" s="20" t="s">
        <v>120</v>
      </c>
      <c r="D167" s="20" t="s">
        <v>121</v>
      </c>
      <c r="E167" s="20" t="s">
        <v>122</v>
      </c>
      <c r="F167" s="21" t="s">
        <v>105</v>
      </c>
      <c r="G167" t="s">
        <v>797</v>
      </c>
    </row>
    <row r="168" spans="1:7" x14ac:dyDescent="0.3">
      <c r="A168" s="18" t="s">
        <v>62</v>
      </c>
      <c r="B168" s="19">
        <v>45019</v>
      </c>
      <c r="C168" s="20" t="s">
        <v>121</v>
      </c>
      <c r="D168" s="20" t="s">
        <v>123</v>
      </c>
      <c r="E168" s="20" t="s">
        <v>124</v>
      </c>
      <c r="F168" s="21" t="s">
        <v>89</v>
      </c>
      <c r="G168" t="s">
        <v>797</v>
      </c>
    </row>
    <row r="169" spans="1:7" x14ac:dyDescent="0.3">
      <c r="A169" s="18" t="s">
        <v>62</v>
      </c>
      <c r="B169" s="19">
        <v>45020</v>
      </c>
      <c r="C169" s="20" t="s">
        <v>125</v>
      </c>
      <c r="D169" s="20" t="s">
        <v>91</v>
      </c>
      <c r="E169" s="20" t="s">
        <v>80</v>
      </c>
      <c r="F169" s="21" t="s">
        <v>69</v>
      </c>
      <c r="G169" t="s">
        <v>798</v>
      </c>
    </row>
    <row r="170" spans="1:7" x14ac:dyDescent="0.3">
      <c r="A170" s="18" t="s">
        <v>62</v>
      </c>
      <c r="B170" s="19">
        <v>45020</v>
      </c>
      <c r="C170" s="20" t="s">
        <v>91</v>
      </c>
      <c r="D170" s="20" t="s">
        <v>92</v>
      </c>
      <c r="E170" s="20" t="s">
        <v>65</v>
      </c>
      <c r="F170" s="21" t="s">
        <v>71</v>
      </c>
      <c r="G170" t="s">
        <v>798</v>
      </c>
    </row>
    <row r="171" spans="1:7" x14ac:dyDescent="0.3">
      <c r="A171" s="18" t="s">
        <v>62</v>
      </c>
      <c r="B171" s="19">
        <v>45020</v>
      </c>
      <c r="C171" s="20" t="s">
        <v>92</v>
      </c>
      <c r="D171" s="20" t="s">
        <v>93</v>
      </c>
      <c r="E171" s="20" t="s">
        <v>65</v>
      </c>
      <c r="F171" s="21" t="s">
        <v>74</v>
      </c>
      <c r="G171" t="s">
        <v>798</v>
      </c>
    </row>
    <row r="172" spans="1:7" x14ac:dyDescent="0.3">
      <c r="A172" s="18" t="s">
        <v>62</v>
      </c>
      <c r="B172" s="19">
        <v>45020</v>
      </c>
      <c r="C172" s="20" t="s">
        <v>93</v>
      </c>
      <c r="D172" s="20" t="s">
        <v>126</v>
      </c>
      <c r="E172" s="20" t="s">
        <v>97</v>
      </c>
      <c r="F172" s="21" t="s">
        <v>66</v>
      </c>
      <c r="G172" t="s">
        <v>798</v>
      </c>
    </row>
    <row r="173" spans="1:7" x14ac:dyDescent="0.3">
      <c r="A173" s="18" t="s">
        <v>62</v>
      </c>
      <c r="B173" s="19">
        <v>45020</v>
      </c>
      <c r="C173" s="20" t="s">
        <v>127</v>
      </c>
      <c r="D173" s="20" t="s">
        <v>128</v>
      </c>
      <c r="E173" s="20" t="s">
        <v>129</v>
      </c>
      <c r="F173" s="21" t="s">
        <v>105</v>
      </c>
      <c r="G173" t="s">
        <v>798</v>
      </c>
    </row>
    <row r="174" spans="1:7" x14ac:dyDescent="0.3">
      <c r="A174" s="18" t="s">
        <v>62</v>
      </c>
      <c r="B174" s="19">
        <v>45020</v>
      </c>
      <c r="C174" s="20" t="s">
        <v>130</v>
      </c>
      <c r="D174" s="20" t="s">
        <v>131</v>
      </c>
      <c r="E174" s="20" t="s">
        <v>65</v>
      </c>
      <c r="F174" s="21" t="s">
        <v>69</v>
      </c>
      <c r="G174" t="s">
        <v>798</v>
      </c>
    </row>
    <row r="175" spans="1:7" x14ac:dyDescent="0.3">
      <c r="A175" s="18" t="s">
        <v>62</v>
      </c>
      <c r="B175" s="19">
        <v>45020</v>
      </c>
      <c r="C175" s="20" t="s">
        <v>131</v>
      </c>
      <c r="D175" s="20" t="s">
        <v>132</v>
      </c>
      <c r="E175" s="20" t="s">
        <v>133</v>
      </c>
      <c r="F175" s="21" t="s">
        <v>74</v>
      </c>
      <c r="G175" t="s">
        <v>798</v>
      </c>
    </row>
    <row r="176" spans="1:7" x14ac:dyDescent="0.3">
      <c r="A176" s="18" t="s">
        <v>62</v>
      </c>
      <c r="B176" s="19">
        <v>45020</v>
      </c>
      <c r="C176" s="20" t="s">
        <v>134</v>
      </c>
      <c r="D176" s="20" t="s">
        <v>135</v>
      </c>
      <c r="E176" s="20" t="s">
        <v>85</v>
      </c>
      <c r="F176" s="21" t="s">
        <v>69</v>
      </c>
      <c r="G176" t="s">
        <v>798</v>
      </c>
    </row>
    <row r="177" spans="1:7" x14ac:dyDescent="0.3">
      <c r="A177" s="18" t="s">
        <v>62</v>
      </c>
      <c r="B177" s="19">
        <v>45020</v>
      </c>
      <c r="C177" s="20" t="s">
        <v>135</v>
      </c>
      <c r="D177" s="20" t="s">
        <v>136</v>
      </c>
      <c r="E177" s="20" t="s">
        <v>137</v>
      </c>
      <c r="F177" s="21" t="s">
        <v>138</v>
      </c>
      <c r="G177" t="s">
        <v>798</v>
      </c>
    </row>
    <row r="178" spans="1:7" x14ac:dyDescent="0.3">
      <c r="A178" s="18" t="s">
        <v>62</v>
      </c>
      <c r="B178" s="19">
        <v>45020</v>
      </c>
      <c r="C178" s="20" t="s">
        <v>136</v>
      </c>
      <c r="D178" s="20" t="s">
        <v>139</v>
      </c>
      <c r="E178" s="20" t="s">
        <v>140</v>
      </c>
      <c r="F178" s="21" t="s">
        <v>66</v>
      </c>
      <c r="G178" t="s">
        <v>798</v>
      </c>
    </row>
    <row r="179" spans="1:7" x14ac:dyDescent="0.3">
      <c r="A179" s="18" t="s">
        <v>62</v>
      </c>
      <c r="B179" s="19">
        <v>45020</v>
      </c>
      <c r="C179" s="20" t="s">
        <v>141</v>
      </c>
      <c r="D179" s="20" t="s">
        <v>142</v>
      </c>
      <c r="E179" s="20" t="s">
        <v>65</v>
      </c>
      <c r="F179" s="21" t="s">
        <v>69</v>
      </c>
      <c r="G179" t="s">
        <v>798</v>
      </c>
    </row>
    <row r="180" spans="1:7" x14ac:dyDescent="0.3">
      <c r="A180" s="18" t="s">
        <v>62</v>
      </c>
      <c r="B180" s="19">
        <v>45020</v>
      </c>
      <c r="C180" s="20" t="s">
        <v>142</v>
      </c>
      <c r="D180" s="20" t="s">
        <v>95</v>
      </c>
      <c r="E180" s="20" t="s">
        <v>85</v>
      </c>
      <c r="F180" s="21" t="s">
        <v>66</v>
      </c>
      <c r="G180" t="s">
        <v>798</v>
      </c>
    </row>
    <row r="181" spans="1:7" x14ac:dyDescent="0.3">
      <c r="A181" s="18" t="s">
        <v>62</v>
      </c>
      <c r="B181" s="19">
        <v>45020</v>
      </c>
      <c r="C181" s="20" t="s">
        <v>143</v>
      </c>
      <c r="D181" s="20" t="s">
        <v>144</v>
      </c>
      <c r="E181" s="20" t="s">
        <v>65</v>
      </c>
      <c r="F181" s="21" t="s">
        <v>69</v>
      </c>
      <c r="G181" t="s">
        <v>798</v>
      </c>
    </row>
    <row r="182" spans="1:7" x14ac:dyDescent="0.3">
      <c r="A182" s="18" t="s">
        <v>62</v>
      </c>
      <c r="B182" s="19">
        <v>45020</v>
      </c>
      <c r="C182" s="20" t="s">
        <v>144</v>
      </c>
      <c r="D182" s="20" t="s">
        <v>145</v>
      </c>
      <c r="E182" s="20" t="s">
        <v>97</v>
      </c>
      <c r="F182" s="21" t="s">
        <v>71</v>
      </c>
      <c r="G182" t="s">
        <v>798</v>
      </c>
    </row>
    <row r="183" spans="1:7" x14ac:dyDescent="0.3">
      <c r="A183" s="18" t="s">
        <v>62</v>
      </c>
      <c r="B183" s="19">
        <v>45020</v>
      </c>
      <c r="C183" s="20" t="s">
        <v>145</v>
      </c>
      <c r="D183" s="20" t="s">
        <v>146</v>
      </c>
      <c r="E183" s="20" t="s">
        <v>87</v>
      </c>
      <c r="F183" s="21" t="s">
        <v>105</v>
      </c>
      <c r="G183" t="s">
        <v>798</v>
      </c>
    </row>
    <row r="184" spans="1:7" x14ac:dyDescent="0.3">
      <c r="A184" s="18" t="s">
        <v>62</v>
      </c>
      <c r="B184" s="19">
        <v>45020</v>
      </c>
      <c r="C184" s="20" t="s">
        <v>147</v>
      </c>
      <c r="D184" s="20" t="s">
        <v>148</v>
      </c>
      <c r="E184" s="20" t="s">
        <v>149</v>
      </c>
      <c r="F184" s="21" t="s">
        <v>150</v>
      </c>
      <c r="G184" t="s">
        <v>798</v>
      </c>
    </row>
    <row r="185" spans="1:7" x14ac:dyDescent="0.3">
      <c r="A185" s="18" t="s">
        <v>62</v>
      </c>
      <c r="B185" s="19">
        <v>45020</v>
      </c>
      <c r="C185" s="20" t="s">
        <v>133</v>
      </c>
      <c r="D185" s="20" t="s">
        <v>151</v>
      </c>
      <c r="E185" s="20" t="s">
        <v>65</v>
      </c>
      <c r="F185" s="21" t="s">
        <v>69</v>
      </c>
      <c r="G185" t="s">
        <v>798</v>
      </c>
    </row>
    <row r="186" spans="1:7" x14ac:dyDescent="0.3">
      <c r="A186" s="18" t="s">
        <v>62</v>
      </c>
      <c r="B186" s="19">
        <v>45021</v>
      </c>
      <c r="C186" s="20" t="s">
        <v>152</v>
      </c>
      <c r="D186" s="20" t="s">
        <v>153</v>
      </c>
      <c r="E186" s="20" t="s">
        <v>80</v>
      </c>
      <c r="F186" s="21" t="s">
        <v>69</v>
      </c>
      <c r="G186" t="s">
        <v>799</v>
      </c>
    </row>
    <row r="187" spans="1:7" x14ac:dyDescent="0.3">
      <c r="A187" s="18" t="s">
        <v>62</v>
      </c>
      <c r="B187" s="19">
        <v>45021</v>
      </c>
      <c r="C187" s="20" t="s">
        <v>153</v>
      </c>
      <c r="D187" s="20" t="s">
        <v>154</v>
      </c>
      <c r="E187" s="20" t="s">
        <v>65</v>
      </c>
      <c r="F187" s="21" t="s">
        <v>71</v>
      </c>
      <c r="G187" t="s">
        <v>799</v>
      </c>
    </row>
    <row r="188" spans="1:7" x14ac:dyDescent="0.3">
      <c r="A188" s="18" t="s">
        <v>62</v>
      </c>
      <c r="B188" s="19">
        <v>45021</v>
      </c>
      <c r="C188" s="20" t="s">
        <v>154</v>
      </c>
      <c r="D188" s="20" t="s">
        <v>155</v>
      </c>
      <c r="E188" s="20" t="s">
        <v>156</v>
      </c>
      <c r="F188" s="21" t="s">
        <v>105</v>
      </c>
      <c r="G188" t="s">
        <v>799</v>
      </c>
    </row>
    <row r="189" spans="1:7" x14ac:dyDescent="0.3">
      <c r="A189" s="18" t="s">
        <v>62</v>
      </c>
      <c r="B189" s="19">
        <v>45021</v>
      </c>
      <c r="C189" s="20" t="s">
        <v>157</v>
      </c>
      <c r="D189" s="20" t="s">
        <v>77</v>
      </c>
      <c r="E189" s="20" t="s">
        <v>65</v>
      </c>
      <c r="F189" s="21" t="s">
        <v>69</v>
      </c>
      <c r="G189" t="s">
        <v>799</v>
      </c>
    </row>
    <row r="190" spans="1:7" x14ac:dyDescent="0.3">
      <c r="A190" s="18" t="s">
        <v>62</v>
      </c>
      <c r="B190" s="19">
        <v>45021</v>
      </c>
      <c r="C190" s="20" t="s">
        <v>77</v>
      </c>
      <c r="D190" s="20" t="s">
        <v>158</v>
      </c>
      <c r="E190" s="20" t="s">
        <v>97</v>
      </c>
      <c r="F190" s="21" t="s">
        <v>71</v>
      </c>
      <c r="G190" t="s">
        <v>799</v>
      </c>
    </row>
    <row r="191" spans="1:7" x14ac:dyDescent="0.3">
      <c r="A191" s="18" t="s">
        <v>62</v>
      </c>
      <c r="B191" s="19">
        <v>45021</v>
      </c>
      <c r="C191" s="20" t="s">
        <v>158</v>
      </c>
      <c r="D191" s="20" t="s">
        <v>135</v>
      </c>
      <c r="E191" s="20" t="s">
        <v>65</v>
      </c>
      <c r="F191" s="21" t="s">
        <v>66</v>
      </c>
      <c r="G191" t="s">
        <v>799</v>
      </c>
    </row>
    <row r="192" spans="1:7" x14ac:dyDescent="0.3">
      <c r="A192" s="18" t="s">
        <v>62</v>
      </c>
      <c r="B192" s="19">
        <v>45021</v>
      </c>
      <c r="C192" s="20" t="s">
        <v>135</v>
      </c>
      <c r="D192" s="20" t="s">
        <v>159</v>
      </c>
      <c r="E192" s="20" t="s">
        <v>76</v>
      </c>
      <c r="F192" s="21" t="s">
        <v>74</v>
      </c>
      <c r="G192" t="s">
        <v>799</v>
      </c>
    </row>
    <row r="193" spans="1:7" x14ac:dyDescent="0.3">
      <c r="A193" s="18" t="s">
        <v>62</v>
      </c>
      <c r="B193" s="19">
        <v>45021</v>
      </c>
      <c r="C193" s="20" t="s">
        <v>84</v>
      </c>
      <c r="D193" s="20" t="s">
        <v>160</v>
      </c>
      <c r="E193" s="20" t="s">
        <v>65</v>
      </c>
      <c r="F193" s="21" t="s">
        <v>69</v>
      </c>
      <c r="G193" t="s">
        <v>799</v>
      </c>
    </row>
    <row r="194" spans="1:7" x14ac:dyDescent="0.3">
      <c r="A194" s="18" t="s">
        <v>62</v>
      </c>
      <c r="B194" s="19">
        <v>45021</v>
      </c>
      <c r="C194" s="20" t="s">
        <v>160</v>
      </c>
      <c r="D194" s="20" t="s">
        <v>147</v>
      </c>
      <c r="E194" s="20" t="s">
        <v>97</v>
      </c>
      <c r="F194" s="21" t="s">
        <v>71</v>
      </c>
      <c r="G194" t="s">
        <v>799</v>
      </c>
    </row>
    <row r="195" spans="1:7" x14ac:dyDescent="0.3">
      <c r="A195" s="18" t="s">
        <v>62</v>
      </c>
      <c r="B195" s="19">
        <v>45021</v>
      </c>
      <c r="C195" s="20" t="s">
        <v>147</v>
      </c>
      <c r="D195" s="20" t="s">
        <v>88</v>
      </c>
      <c r="E195" s="20" t="s">
        <v>87</v>
      </c>
      <c r="F195" s="21" t="s">
        <v>105</v>
      </c>
      <c r="G195" t="s">
        <v>799</v>
      </c>
    </row>
    <row r="196" spans="1:7" x14ac:dyDescent="0.3">
      <c r="A196" s="18" t="s">
        <v>62</v>
      </c>
      <c r="B196" s="19">
        <v>45021</v>
      </c>
      <c r="C196" s="20" t="s">
        <v>161</v>
      </c>
      <c r="D196" s="20" t="s">
        <v>162</v>
      </c>
      <c r="E196" s="20" t="s">
        <v>87</v>
      </c>
      <c r="F196" s="21" t="s">
        <v>150</v>
      </c>
      <c r="G196" t="s">
        <v>799</v>
      </c>
    </row>
    <row r="197" spans="1:7" x14ac:dyDescent="0.3">
      <c r="A197" s="18" t="s">
        <v>62</v>
      </c>
      <c r="B197" s="19">
        <v>45022</v>
      </c>
      <c r="C197" s="20" t="s">
        <v>163</v>
      </c>
      <c r="D197" s="20" t="s">
        <v>164</v>
      </c>
      <c r="E197" s="20" t="s">
        <v>65</v>
      </c>
      <c r="F197" s="21" t="s">
        <v>69</v>
      </c>
      <c r="G197" t="s">
        <v>800</v>
      </c>
    </row>
    <row r="198" spans="1:7" x14ac:dyDescent="0.3">
      <c r="A198" s="18" t="s">
        <v>62</v>
      </c>
      <c r="B198" s="19">
        <v>45022</v>
      </c>
      <c r="C198" s="20" t="s">
        <v>164</v>
      </c>
      <c r="D198" s="20" t="s">
        <v>165</v>
      </c>
      <c r="E198" s="20" t="s">
        <v>65</v>
      </c>
      <c r="F198" s="21" t="s">
        <v>71</v>
      </c>
      <c r="G198" t="s">
        <v>800</v>
      </c>
    </row>
    <row r="199" spans="1:7" x14ac:dyDescent="0.3">
      <c r="A199" s="18" t="s">
        <v>62</v>
      </c>
      <c r="B199" s="19">
        <v>45022</v>
      </c>
      <c r="C199" s="20" t="s">
        <v>165</v>
      </c>
      <c r="D199" s="20" t="s">
        <v>166</v>
      </c>
      <c r="E199" s="20" t="s">
        <v>87</v>
      </c>
      <c r="F199" s="21" t="s">
        <v>105</v>
      </c>
      <c r="G199" t="s">
        <v>800</v>
      </c>
    </row>
    <row r="200" spans="1:7" x14ac:dyDescent="0.3">
      <c r="A200" s="18" t="s">
        <v>62</v>
      </c>
      <c r="B200" s="19">
        <v>45022</v>
      </c>
      <c r="C200" s="20" t="s">
        <v>166</v>
      </c>
      <c r="D200" s="20" t="s">
        <v>167</v>
      </c>
      <c r="E200" s="20" t="s">
        <v>168</v>
      </c>
      <c r="F200" s="21" t="s">
        <v>169</v>
      </c>
      <c r="G200" t="s">
        <v>800</v>
      </c>
    </row>
    <row r="201" spans="1:7" x14ac:dyDescent="0.3">
      <c r="A201" s="18" t="s">
        <v>62</v>
      </c>
      <c r="B201" s="19">
        <v>45022</v>
      </c>
      <c r="C201" s="20" t="s">
        <v>170</v>
      </c>
      <c r="D201" s="20" t="s">
        <v>171</v>
      </c>
      <c r="E201" s="20" t="s">
        <v>65</v>
      </c>
      <c r="F201" s="21" t="s">
        <v>66</v>
      </c>
      <c r="G201" t="s">
        <v>800</v>
      </c>
    </row>
    <row r="202" spans="1:7" x14ac:dyDescent="0.3">
      <c r="A202" s="18" t="s">
        <v>62</v>
      </c>
      <c r="B202" s="19">
        <v>45022</v>
      </c>
      <c r="C202" s="20" t="s">
        <v>172</v>
      </c>
      <c r="D202" s="20" t="s">
        <v>116</v>
      </c>
      <c r="E202" s="20" t="s">
        <v>65</v>
      </c>
      <c r="F202" s="21" t="s">
        <v>69</v>
      </c>
      <c r="G202" t="s">
        <v>800</v>
      </c>
    </row>
    <row r="203" spans="1:7" x14ac:dyDescent="0.3">
      <c r="A203" s="18" t="s">
        <v>62</v>
      </c>
      <c r="B203" s="19">
        <v>45022</v>
      </c>
      <c r="C203" s="20" t="s">
        <v>116</v>
      </c>
      <c r="D203" s="20" t="s">
        <v>173</v>
      </c>
      <c r="E203" s="20" t="s">
        <v>65</v>
      </c>
      <c r="F203" s="21" t="s">
        <v>71</v>
      </c>
      <c r="G203" t="s">
        <v>800</v>
      </c>
    </row>
    <row r="204" spans="1:7" x14ac:dyDescent="0.3">
      <c r="A204" s="18" t="s">
        <v>62</v>
      </c>
      <c r="B204" s="19">
        <v>45022</v>
      </c>
      <c r="C204" s="20" t="s">
        <v>173</v>
      </c>
      <c r="D204" s="20" t="s">
        <v>174</v>
      </c>
      <c r="E204" s="20" t="s">
        <v>65</v>
      </c>
      <c r="F204" s="21" t="s">
        <v>66</v>
      </c>
      <c r="G204" t="s">
        <v>800</v>
      </c>
    </row>
    <row r="205" spans="1:7" x14ac:dyDescent="0.3">
      <c r="A205" s="18" t="s">
        <v>62</v>
      </c>
      <c r="B205" s="19">
        <v>45022</v>
      </c>
      <c r="C205" s="20" t="s">
        <v>174</v>
      </c>
      <c r="D205" s="20" t="s">
        <v>175</v>
      </c>
      <c r="E205" s="20" t="s">
        <v>176</v>
      </c>
      <c r="F205" s="21" t="s">
        <v>74</v>
      </c>
      <c r="G205" t="s">
        <v>800</v>
      </c>
    </row>
    <row r="206" spans="1:7" x14ac:dyDescent="0.3">
      <c r="A206" s="18" t="s">
        <v>62</v>
      </c>
      <c r="B206" s="19">
        <v>45022</v>
      </c>
      <c r="C206" s="20" t="s">
        <v>177</v>
      </c>
      <c r="D206" s="20" t="s">
        <v>178</v>
      </c>
      <c r="E206" s="20" t="s">
        <v>65</v>
      </c>
      <c r="F206" s="21" t="s">
        <v>69</v>
      </c>
      <c r="G206" t="s">
        <v>800</v>
      </c>
    </row>
    <row r="207" spans="1:7" x14ac:dyDescent="0.3">
      <c r="A207" s="18" t="s">
        <v>62</v>
      </c>
      <c r="B207" s="19">
        <v>45022</v>
      </c>
      <c r="C207" s="20" t="s">
        <v>178</v>
      </c>
      <c r="D207" s="20" t="s">
        <v>179</v>
      </c>
      <c r="E207" s="20" t="s">
        <v>97</v>
      </c>
      <c r="F207" s="21" t="s">
        <v>71</v>
      </c>
      <c r="G207" t="s">
        <v>800</v>
      </c>
    </row>
    <row r="208" spans="1:7" x14ac:dyDescent="0.3">
      <c r="A208" s="18" t="s">
        <v>62</v>
      </c>
      <c r="B208" s="19">
        <v>45022</v>
      </c>
      <c r="C208" s="20" t="s">
        <v>179</v>
      </c>
      <c r="D208" s="20" t="s">
        <v>160</v>
      </c>
      <c r="E208" s="20" t="s">
        <v>87</v>
      </c>
      <c r="F208" s="21" t="s">
        <v>105</v>
      </c>
      <c r="G208" t="s">
        <v>800</v>
      </c>
    </row>
    <row r="209" spans="1:7" x14ac:dyDescent="0.3">
      <c r="A209" s="18" t="s">
        <v>62</v>
      </c>
      <c r="B209" s="19">
        <v>45022</v>
      </c>
      <c r="C209" s="20" t="s">
        <v>160</v>
      </c>
      <c r="D209" s="20" t="s">
        <v>180</v>
      </c>
      <c r="E209" s="20" t="s">
        <v>65</v>
      </c>
      <c r="F209" s="21" t="s">
        <v>150</v>
      </c>
      <c r="G209" t="s">
        <v>800</v>
      </c>
    </row>
    <row r="210" spans="1:7" x14ac:dyDescent="0.3">
      <c r="A210" s="18" t="s">
        <v>62</v>
      </c>
      <c r="B210" s="19">
        <v>45022</v>
      </c>
      <c r="C210" s="20" t="s">
        <v>181</v>
      </c>
      <c r="D210" s="20" t="s">
        <v>182</v>
      </c>
      <c r="E210" s="20" t="s">
        <v>85</v>
      </c>
      <c r="F210" s="21" t="s">
        <v>69</v>
      </c>
      <c r="G210" t="s">
        <v>800</v>
      </c>
    </row>
    <row r="211" spans="1:7" x14ac:dyDescent="0.3">
      <c r="A211" s="18" t="s">
        <v>62</v>
      </c>
      <c r="B211" s="19">
        <v>45023</v>
      </c>
      <c r="C211" s="20" t="s">
        <v>183</v>
      </c>
      <c r="D211" s="20" t="s">
        <v>184</v>
      </c>
      <c r="E211" s="20" t="s">
        <v>65</v>
      </c>
      <c r="F211" s="21" t="s">
        <v>69</v>
      </c>
      <c r="G211" t="s">
        <v>801</v>
      </c>
    </row>
    <row r="212" spans="1:7" x14ac:dyDescent="0.3">
      <c r="A212" s="18" t="s">
        <v>62</v>
      </c>
      <c r="B212" s="19">
        <v>45023</v>
      </c>
      <c r="C212" s="20" t="s">
        <v>184</v>
      </c>
      <c r="D212" s="20" t="s">
        <v>185</v>
      </c>
      <c r="E212" s="20" t="s">
        <v>65</v>
      </c>
      <c r="F212" s="21" t="s">
        <v>71</v>
      </c>
      <c r="G212" t="s">
        <v>801</v>
      </c>
    </row>
    <row r="213" spans="1:7" x14ac:dyDescent="0.3">
      <c r="A213" s="18" t="s">
        <v>62</v>
      </c>
      <c r="B213" s="19">
        <v>45023</v>
      </c>
      <c r="C213" s="20" t="s">
        <v>185</v>
      </c>
      <c r="D213" s="20" t="s">
        <v>186</v>
      </c>
      <c r="E213" s="20" t="s">
        <v>85</v>
      </c>
      <c r="F213" s="21" t="s">
        <v>74</v>
      </c>
      <c r="G213" t="s">
        <v>801</v>
      </c>
    </row>
    <row r="214" spans="1:7" x14ac:dyDescent="0.3">
      <c r="A214" s="18" t="s">
        <v>62</v>
      </c>
      <c r="B214" s="19">
        <v>45023</v>
      </c>
      <c r="C214" s="20" t="s">
        <v>187</v>
      </c>
      <c r="D214" s="20" t="s">
        <v>188</v>
      </c>
      <c r="E214" s="20" t="s">
        <v>65</v>
      </c>
      <c r="F214" s="21" t="s">
        <v>69</v>
      </c>
      <c r="G214" t="s">
        <v>801</v>
      </c>
    </row>
    <row r="215" spans="1:7" x14ac:dyDescent="0.3">
      <c r="A215" s="18" t="s">
        <v>62</v>
      </c>
      <c r="B215" s="19">
        <v>45023</v>
      </c>
      <c r="C215" s="20" t="s">
        <v>188</v>
      </c>
      <c r="D215" s="20" t="s">
        <v>189</v>
      </c>
      <c r="E215" s="20" t="s">
        <v>65</v>
      </c>
      <c r="F215" s="21" t="s">
        <v>71</v>
      </c>
      <c r="G215" t="s">
        <v>801</v>
      </c>
    </row>
    <row r="216" spans="1:7" x14ac:dyDescent="0.3">
      <c r="A216" s="18" t="s">
        <v>62</v>
      </c>
      <c r="B216" s="19">
        <v>45023</v>
      </c>
      <c r="C216" s="20" t="s">
        <v>189</v>
      </c>
      <c r="D216" s="20" t="s">
        <v>190</v>
      </c>
      <c r="E216" s="20" t="s">
        <v>122</v>
      </c>
      <c r="F216" s="21" t="s">
        <v>105</v>
      </c>
      <c r="G216" t="s">
        <v>801</v>
      </c>
    </row>
    <row r="217" spans="1:7" x14ac:dyDescent="0.3">
      <c r="A217" s="18" t="s">
        <v>62</v>
      </c>
      <c r="B217" s="19">
        <v>45023</v>
      </c>
      <c r="C217" s="20" t="s">
        <v>190</v>
      </c>
      <c r="D217" s="20" t="s">
        <v>191</v>
      </c>
      <c r="E217" s="20" t="s">
        <v>140</v>
      </c>
      <c r="F217" s="21" t="s">
        <v>89</v>
      </c>
      <c r="G217" t="s">
        <v>801</v>
      </c>
    </row>
    <row r="218" spans="1:7" x14ac:dyDescent="0.3">
      <c r="A218" s="18" t="s">
        <v>62</v>
      </c>
      <c r="B218" s="19">
        <v>45023</v>
      </c>
      <c r="C218" s="20" t="s">
        <v>192</v>
      </c>
      <c r="D218" s="20" t="s">
        <v>193</v>
      </c>
      <c r="E218" s="20" t="s">
        <v>194</v>
      </c>
      <c r="F218" s="21" t="s">
        <v>138</v>
      </c>
      <c r="G218" t="s">
        <v>801</v>
      </c>
    </row>
    <row r="219" spans="1:7" x14ac:dyDescent="0.3">
      <c r="A219" s="18" t="s">
        <v>62</v>
      </c>
      <c r="B219" s="19">
        <v>45023</v>
      </c>
      <c r="C219" s="20" t="s">
        <v>195</v>
      </c>
      <c r="D219" s="20" t="s">
        <v>196</v>
      </c>
      <c r="E219" s="20" t="s">
        <v>151</v>
      </c>
      <c r="F219" s="21" t="s">
        <v>74</v>
      </c>
      <c r="G219" t="s">
        <v>801</v>
      </c>
    </row>
    <row r="220" spans="1:7" x14ac:dyDescent="0.3">
      <c r="A220" s="18" t="s">
        <v>62</v>
      </c>
      <c r="B220" s="19">
        <v>45023</v>
      </c>
      <c r="C220" s="20" t="s">
        <v>197</v>
      </c>
      <c r="D220" s="20" t="s">
        <v>198</v>
      </c>
      <c r="E220" s="20" t="s">
        <v>65</v>
      </c>
      <c r="F220" s="21" t="s">
        <v>69</v>
      </c>
      <c r="G220" t="s">
        <v>801</v>
      </c>
    </row>
    <row r="221" spans="1:7" x14ac:dyDescent="0.3">
      <c r="A221" s="18" t="s">
        <v>62</v>
      </c>
      <c r="B221" s="19">
        <v>45023</v>
      </c>
      <c r="C221" s="20" t="s">
        <v>198</v>
      </c>
      <c r="D221" s="20" t="s">
        <v>199</v>
      </c>
      <c r="E221" s="20" t="s">
        <v>80</v>
      </c>
      <c r="F221" s="21" t="s">
        <v>71</v>
      </c>
      <c r="G221" t="s">
        <v>801</v>
      </c>
    </row>
    <row r="222" spans="1:7" x14ac:dyDescent="0.3">
      <c r="A222" s="18" t="s">
        <v>62</v>
      </c>
      <c r="B222" s="19">
        <v>45023</v>
      </c>
      <c r="C222" s="20" t="s">
        <v>199</v>
      </c>
      <c r="D222" s="20" t="s">
        <v>200</v>
      </c>
      <c r="E222" s="20" t="s">
        <v>73</v>
      </c>
      <c r="F222" s="21" t="s">
        <v>66</v>
      </c>
      <c r="G222" t="s">
        <v>801</v>
      </c>
    </row>
    <row r="223" spans="1:7" x14ac:dyDescent="0.3">
      <c r="A223" s="18" t="s">
        <v>62</v>
      </c>
      <c r="B223" s="19">
        <v>45023</v>
      </c>
      <c r="C223" s="20" t="s">
        <v>200</v>
      </c>
      <c r="D223" s="20" t="s">
        <v>201</v>
      </c>
      <c r="E223" s="20" t="s">
        <v>110</v>
      </c>
      <c r="F223" s="21" t="s">
        <v>105</v>
      </c>
      <c r="G223" t="s">
        <v>801</v>
      </c>
    </row>
    <row r="224" spans="1:7" x14ac:dyDescent="0.3">
      <c r="A224" s="18" t="s">
        <v>62</v>
      </c>
      <c r="B224" s="19">
        <v>45024</v>
      </c>
      <c r="C224" s="20" t="s">
        <v>202</v>
      </c>
      <c r="D224" s="20" t="s">
        <v>203</v>
      </c>
      <c r="E224" s="20" t="s">
        <v>65</v>
      </c>
      <c r="F224" s="21" t="s">
        <v>69</v>
      </c>
      <c r="G224" t="s">
        <v>803</v>
      </c>
    </row>
    <row r="225" spans="1:7" x14ac:dyDescent="0.3">
      <c r="A225" s="18" t="s">
        <v>62</v>
      </c>
      <c r="B225" s="19">
        <v>45024</v>
      </c>
      <c r="C225" s="20" t="s">
        <v>203</v>
      </c>
      <c r="D225" s="20" t="s">
        <v>204</v>
      </c>
      <c r="E225" s="20" t="s">
        <v>80</v>
      </c>
      <c r="F225" s="21" t="s">
        <v>71</v>
      </c>
      <c r="G225" t="s">
        <v>803</v>
      </c>
    </row>
    <row r="226" spans="1:7" x14ac:dyDescent="0.3">
      <c r="A226" s="18" t="s">
        <v>62</v>
      </c>
      <c r="B226" s="19">
        <v>45024</v>
      </c>
      <c r="C226" s="20" t="s">
        <v>205</v>
      </c>
      <c r="D226" s="20" t="s">
        <v>206</v>
      </c>
      <c r="E226" s="20" t="s">
        <v>76</v>
      </c>
      <c r="F226" s="21" t="s">
        <v>74</v>
      </c>
      <c r="G226" t="s">
        <v>803</v>
      </c>
    </row>
    <row r="227" spans="1:7" x14ac:dyDescent="0.3">
      <c r="A227" s="18" t="s">
        <v>62</v>
      </c>
      <c r="B227" s="19">
        <v>45024</v>
      </c>
      <c r="C227" s="20" t="s">
        <v>207</v>
      </c>
      <c r="D227" s="20" t="s">
        <v>208</v>
      </c>
      <c r="E227" s="20" t="s">
        <v>65</v>
      </c>
      <c r="F227" s="21" t="s">
        <v>69</v>
      </c>
      <c r="G227" t="s">
        <v>803</v>
      </c>
    </row>
    <row r="228" spans="1:7" x14ac:dyDescent="0.3">
      <c r="A228" s="18" t="s">
        <v>62</v>
      </c>
      <c r="B228" s="19">
        <v>45024</v>
      </c>
      <c r="C228" s="20" t="s">
        <v>209</v>
      </c>
      <c r="D228" s="20" t="s">
        <v>210</v>
      </c>
      <c r="E228" s="20" t="s">
        <v>65</v>
      </c>
      <c r="F228" s="21" t="s">
        <v>69</v>
      </c>
      <c r="G228" t="s">
        <v>803</v>
      </c>
    </row>
    <row r="229" spans="1:7" x14ac:dyDescent="0.3">
      <c r="A229" s="18" t="s">
        <v>62</v>
      </c>
      <c r="B229" s="19">
        <v>45024</v>
      </c>
      <c r="C229" s="20" t="s">
        <v>210</v>
      </c>
      <c r="D229" s="20" t="s">
        <v>211</v>
      </c>
      <c r="E229" s="20" t="s">
        <v>85</v>
      </c>
      <c r="F229" s="21" t="s">
        <v>74</v>
      </c>
      <c r="G229" t="s">
        <v>803</v>
      </c>
    </row>
    <row r="230" spans="1:7" x14ac:dyDescent="0.3">
      <c r="A230" s="18" t="s">
        <v>62</v>
      </c>
      <c r="B230" s="19">
        <v>45024</v>
      </c>
      <c r="C230" s="20" t="s">
        <v>212</v>
      </c>
      <c r="D230" s="20" t="s">
        <v>213</v>
      </c>
      <c r="E230" s="20" t="s">
        <v>65</v>
      </c>
      <c r="F230" s="21" t="s">
        <v>69</v>
      </c>
      <c r="G230" t="s">
        <v>803</v>
      </c>
    </row>
    <row r="231" spans="1:7" x14ac:dyDescent="0.3">
      <c r="A231" s="18" t="s">
        <v>62</v>
      </c>
      <c r="B231" s="19">
        <v>45024</v>
      </c>
      <c r="C231" s="20" t="s">
        <v>213</v>
      </c>
      <c r="D231" s="20" t="s">
        <v>214</v>
      </c>
      <c r="E231" s="20" t="s">
        <v>85</v>
      </c>
      <c r="F231" s="21" t="s">
        <v>71</v>
      </c>
      <c r="G231" t="s">
        <v>803</v>
      </c>
    </row>
    <row r="232" spans="1:7" x14ac:dyDescent="0.3">
      <c r="A232" s="18" t="s">
        <v>62</v>
      </c>
      <c r="B232" s="19">
        <v>45024</v>
      </c>
      <c r="C232" s="20" t="s">
        <v>214</v>
      </c>
      <c r="D232" s="20" t="s">
        <v>215</v>
      </c>
      <c r="E232" s="20" t="s">
        <v>140</v>
      </c>
      <c r="F232" s="21" t="s">
        <v>105</v>
      </c>
      <c r="G232" t="s">
        <v>803</v>
      </c>
    </row>
    <row r="233" spans="1:7" x14ac:dyDescent="0.3">
      <c r="A233" s="18" t="s">
        <v>62</v>
      </c>
      <c r="B233" s="19">
        <v>45024</v>
      </c>
      <c r="C233" s="20" t="s">
        <v>216</v>
      </c>
      <c r="D233" s="20" t="s">
        <v>217</v>
      </c>
      <c r="E233" s="20" t="s">
        <v>87</v>
      </c>
      <c r="F233" s="21" t="s">
        <v>74</v>
      </c>
      <c r="G233" t="s">
        <v>803</v>
      </c>
    </row>
    <row r="234" spans="1:7" x14ac:dyDescent="0.3">
      <c r="A234" s="18" t="s">
        <v>62</v>
      </c>
      <c r="B234" s="19">
        <v>45024</v>
      </c>
      <c r="C234" s="20" t="s">
        <v>218</v>
      </c>
      <c r="D234" s="20" t="s">
        <v>219</v>
      </c>
      <c r="E234" s="20" t="s">
        <v>65</v>
      </c>
      <c r="F234" s="21" t="s">
        <v>69</v>
      </c>
      <c r="G234" t="s">
        <v>803</v>
      </c>
    </row>
    <row r="235" spans="1:7" x14ac:dyDescent="0.3">
      <c r="A235" s="18" t="s">
        <v>62</v>
      </c>
      <c r="B235" s="19">
        <v>45024</v>
      </c>
      <c r="C235" s="20" t="s">
        <v>219</v>
      </c>
      <c r="D235" s="20" t="s">
        <v>220</v>
      </c>
      <c r="E235" s="20" t="s">
        <v>65</v>
      </c>
      <c r="F235" s="21" t="s">
        <v>71</v>
      </c>
      <c r="G235" t="s">
        <v>803</v>
      </c>
    </row>
    <row r="236" spans="1:7" x14ac:dyDescent="0.3">
      <c r="A236" s="18" t="s">
        <v>62</v>
      </c>
      <c r="B236" s="19">
        <v>45024</v>
      </c>
      <c r="C236" s="20" t="s">
        <v>220</v>
      </c>
      <c r="D236" s="20" t="s">
        <v>180</v>
      </c>
      <c r="E236" s="20" t="s">
        <v>221</v>
      </c>
      <c r="F236" s="21" t="s">
        <v>66</v>
      </c>
      <c r="G236" t="s">
        <v>803</v>
      </c>
    </row>
    <row r="237" spans="1:7" x14ac:dyDescent="0.3">
      <c r="A237" s="18" t="s">
        <v>62</v>
      </c>
      <c r="B237" s="19">
        <v>45024</v>
      </c>
      <c r="C237" s="20" t="s">
        <v>180</v>
      </c>
      <c r="D237" s="20" t="s">
        <v>148</v>
      </c>
      <c r="E237" s="20" t="s">
        <v>122</v>
      </c>
      <c r="F237" s="21" t="s">
        <v>105</v>
      </c>
      <c r="G237" t="s">
        <v>803</v>
      </c>
    </row>
    <row r="238" spans="1:7" x14ac:dyDescent="0.3">
      <c r="A238" s="18" t="s">
        <v>62</v>
      </c>
      <c r="B238" s="19">
        <v>45024</v>
      </c>
      <c r="C238" s="20" t="s">
        <v>148</v>
      </c>
      <c r="D238" s="20" t="s">
        <v>88</v>
      </c>
      <c r="E238" s="20" t="s">
        <v>97</v>
      </c>
      <c r="F238" s="21" t="s">
        <v>89</v>
      </c>
      <c r="G238" t="s">
        <v>803</v>
      </c>
    </row>
    <row r="239" spans="1:7" x14ac:dyDescent="0.3">
      <c r="A239" s="18" t="s">
        <v>62</v>
      </c>
      <c r="B239" s="19">
        <v>45025</v>
      </c>
      <c r="C239" s="20" t="s">
        <v>222</v>
      </c>
      <c r="D239" s="20" t="s">
        <v>223</v>
      </c>
      <c r="E239" s="20" t="s">
        <v>65</v>
      </c>
      <c r="F239" s="21" t="s">
        <v>69</v>
      </c>
      <c r="G239" t="s">
        <v>802</v>
      </c>
    </row>
    <row r="240" spans="1:7" x14ac:dyDescent="0.3">
      <c r="A240" s="18" t="s">
        <v>62</v>
      </c>
      <c r="B240" s="19">
        <v>45025</v>
      </c>
      <c r="C240" s="20" t="s">
        <v>224</v>
      </c>
      <c r="D240" s="20" t="s">
        <v>225</v>
      </c>
      <c r="E240" s="20" t="s">
        <v>65</v>
      </c>
      <c r="F240" s="21" t="s">
        <v>69</v>
      </c>
      <c r="G240" t="s">
        <v>802</v>
      </c>
    </row>
    <row r="241" spans="1:7" x14ac:dyDescent="0.3">
      <c r="A241" s="18" t="s">
        <v>62</v>
      </c>
      <c r="B241" s="19">
        <v>45025</v>
      </c>
      <c r="C241" s="20" t="s">
        <v>225</v>
      </c>
      <c r="D241" s="20" t="s">
        <v>226</v>
      </c>
      <c r="E241" s="20" t="s">
        <v>97</v>
      </c>
      <c r="F241" s="21" t="s">
        <v>71</v>
      </c>
      <c r="G241" t="s">
        <v>802</v>
      </c>
    </row>
    <row r="242" spans="1:7" x14ac:dyDescent="0.3">
      <c r="A242" s="18" t="s">
        <v>62</v>
      </c>
      <c r="B242" s="19">
        <v>45025</v>
      </c>
      <c r="C242" s="20" t="s">
        <v>226</v>
      </c>
      <c r="D242" s="20" t="s">
        <v>227</v>
      </c>
      <c r="E242" s="20" t="s">
        <v>228</v>
      </c>
      <c r="F242" s="21" t="s">
        <v>74</v>
      </c>
      <c r="G242" t="s">
        <v>802</v>
      </c>
    </row>
    <row r="243" spans="1:7" x14ac:dyDescent="0.3">
      <c r="A243" s="18" t="s">
        <v>62</v>
      </c>
      <c r="B243" s="19">
        <v>45025</v>
      </c>
      <c r="C243" s="20" t="s">
        <v>229</v>
      </c>
      <c r="D243" s="20" t="s">
        <v>230</v>
      </c>
      <c r="E243" s="20" t="s">
        <v>65</v>
      </c>
      <c r="F243" s="21" t="s">
        <v>69</v>
      </c>
      <c r="G243" t="s">
        <v>802</v>
      </c>
    </row>
    <row r="244" spans="1:7" x14ac:dyDescent="0.3">
      <c r="A244" s="18" t="s">
        <v>62</v>
      </c>
      <c r="B244" s="19">
        <v>45025</v>
      </c>
      <c r="C244" s="20" t="s">
        <v>230</v>
      </c>
      <c r="D244" s="20" t="s">
        <v>231</v>
      </c>
      <c r="E244" s="20" t="s">
        <v>65</v>
      </c>
      <c r="F244" s="21" t="s">
        <v>71</v>
      </c>
      <c r="G244" t="s">
        <v>802</v>
      </c>
    </row>
    <row r="245" spans="1:7" x14ac:dyDescent="0.3">
      <c r="A245" s="18" t="s">
        <v>62</v>
      </c>
      <c r="B245" s="19">
        <v>45025</v>
      </c>
      <c r="C245" s="20" t="s">
        <v>231</v>
      </c>
      <c r="D245" s="20" t="s">
        <v>232</v>
      </c>
      <c r="E245" s="20" t="s">
        <v>140</v>
      </c>
      <c r="F245" s="21" t="s">
        <v>105</v>
      </c>
      <c r="G245" t="s">
        <v>802</v>
      </c>
    </row>
    <row r="246" spans="1:7" x14ac:dyDescent="0.3">
      <c r="A246" s="18" t="s">
        <v>62</v>
      </c>
      <c r="B246" s="19">
        <v>45025</v>
      </c>
      <c r="C246" s="20" t="s">
        <v>233</v>
      </c>
      <c r="D246" s="20" t="s">
        <v>234</v>
      </c>
      <c r="E246" s="20" t="s">
        <v>176</v>
      </c>
      <c r="F246" s="21" t="s">
        <v>74</v>
      </c>
      <c r="G246" t="s">
        <v>802</v>
      </c>
    </row>
    <row r="247" spans="1:7" x14ac:dyDescent="0.3">
      <c r="A247" s="18" t="s">
        <v>62</v>
      </c>
      <c r="B247" s="19">
        <v>45025</v>
      </c>
      <c r="C247" s="20" t="s">
        <v>235</v>
      </c>
      <c r="D247" s="20" t="s">
        <v>236</v>
      </c>
      <c r="E247" s="20" t="s">
        <v>65</v>
      </c>
      <c r="F247" s="21" t="s">
        <v>69</v>
      </c>
      <c r="G247" t="s">
        <v>802</v>
      </c>
    </row>
    <row r="248" spans="1:7" x14ac:dyDescent="0.3">
      <c r="A248" s="18" t="s">
        <v>62</v>
      </c>
      <c r="B248" s="19">
        <v>45025</v>
      </c>
      <c r="C248" s="20" t="s">
        <v>236</v>
      </c>
      <c r="D248" s="20" t="s">
        <v>237</v>
      </c>
      <c r="E248" s="20" t="s">
        <v>65</v>
      </c>
      <c r="F248" s="21" t="s">
        <v>71</v>
      </c>
      <c r="G248" t="s">
        <v>802</v>
      </c>
    </row>
    <row r="249" spans="1:7" x14ac:dyDescent="0.3">
      <c r="A249" s="18" t="s">
        <v>62</v>
      </c>
      <c r="B249" s="19">
        <v>45025</v>
      </c>
      <c r="C249" s="20" t="s">
        <v>237</v>
      </c>
      <c r="D249" s="20" t="s">
        <v>238</v>
      </c>
      <c r="E249" s="20" t="s">
        <v>65</v>
      </c>
      <c r="F249" s="21" t="s">
        <v>66</v>
      </c>
      <c r="G249" t="s">
        <v>802</v>
      </c>
    </row>
    <row r="250" spans="1:7" x14ac:dyDescent="0.3">
      <c r="A250" s="18" t="s">
        <v>62</v>
      </c>
      <c r="B250" s="19">
        <v>45025</v>
      </c>
      <c r="C250" s="20" t="s">
        <v>238</v>
      </c>
      <c r="D250" s="20" t="s">
        <v>110</v>
      </c>
      <c r="E250" s="20" t="s">
        <v>104</v>
      </c>
      <c r="F250" s="21" t="s">
        <v>105</v>
      </c>
      <c r="G250" t="s">
        <v>802</v>
      </c>
    </row>
    <row r="251" spans="1:7" x14ac:dyDescent="0.3">
      <c r="A251" s="18" t="s">
        <v>62</v>
      </c>
      <c r="B251" s="19">
        <v>45026</v>
      </c>
      <c r="C251" s="20" t="s">
        <v>239</v>
      </c>
      <c r="D251" s="20" t="s">
        <v>240</v>
      </c>
      <c r="E251" s="20" t="s">
        <v>65</v>
      </c>
      <c r="F251" s="21" t="s">
        <v>69</v>
      </c>
      <c r="G251" t="s">
        <v>797</v>
      </c>
    </row>
    <row r="252" spans="1:7" x14ac:dyDescent="0.3">
      <c r="A252" s="18" t="s">
        <v>62</v>
      </c>
      <c r="B252" s="19">
        <v>45026</v>
      </c>
      <c r="C252" s="20" t="s">
        <v>240</v>
      </c>
      <c r="D252" s="20" t="s">
        <v>241</v>
      </c>
      <c r="E252" s="20" t="s">
        <v>65</v>
      </c>
      <c r="F252" s="21" t="s">
        <v>71</v>
      </c>
      <c r="G252" t="s">
        <v>797</v>
      </c>
    </row>
    <row r="253" spans="1:7" x14ac:dyDescent="0.3">
      <c r="A253" s="18" t="s">
        <v>62</v>
      </c>
      <c r="B253" s="19">
        <v>45026</v>
      </c>
      <c r="C253" s="20" t="s">
        <v>241</v>
      </c>
      <c r="D253" s="20" t="s">
        <v>108</v>
      </c>
      <c r="E253" s="20" t="s">
        <v>99</v>
      </c>
      <c r="F253" s="21" t="s">
        <v>74</v>
      </c>
      <c r="G253" t="s">
        <v>797</v>
      </c>
    </row>
    <row r="254" spans="1:7" x14ac:dyDescent="0.3">
      <c r="A254" s="18" t="s">
        <v>62</v>
      </c>
      <c r="B254" s="19">
        <v>45026</v>
      </c>
      <c r="C254" s="20" t="s">
        <v>242</v>
      </c>
      <c r="D254" s="20" t="s">
        <v>243</v>
      </c>
      <c r="E254" s="20" t="s">
        <v>221</v>
      </c>
      <c r="F254" s="21" t="s">
        <v>150</v>
      </c>
      <c r="G254" t="s">
        <v>797</v>
      </c>
    </row>
    <row r="255" spans="1:7" x14ac:dyDescent="0.3">
      <c r="A255" s="18" t="s">
        <v>62</v>
      </c>
      <c r="B255" s="19">
        <v>45026</v>
      </c>
      <c r="C255" s="20" t="s">
        <v>244</v>
      </c>
      <c r="D255" s="20" t="s">
        <v>245</v>
      </c>
      <c r="E255" s="20" t="s">
        <v>246</v>
      </c>
      <c r="F255" s="21" t="s">
        <v>138</v>
      </c>
      <c r="G255" t="s">
        <v>797</v>
      </c>
    </row>
    <row r="256" spans="1:7" x14ac:dyDescent="0.3">
      <c r="A256" s="18" t="s">
        <v>62</v>
      </c>
      <c r="B256" s="19">
        <v>45026</v>
      </c>
      <c r="C256" s="20" t="s">
        <v>245</v>
      </c>
      <c r="D256" s="20" t="s">
        <v>111</v>
      </c>
      <c r="E256" s="20" t="s">
        <v>247</v>
      </c>
      <c r="F256" s="21" t="s">
        <v>248</v>
      </c>
      <c r="G256" t="s">
        <v>797</v>
      </c>
    </row>
    <row r="257" spans="1:7" x14ac:dyDescent="0.3">
      <c r="A257" s="18" t="s">
        <v>62</v>
      </c>
      <c r="B257" s="19">
        <v>45026</v>
      </c>
      <c r="C257" s="20" t="s">
        <v>111</v>
      </c>
      <c r="D257" s="20" t="s">
        <v>249</v>
      </c>
      <c r="E257" s="20" t="s">
        <v>140</v>
      </c>
      <c r="F257" s="21" t="s">
        <v>105</v>
      </c>
      <c r="G257" t="s">
        <v>797</v>
      </c>
    </row>
    <row r="258" spans="1:7" x14ac:dyDescent="0.3">
      <c r="A258" s="18" t="s">
        <v>62</v>
      </c>
      <c r="B258" s="19">
        <v>45026</v>
      </c>
      <c r="C258" s="20" t="s">
        <v>250</v>
      </c>
      <c r="D258" s="20" t="s">
        <v>251</v>
      </c>
      <c r="E258" s="20" t="s">
        <v>252</v>
      </c>
      <c r="F258" s="21" t="s">
        <v>253</v>
      </c>
      <c r="G258" t="s">
        <v>797</v>
      </c>
    </row>
    <row r="259" spans="1:7" x14ac:dyDescent="0.3">
      <c r="A259" s="18" t="s">
        <v>62</v>
      </c>
      <c r="B259" s="19">
        <v>45026</v>
      </c>
      <c r="C259" s="20" t="s">
        <v>251</v>
      </c>
      <c r="D259" s="20" t="s">
        <v>254</v>
      </c>
      <c r="E259" s="20" t="s">
        <v>255</v>
      </c>
      <c r="F259" s="21" t="s">
        <v>253</v>
      </c>
      <c r="G259" t="s">
        <v>797</v>
      </c>
    </row>
    <row r="260" spans="1:7" x14ac:dyDescent="0.3">
      <c r="A260" s="18" t="s">
        <v>62</v>
      </c>
      <c r="B260" s="19">
        <v>45027</v>
      </c>
      <c r="C260" s="20" t="s">
        <v>256</v>
      </c>
      <c r="D260" s="20" t="s">
        <v>257</v>
      </c>
      <c r="E260" s="20" t="s">
        <v>65</v>
      </c>
      <c r="F260" s="21" t="s">
        <v>69</v>
      </c>
      <c r="G260" t="s">
        <v>798</v>
      </c>
    </row>
    <row r="261" spans="1:7" x14ac:dyDescent="0.3">
      <c r="A261" s="18" t="s">
        <v>62</v>
      </c>
      <c r="B261" s="19">
        <v>45027</v>
      </c>
      <c r="C261" s="20" t="s">
        <v>257</v>
      </c>
      <c r="D261" s="20" t="s">
        <v>258</v>
      </c>
      <c r="E261" s="20" t="s">
        <v>97</v>
      </c>
      <c r="F261" s="21" t="s">
        <v>71</v>
      </c>
      <c r="G261" t="s">
        <v>798</v>
      </c>
    </row>
    <row r="262" spans="1:7" x14ac:dyDescent="0.3">
      <c r="A262" s="18" t="s">
        <v>62</v>
      </c>
      <c r="B262" s="19">
        <v>45027</v>
      </c>
      <c r="C262" s="20" t="s">
        <v>125</v>
      </c>
      <c r="D262" s="20" t="s">
        <v>93</v>
      </c>
      <c r="E262" s="20" t="s">
        <v>99</v>
      </c>
      <c r="F262" s="21" t="s">
        <v>74</v>
      </c>
      <c r="G262" t="s">
        <v>798</v>
      </c>
    </row>
    <row r="263" spans="1:7" x14ac:dyDescent="0.3">
      <c r="A263" s="18" t="s">
        <v>62</v>
      </c>
      <c r="B263" s="19">
        <v>45027</v>
      </c>
      <c r="C263" s="20" t="s">
        <v>259</v>
      </c>
      <c r="D263" s="20" t="s">
        <v>260</v>
      </c>
      <c r="E263" s="20" t="s">
        <v>65</v>
      </c>
      <c r="F263" s="21" t="s">
        <v>69</v>
      </c>
      <c r="G263" t="s">
        <v>798</v>
      </c>
    </row>
    <row r="264" spans="1:7" x14ac:dyDescent="0.3">
      <c r="A264" s="18" t="s">
        <v>62</v>
      </c>
      <c r="B264" s="19">
        <v>45027</v>
      </c>
      <c r="C264" s="20" t="s">
        <v>261</v>
      </c>
      <c r="D264" s="20" t="s">
        <v>190</v>
      </c>
      <c r="E264" s="20" t="s">
        <v>65</v>
      </c>
      <c r="F264" s="21" t="s">
        <v>69</v>
      </c>
      <c r="G264" t="s">
        <v>798</v>
      </c>
    </row>
    <row r="265" spans="1:7" x14ac:dyDescent="0.3">
      <c r="A265" s="18" t="s">
        <v>62</v>
      </c>
      <c r="B265" s="19">
        <v>45027</v>
      </c>
      <c r="C265" s="20" t="s">
        <v>190</v>
      </c>
      <c r="D265" s="20" t="s">
        <v>262</v>
      </c>
      <c r="E265" s="20" t="s">
        <v>65</v>
      </c>
      <c r="F265" s="21" t="s">
        <v>71</v>
      </c>
      <c r="G265" t="s">
        <v>798</v>
      </c>
    </row>
    <row r="266" spans="1:7" x14ac:dyDescent="0.3">
      <c r="A266" s="18" t="s">
        <v>62</v>
      </c>
      <c r="B266" s="19">
        <v>45027</v>
      </c>
      <c r="C266" s="20" t="s">
        <v>262</v>
      </c>
      <c r="D266" s="20" t="s">
        <v>263</v>
      </c>
      <c r="E266" s="20" t="s">
        <v>122</v>
      </c>
      <c r="F266" s="21" t="s">
        <v>105</v>
      </c>
      <c r="G266" t="s">
        <v>798</v>
      </c>
    </row>
    <row r="267" spans="1:7" x14ac:dyDescent="0.3">
      <c r="A267" s="18" t="s">
        <v>62</v>
      </c>
      <c r="B267" s="19">
        <v>45027</v>
      </c>
      <c r="C267" s="20" t="s">
        <v>263</v>
      </c>
      <c r="D267" s="20" t="s">
        <v>163</v>
      </c>
      <c r="E267" s="20" t="s">
        <v>264</v>
      </c>
      <c r="F267" s="21" t="s">
        <v>89</v>
      </c>
      <c r="G267" t="s">
        <v>798</v>
      </c>
    </row>
    <row r="268" spans="1:7" x14ac:dyDescent="0.3">
      <c r="A268" s="18" t="s">
        <v>62</v>
      </c>
      <c r="B268" s="19">
        <v>45027</v>
      </c>
      <c r="C268" s="20" t="s">
        <v>265</v>
      </c>
      <c r="D268" s="20" t="s">
        <v>266</v>
      </c>
      <c r="E268" s="20" t="s">
        <v>85</v>
      </c>
      <c r="F268" s="21" t="s">
        <v>66</v>
      </c>
      <c r="G268" t="s">
        <v>798</v>
      </c>
    </row>
    <row r="269" spans="1:7" x14ac:dyDescent="0.3">
      <c r="A269" s="18" t="s">
        <v>62</v>
      </c>
      <c r="B269" s="19">
        <v>45027</v>
      </c>
      <c r="C269" s="20" t="s">
        <v>267</v>
      </c>
      <c r="D269" s="20" t="s">
        <v>251</v>
      </c>
      <c r="E269" s="20" t="s">
        <v>268</v>
      </c>
      <c r="F269" s="21" t="s">
        <v>253</v>
      </c>
      <c r="G269" t="s">
        <v>798</v>
      </c>
    </row>
    <row r="270" spans="1:7" x14ac:dyDescent="0.3">
      <c r="A270" s="18" t="s">
        <v>62</v>
      </c>
      <c r="B270" s="19">
        <v>45027</v>
      </c>
      <c r="C270" s="20" t="s">
        <v>251</v>
      </c>
      <c r="D270" s="20" t="s">
        <v>269</v>
      </c>
      <c r="E270" s="20" t="s">
        <v>270</v>
      </c>
      <c r="F270" s="21" t="s">
        <v>253</v>
      </c>
      <c r="G270" t="s">
        <v>798</v>
      </c>
    </row>
    <row r="271" spans="1:7" x14ac:dyDescent="0.3">
      <c r="A271" s="18" t="s">
        <v>62</v>
      </c>
      <c r="B271" s="19">
        <v>45028</v>
      </c>
      <c r="C271" s="20" t="s">
        <v>271</v>
      </c>
      <c r="D271" s="20" t="s">
        <v>272</v>
      </c>
      <c r="E271" s="20" t="s">
        <v>76</v>
      </c>
      <c r="F271" s="21" t="s">
        <v>69</v>
      </c>
      <c r="G271" t="s">
        <v>799</v>
      </c>
    </row>
    <row r="272" spans="1:7" x14ac:dyDescent="0.3">
      <c r="A272" s="18" t="s">
        <v>62</v>
      </c>
      <c r="B272" s="19">
        <v>45028</v>
      </c>
      <c r="C272" s="20" t="s">
        <v>273</v>
      </c>
      <c r="D272" s="20" t="s">
        <v>274</v>
      </c>
      <c r="E272" s="20" t="s">
        <v>65</v>
      </c>
      <c r="F272" s="21" t="s">
        <v>69</v>
      </c>
      <c r="G272" t="s">
        <v>799</v>
      </c>
    </row>
    <row r="273" spans="1:7" x14ac:dyDescent="0.3">
      <c r="A273" s="18" t="s">
        <v>62</v>
      </c>
      <c r="B273" s="19">
        <v>45028</v>
      </c>
      <c r="C273" s="20" t="s">
        <v>274</v>
      </c>
      <c r="D273" s="20" t="s">
        <v>92</v>
      </c>
      <c r="E273" s="20" t="s">
        <v>97</v>
      </c>
      <c r="F273" s="21" t="s">
        <v>71</v>
      </c>
      <c r="G273" t="s">
        <v>799</v>
      </c>
    </row>
    <row r="274" spans="1:7" x14ac:dyDescent="0.3">
      <c r="A274" s="18" t="s">
        <v>62</v>
      </c>
      <c r="B274" s="19">
        <v>45028</v>
      </c>
      <c r="C274" s="20" t="s">
        <v>92</v>
      </c>
      <c r="D274" s="20" t="s">
        <v>93</v>
      </c>
      <c r="E274" s="20" t="s">
        <v>65</v>
      </c>
      <c r="F274" s="21" t="s">
        <v>66</v>
      </c>
      <c r="G274" t="s">
        <v>799</v>
      </c>
    </row>
    <row r="275" spans="1:7" x14ac:dyDescent="0.3">
      <c r="A275" s="18" t="s">
        <v>62</v>
      </c>
      <c r="B275" s="19">
        <v>45028</v>
      </c>
      <c r="C275" s="20" t="s">
        <v>93</v>
      </c>
      <c r="D275" s="20" t="s">
        <v>275</v>
      </c>
      <c r="E275" s="20" t="s">
        <v>110</v>
      </c>
      <c r="F275" s="21" t="s">
        <v>74</v>
      </c>
      <c r="G275" t="s">
        <v>799</v>
      </c>
    </row>
    <row r="276" spans="1:7" x14ac:dyDescent="0.3">
      <c r="A276" s="18" t="s">
        <v>62</v>
      </c>
      <c r="B276" s="19">
        <v>45028</v>
      </c>
      <c r="C276" s="20" t="s">
        <v>276</v>
      </c>
      <c r="D276" s="20" t="s">
        <v>277</v>
      </c>
      <c r="E276" s="20" t="s">
        <v>65</v>
      </c>
      <c r="F276" s="21" t="s">
        <v>69</v>
      </c>
      <c r="G276" t="s">
        <v>799</v>
      </c>
    </row>
    <row r="277" spans="1:7" x14ac:dyDescent="0.3">
      <c r="A277" s="18" t="s">
        <v>62</v>
      </c>
      <c r="B277" s="19">
        <v>45028</v>
      </c>
      <c r="C277" s="20" t="s">
        <v>277</v>
      </c>
      <c r="D277" s="20" t="s">
        <v>278</v>
      </c>
      <c r="E277" s="20" t="s">
        <v>97</v>
      </c>
      <c r="F277" s="21" t="s">
        <v>71</v>
      </c>
      <c r="G277" t="s">
        <v>799</v>
      </c>
    </row>
    <row r="278" spans="1:7" x14ac:dyDescent="0.3">
      <c r="A278" s="18" t="s">
        <v>62</v>
      </c>
      <c r="B278" s="19">
        <v>45028</v>
      </c>
      <c r="C278" s="20" t="s">
        <v>278</v>
      </c>
      <c r="D278" s="20" t="s">
        <v>279</v>
      </c>
      <c r="E278" s="20" t="s">
        <v>87</v>
      </c>
      <c r="F278" s="21" t="s">
        <v>105</v>
      </c>
      <c r="G278" t="s">
        <v>799</v>
      </c>
    </row>
    <row r="279" spans="1:7" x14ac:dyDescent="0.3">
      <c r="A279" s="18" t="s">
        <v>62</v>
      </c>
      <c r="B279" s="19">
        <v>45028</v>
      </c>
      <c r="C279" s="20" t="s">
        <v>279</v>
      </c>
      <c r="D279" s="20" t="s">
        <v>280</v>
      </c>
      <c r="E279" s="20" t="s">
        <v>65</v>
      </c>
      <c r="F279" s="21" t="s">
        <v>89</v>
      </c>
      <c r="G279" t="s">
        <v>799</v>
      </c>
    </row>
    <row r="280" spans="1:7" x14ac:dyDescent="0.3">
      <c r="A280" s="18" t="s">
        <v>62</v>
      </c>
      <c r="B280" s="19">
        <v>45028</v>
      </c>
      <c r="C280" s="20" t="s">
        <v>281</v>
      </c>
      <c r="D280" s="20" t="s">
        <v>282</v>
      </c>
      <c r="E280" s="20" t="s">
        <v>221</v>
      </c>
      <c r="F280" s="21" t="s">
        <v>74</v>
      </c>
      <c r="G280" t="s">
        <v>799</v>
      </c>
    </row>
    <row r="281" spans="1:7" x14ac:dyDescent="0.3">
      <c r="A281" s="18" t="s">
        <v>62</v>
      </c>
      <c r="B281" s="19">
        <v>45028</v>
      </c>
      <c r="C281" s="20" t="s">
        <v>283</v>
      </c>
      <c r="D281" s="20" t="s">
        <v>284</v>
      </c>
      <c r="E281" s="20" t="s">
        <v>285</v>
      </c>
      <c r="F281" s="21" t="s">
        <v>253</v>
      </c>
      <c r="G281" t="s">
        <v>799</v>
      </c>
    </row>
    <row r="282" spans="1:7" x14ac:dyDescent="0.3">
      <c r="A282" s="18" t="s">
        <v>62</v>
      </c>
      <c r="B282" s="19">
        <v>45028</v>
      </c>
      <c r="C282" s="20" t="s">
        <v>286</v>
      </c>
      <c r="D282" s="20" t="s">
        <v>284</v>
      </c>
      <c r="E282" s="20" t="s">
        <v>287</v>
      </c>
      <c r="F282" s="21" t="s">
        <v>253</v>
      </c>
      <c r="G282" t="s">
        <v>799</v>
      </c>
    </row>
    <row r="283" spans="1:7" x14ac:dyDescent="0.3">
      <c r="A283" s="18" t="s">
        <v>62</v>
      </c>
      <c r="B283" s="19">
        <v>45029</v>
      </c>
      <c r="C283" s="20" t="s">
        <v>288</v>
      </c>
      <c r="D283" s="20" t="s">
        <v>289</v>
      </c>
      <c r="E283" s="20" t="s">
        <v>65</v>
      </c>
      <c r="F283" s="21" t="s">
        <v>69</v>
      </c>
      <c r="G283" t="s">
        <v>800</v>
      </c>
    </row>
    <row r="284" spans="1:7" x14ac:dyDescent="0.3">
      <c r="A284" s="18" t="s">
        <v>62</v>
      </c>
      <c r="B284" s="19">
        <v>45029</v>
      </c>
      <c r="C284" s="20" t="s">
        <v>289</v>
      </c>
      <c r="D284" s="20" t="s">
        <v>290</v>
      </c>
      <c r="E284" s="20" t="s">
        <v>65</v>
      </c>
      <c r="F284" s="21" t="s">
        <v>71</v>
      </c>
      <c r="G284" t="s">
        <v>800</v>
      </c>
    </row>
    <row r="285" spans="1:7" x14ac:dyDescent="0.3">
      <c r="A285" s="18" t="s">
        <v>62</v>
      </c>
      <c r="B285" s="19">
        <v>45029</v>
      </c>
      <c r="C285" s="20" t="s">
        <v>290</v>
      </c>
      <c r="D285" s="20" t="s">
        <v>291</v>
      </c>
      <c r="E285" s="20" t="s">
        <v>292</v>
      </c>
      <c r="F285" s="21" t="s">
        <v>74</v>
      </c>
      <c r="G285" t="s">
        <v>800</v>
      </c>
    </row>
    <row r="286" spans="1:7" x14ac:dyDescent="0.3">
      <c r="A286" s="18" t="s">
        <v>62</v>
      </c>
      <c r="B286" s="19">
        <v>45029</v>
      </c>
      <c r="C286" s="20" t="s">
        <v>163</v>
      </c>
      <c r="D286" s="20" t="s">
        <v>164</v>
      </c>
      <c r="E286" s="20" t="s">
        <v>65</v>
      </c>
      <c r="F286" s="21" t="s">
        <v>69</v>
      </c>
      <c r="G286" t="s">
        <v>800</v>
      </c>
    </row>
    <row r="287" spans="1:7" x14ac:dyDescent="0.3">
      <c r="A287" s="18" t="s">
        <v>62</v>
      </c>
      <c r="B287" s="19">
        <v>45029</v>
      </c>
      <c r="C287" s="20" t="s">
        <v>164</v>
      </c>
      <c r="D287" s="20" t="s">
        <v>293</v>
      </c>
      <c r="E287" s="20" t="s">
        <v>80</v>
      </c>
      <c r="F287" s="21" t="s">
        <v>71</v>
      </c>
      <c r="G287" t="s">
        <v>800</v>
      </c>
    </row>
    <row r="288" spans="1:7" x14ac:dyDescent="0.3">
      <c r="A288" s="18" t="s">
        <v>62</v>
      </c>
      <c r="B288" s="19">
        <v>45029</v>
      </c>
      <c r="C288" s="20" t="s">
        <v>293</v>
      </c>
      <c r="D288" s="20" t="s">
        <v>294</v>
      </c>
      <c r="E288" s="20" t="s">
        <v>87</v>
      </c>
      <c r="F288" s="21" t="s">
        <v>105</v>
      </c>
      <c r="G288" t="s">
        <v>800</v>
      </c>
    </row>
    <row r="289" spans="1:7" x14ac:dyDescent="0.3">
      <c r="A289" s="18" t="s">
        <v>62</v>
      </c>
      <c r="B289" s="19">
        <v>45029</v>
      </c>
      <c r="C289" s="20" t="s">
        <v>295</v>
      </c>
      <c r="D289" s="20" t="s">
        <v>229</v>
      </c>
      <c r="E289" s="20" t="s">
        <v>149</v>
      </c>
      <c r="F289" s="21" t="s">
        <v>169</v>
      </c>
      <c r="G289" t="s">
        <v>800</v>
      </c>
    </row>
    <row r="290" spans="1:7" x14ac:dyDescent="0.3">
      <c r="A290" s="18" t="s">
        <v>62</v>
      </c>
      <c r="B290" s="19">
        <v>45029</v>
      </c>
      <c r="C290" s="20" t="s">
        <v>216</v>
      </c>
      <c r="D290" s="20" t="s">
        <v>217</v>
      </c>
      <c r="E290" s="20" t="s">
        <v>87</v>
      </c>
      <c r="F290" s="21" t="s">
        <v>74</v>
      </c>
      <c r="G290" t="s">
        <v>800</v>
      </c>
    </row>
    <row r="291" spans="1:7" x14ac:dyDescent="0.3">
      <c r="A291" s="18" t="s">
        <v>62</v>
      </c>
      <c r="B291" s="19">
        <v>45030</v>
      </c>
      <c r="C291" s="20" t="s">
        <v>296</v>
      </c>
      <c r="D291" s="20" t="s">
        <v>297</v>
      </c>
      <c r="E291" s="20" t="s">
        <v>85</v>
      </c>
      <c r="F291" s="21" t="s">
        <v>69</v>
      </c>
      <c r="G291" t="s">
        <v>801</v>
      </c>
    </row>
    <row r="292" spans="1:7" x14ac:dyDescent="0.3">
      <c r="A292" s="18" t="s">
        <v>62</v>
      </c>
      <c r="B292" s="19">
        <v>45030</v>
      </c>
      <c r="C292" s="20" t="s">
        <v>297</v>
      </c>
      <c r="D292" s="20" t="s">
        <v>298</v>
      </c>
      <c r="E292" s="20" t="s">
        <v>65</v>
      </c>
      <c r="F292" s="21" t="s">
        <v>71</v>
      </c>
      <c r="G292" t="s">
        <v>801</v>
      </c>
    </row>
    <row r="293" spans="1:7" x14ac:dyDescent="0.3">
      <c r="A293" s="18" t="s">
        <v>62</v>
      </c>
      <c r="B293" s="19">
        <v>45030</v>
      </c>
      <c r="C293" s="20" t="s">
        <v>298</v>
      </c>
      <c r="D293" s="20" t="s">
        <v>232</v>
      </c>
      <c r="E293" s="20" t="s">
        <v>299</v>
      </c>
      <c r="F293" s="21" t="s">
        <v>105</v>
      </c>
      <c r="G293" t="s">
        <v>801</v>
      </c>
    </row>
    <row r="294" spans="1:7" x14ac:dyDescent="0.3">
      <c r="A294" s="18" t="s">
        <v>62</v>
      </c>
      <c r="B294" s="19">
        <v>45030</v>
      </c>
      <c r="C294" s="20" t="s">
        <v>300</v>
      </c>
      <c r="D294" s="20" t="s">
        <v>301</v>
      </c>
      <c r="E294" s="20" t="s">
        <v>65</v>
      </c>
      <c r="F294" s="21" t="s">
        <v>74</v>
      </c>
      <c r="G294" t="s">
        <v>801</v>
      </c>
    </row>
    <row r="295" spans="1:7" x14ac:dyDescent="0.3">
      <c r="A295" s="18" t="s">
        <v>62</v>
      </c>
      <c r="B295" s="19">
        <v>45030</v>
      </c>
      <c r="C295" s="20" t="s">
        <v>250</v>
      </c>
      <c r="D295" s="20" t="s">
        <v>302</v>
      </c>
      <c r="E295" s="20" t="s">
        <v>303</v>
      </c>
      <c r="F295" s="21" t="s">
        <v>74</v>
      </c>
      <c r="G295" t="s">
        <v>801</v>
      </c>
    </row>
    <row r="296" spans="1:7" x14ac:dyDescent="0.3">
      <c r="A296" s="18" t="s">
        <v>62</v>
      </c>
      <c r="B296" s="19">
        <v>45030</v>
      </c>
      <c r="C296" s="20" t="s">
        <v>304</v>
      </c>
      <c r="D296" s="20" t="s">
        <v>305</v>
      </c>
      <c r="E296" s="20" t="s">
        <v>113</v>
      </c>
      <c r="F296" s="21" t="s">
        <v>105</v>
      </c>
      <c r="G296" t="s">
        <v>801</v>
      </c>
    </row>
    <row r="297" spans="1:7" x14ac:dyDescent="0.3">
      <c r="A297" s="18" t="s">
        <v>62</v>
      </c>
      <c r="B297" s="19">
        <v>45031</v>
      </c>
      <c r="C297" s="20" t="s">
        <v>306</v>
      </c>
      <c r="D297" s="20" t="s">
        <v>224</v>
      </c>
      <c r="E297" s="20" t="s">
        <v>87</v>
      </c>
      <c r="F297" s="21" t="s">
        <v>74</v>
      </c>
      <c r="G297" t="s">
        <v>803</v>
      </c>
    </row>
    <row r="298" spans="1:7" x14ac:dyDescent="0.3">
      <c r="A298" s="18" t="s">
        <v>62</v>
      </c>
      <c r="B298" s="19">
        <v>45031</v>
      </c>
      <c r="C298" s="20" t="s">
        <v>307</v>
      </c>
      <c r="D298" s="20" t="s">
        <v>75</v>
      </c>
      <c r="E298" s="20" t="s">
        <v>303</v>
      </c>
      <c r="F298" s="21" t="s">
        <v>74</v>
      </c>
      <c r="G298" t="s">
        <v>803</v>
      </c>
    </row>
    <row r="299" spans="1:7" x14ac:dyDescent="0.3">
      <c r="A299" s="18" t="s">
        <v>62</v>
      </c>
      <c r="B299" s="19">
        <v>45031</v>
      </c>
      <c r="C299" s="20" t="s">
        <v>308</v>
      </c>
      <c r="D299" s="20" t="s">
        <v>309</v>
      </c>
      <c r="E299" s="20" t="s">
        <v>65</v>
      </c>
      <c r="F299" s="21" t="s">
        <v>69</v>
      </c>
      <c r="G299" t="s">
        <v>803</v>
      </c>
    </row>
    <row r="300" spans="1:7" x14ac:dyDescent="0.3">
      <c r="A300" s="18" t="s">
        <v>62</v>
      </c>
      <c r="B300" s="19">
        <v>45031</v>
      </c>
      <c r="C300" s="20" t="s">
        <v>309</v>
      </c>
      <c r="D300" s="20" t="s">
        <v>310</v>
      </c>
      <c r="E300" s="20" t="s">
        <v>80</v>
      </c>
      <c r="F300" s="21" t="s">
        <v>71</v>
      </c>
      <c r="G300" t="s">
        <v>803</v>
      </c>
    </row>
    <row r="301" spans="1:7" x14ac:dyDescent="0.3">
      <c r="A301" s="18" t="s">
        <v>62</v>
      </c>
      <c r="B301" s="19">
        <v>45031</v>
      </c>
      <c r="C301" s="20" t="s">
        <v>310</v>
      </c>
      <c r="D301" s="20" t="s">
        <v>311</v>
      </c>
      <c r="E301" s="20" t="s">
        <v>122</v>
      </c>
      <c r="F301" s="21" t="s">
        <v>66</v>
      </c>
      <c r="G301" t="s">
        <v>803</v>
      </c>
    </row>
    <row r="302" spans="1:7" x14ac:dyDescent="0.3">
      <c r="A302" s="18" t="s">
        <v>62</v>
      </c>
      <c r="B302" s="19">
        <v>45031</v>
      </c>
      <c r="C302" s="20" t="s">
        <v>311</v>
      </c>
      <c r="D302" s="20" t="s">
        <v>189</v>
      </c>
      <c r="E302" s="20" t="s">
        <v>122</v>
      </c>
      <c r="F302" s="21" t="s">
        <v>105</v>
      </c>
      <c r="G302" t="s">
        <v>803</v>
      </c>
    </row>
    <row r="303" spans="1:7" x14ac:dyDescent="0.3">
      <c r="A303" s="18" t="s">
        <v>62</v>
      </c>
      <c r="B303" s="19">
        <v>45031</v>
      </c>
      <c r="C303" s="20" t="s">
        <v>189</v>
      </c>
      <c r="D303" s="20" t="s">
        <v>312</v>
      </c>
      <c r="E303" s="20" t="s">
        <v>129</v>
      </c>
      <c r="F303" s="21" t="s">
        <v>150</v>
      </c>
      <c r="G303" t="s">
        <v>803</v>
      </c>
    </row>
    <row r="304" spans="1:7" x14ac:dyDescent="0.3">
      <c r="A304" s="18" t="s">
        <v>62</v>
      </c>
      <c r="B304" s="19">
        <v>45031</v>
      </c>
      <c r="C304" s="20" t="s">
        <v>174</v>
      </c>
      <c r="D304" s="20" t="s">
        <v>313</v>
      </c>
      <c r="E304" s="20" t="s">
        <v>65</v>
      </c>
      <c r="F304" s="21" t="s">
        <v>69</v>
      </c>
      <c r="G304" t="s">
        <v>803</v>
      </c>
    </row>
    <row r="305" spans="1:7" x14ac:dyDescent="0.3">
      <c r="A305" s="18" t="s">
        <v>62</v>
      </c>
      <c r="B305" s="19">
        <v>45031</v>
      </c>
      <c r="C305" s="20" t="s">
        <v>313</v>
      </c>
      <c r="D305" s="20" t="s">
        <v>314</v>
      </c>
      <c r="E305" s="20" t="s">
        <v>65</v>
      </c>
      <c r="F305" s="21" t="s">
        <v>71</v>
      </c>
      <c r="G305" t="s">
        <v>803</v>
      </c>
    </row>
    <row r="306" spans="1:7" x14ac:dyDescent="0.3">
      <c r="A306" s="18" t="s">
        <v>62</v>
      </c>
      <c r="B306" s="19">
        <v>45031</v>
      </c>
      <c r="C306" s="20" t="s">
        <v>314</v>
      </c>
      <c r="D306" s="20" t="s">
        <v>315</v>
      </c>
      <c r="E306" s="20" t="s">
        <v>73</v>
      </c>
      <c r="F306" s="21" t="s">
        <v>74</v>
      </c>
      <c r="G306" t="s">
        <v>803</v>
      </c>
    </row>
    <row r="307" spans="1:7" x14ac:dyDescent="0.3">
      <c r="A307" s="18" t="s">
        <v>62</v>
      </c>
      <c r="B307" s="19">
        <v>45031</v>
      </c>
      <c r="C307" s="20" t="s">
        <v>148</v>
      </c>
      <c r="D307" s="20" t="s">
        <v>161</v>
      </c>
      <c r="E307" s="20" t="s">
        <v>65</v>
      </c>
      <c r="F307" s="21" t="s">
        <v>69</v>
      </c>
      <c r="G307" t="s">
        <v>803</v>
      </c>
    </row>
    <row r="308" spans="1:7" x14ac:dyDescent="0.3">
      <c r="A308" s="18" t="s">
        <v>62</v>
      </c>
      <c r="B308" s="19">
        <v>45031</v>
      </c>
      <c r="C308" s="20" t="s">
        <v>161</v>
      </c>
      <c r="D308" s="20" t="s">
        <v>304</v>
      </c>
      <c r="E308" s="20" t="s">
        <v>65</v>
      </c>
      <c r="F308" s="21" t="s">
        <v>71</v>
      </c>
      <c r="G308" t="s">
        <v>803</v>
      </c>
    </row>
    <row r="309" spans="1:7" x14ac:dyDescent="0.3">
      <c r="A309" s="18" t="s">
        <v>62</v>
      </c>
      <c r="B309" s="19">
        <v>45031</v>
      </c>
      <c r="C309" s="20" t="s">
        <v>304</v>
      </c>
      <c r="D309" s="20" t="s">
        <v>316</v>
      </c>
      <c r="E309" s="20" t="s">
        <v>317</v>
      </c>
      <c r="F309" s="21" t="s">
        <v>105</v>
      </c>
      <c r="G309" t="s">
        <v>803</v>
      </c>
    </row>
    <row r="310" spans="1:7" x14ac:dyDescent="0.3">
      <c r="A310" s="18" t="s">
        <v>62</v>
      </c>
      <c r="B310" s="19">
        <v>45032</v>
      </c>
      <c r="C310" s="20" t="s">
        <v>318</v>
      </c>
      <c r="D310" s="20" t="s">
        <v>319</v>
      </c>
      <c r="E310" s="20" t="s">
        <v>149</v>
      </c>
      <c r="F310" s="21" t="s">
        <v>74</v>
      </c>
      <c r="G310" t="s">
        <v>802</v>
      </c>
    </row>
    <row r="311" spans="1:7" x14ac:dyDescent="0.3">
      <c r="A311" s="18" t="s">
        <v>62</v>
      </c>
      <c r="B311" s="19">
        <v>45032</v>
      </c>
      <c r="C311" s="20" t="s">
        <v>320</v>
      </c>
      <c r="D311" s="20" t="s">
        <v>321</v>
      </c>
      <c r="E311" s="20" t="s">
        <v>65</v>
      </c>
      <c r="F311" s="21" t="s">
        <v>69</v>
      </c>
      <c r="G311" t="s">
        <v>802</v>
      </c>
    </row>
    <row r="312" spans="1:7" x14ac:dyDescent="0.3">
      <c r="A312" s="18" t="s">
        <v>62</v>
      </c>
      <c r="B312" s="19">
        <v>45032</v>
      </c>
      <c r="C312" s="20" t="s">
        <v>321</v>
      </c>
      <c r="D312" s="20" t="s">
        <v>322</v>
      </c>
      <c r="E312" s="20" t="s">
        <v>65</v>
      </c>
      <c r="F312" s="21" t="s">
        <v>71</v>
      </c>
      <c r="G312" t="s">
        <v>802</v>
      </c>
    </row>
    <row r="313" spans="1:7" x14ac:dyDescent="0.3">
      <c r="A313" s="18" t="s">
        <v>62</v>
      </c>
      <c r="B313" s="19">
        <v>45032</v>
      </c>
      <c r="C313" s="20" t="s">
        <v>322</v>
      </c>
      <c r="D313" s="20" t="s">
        <v>261</v>
      </c>
      <c r="E313" s="20" t="s">
        <v>221</v>
      </c>
      <c r="F313" s="21" t="s">
        <v>66</v>
      </c>
      <c r="G313" t="s">
        <v>802</v>
      </c>
    </row>
    <row r="314" spans="1:7" x14ac:dyDescent="0.3">
      <c r="A314" s="18" t="s">
        <v>62</v>
      </c>
      <c r="B314" s="19">
        <v>45032</v>
      </c>
      <c r="C314" s="20" t="s">
        <v>261</v>
      </c>
      <c r="D314" s="20" t="s">
        <v>262</v>
      </c>
      <c r="E314" s="20" t="s">
        <v>73</v>
      </c>
      <c r="F314" s="21" t="s">
        <v>105</v>
      </c>
      <c r="G314" t="s">
        <v>802</v>
      </c>
    </row>
    <row r="315" spans="1:7" x14ac:dyDescent="0.3">
      <c r="A315" s="18" t="s">
        <v>62</v>
      </c>
      <c r="B315" s="19">
        <v>45032</v>
      </c>
      <c r="C315" s="20" t="s">
        <v>262</v>
      </c>
      <c r="D315" s="20" t="s">
        <v>191</v>
      </c>
      <c r="E315" s="20" t="s">
        <v>87</v>
      </c>
      <c r="F315" s="21" t="s">
        <v>323</v>
      </c>
      <c r="G315" t="s">
        <v>802</v>
      </c>
    </row>
    <row r="316" spans="1:7" x14ac:dyDescent="0.3">
      <c r="A316" s="18" t="s">
        <v>62</v>
      </c>
      <c r="B316" s="19">
        <v>45032</v>
      </c>
      <c r="C316" s="20" t="s">
        <v>324</v>
      </c>
      <c r="D316" s="20" t="s">
        <v>325</v>
      </c>
      <c r="E316" s="20" t="s">
        <v>176</v>
      </c>
      <c r="F316" s="21" t="s">
        <v>74</v>
      </c>
      <c r="G316" t="s">
        <v>802</v>
      </c>
    </row>
    <row r="317" spans="1:7" x14ac:dyDescent="0.3">
      <c r="A317" s="18" t="s">
        <v>62</v>
      </c>
      <c r="B317" s="19">
        <v>45032</v>
      </c>
      <c r="C317" s="20" t="s">
        <v>326</v>
      </c>
      <c r="D317" s="20" t="s">
        <v>327</v>
      </c>
      <c r="E317" s="20" t="s">
        <v>65</v>
      </c>
      <c r="F317" s="21" t="s">
        <v>69</v>
      </c>
      <c r="G317" t="s">
        <v>802</v>
      </c>
    </row>
    <row r="318" spans="1:7" x14ac:dyDescent="0.3">
      <c r="A318" s="18" t="s">
        <v>62</v>
      </c>
      <c r="B318" s="19">
        <v>45032</v>
      </c>
      <c r="C318" s="20" t="s">
        <v>328</v>
      </c>
      <c r="D318" s="20" t="s">
        <v>329</v>
      </c>
      <c r="E318" s="20" t="s">
        <v>65</v>
      </c>
      <c r="F318" s="21" t="s">
        <v>71</v>
      </c>
      <c r="G318" t="s">
        <v>802</v>
      </c>
    </row>
    <row r="319" spans="1:7" x14ac:dyDescent="0.3">
      <c r="A319" s="18" t="s">
        <v>62</v>
      </c>
      <c r="B319" s="19">
        <v>45032</v>
      </c>
      <c r="C319" s="20" t="s">
        <v>329</v>
      </c>
      <c r="D319" s="20" t="s">
        <v>330</v>
      </c>
      <c r="E319" s="20" t="s">
        <v>317</v>
      </c>
      <c r="F319" s="21" t="s">
        <v>105</v>
      </c>
      <c r="G319" t="s">
        <v>802</v>
      </c>
    </row>
    <row r="320" spans="1:7" x14ac:dyDescent="0.3">
      <c r="A320" s="18" t="s">
        <v>62</v>
      </c>
      <c r="B320" s="19">
        <v>45033</v>
      </c>
      <c r="C320" s="20" t="s">
        <v>331</v>
      </c>
      <c r="D320" s="20" t="s">
        <v>332</v>
      </c>
      <c r="E320" s="20" t="s">
        <v>176</v>
      </c>
      <c r="F320" s="21" t="s">
        <v>74</v>
      </c>
      <c r="G320" t="s">
        <v>797</v>
      </c>
    </row>
    <row r="321" spans="1:7" x14ac:dyDescent="0.3">
      <c r="A321" s="18" t="s">
        <v>62</v>
      </c>
      <c r="B321" s="19">
        <v>45033</v>
      </c>
      <c r="C321" s="20" t="s">
        <v>333</v>
      </c>
      <c r="D321" s="20" t="s">
        <v>334</v>
      </c>
      <c r="E321" s="20" t="s">
        <v>335</v>
      </c>
      <c r="F321" s="21" t="s">
        <v>169</v>
      </c>
      <c r="G321" t="s">
        <v>797</v>
      </c>
    </row>
    <row r="322" spans="1:7" x14ac:dyDescent="0.3">
      <c r="A322" s="18" t="s">
        <v>62</v>
      </c>
      <c r="B322" s="19">
        <v>45033</v>
      </c>
      <c r="C322" s="20" t="s">
        <v>336</v>
      </c>
      <c r="D322" s="20" t="s">
        <v>337</v>
      </c>
      <c r="E322" s="20" t="s">
        <v>228</v>
      </c>
      <c r="F322" s="21" t="s">
        <v>69</v>
      </c>
      <c r="G322" t="s">
        <v>797</v>
      </c>
    </row>
    <row r="323" spans="1:7" x14ac:dyDescent="0.3">
      <c r="A323" s="18" t="s">
        <v>62</v>
      </c>
      <c r="B323" s="19">
        <v>45033</v>
      </c>
      <c r="C323" s="20" t="s">
        <v>338</v>
      </c>
      <c r="D323" s="20" t="s">
        <v>339</v>
      </c>
      <c r="E323" s="20" t="s">
        <v>65</v>
      </c>
      <c r="F323" s="21" t="s">
        <v>69</v>
      </c>
      <c r="G323" t="s">
        <v>797</v>
      </c>
    </row>
    <row r="324" spans="1:7" x14ac:dyDescent="0.3">
      <c r="A324" s="18" t="s">
        <v>62</v>
      </c>
      <c r="B324" s="19">
        <v>45033</v>
      </c>
      <c r="C324" s="20" t="s">
        <v>339</v>
      </c>
      <c r="D324" s="20" t="s">
        <v>340</v>
      </c>
      <c r="E324" s="20" t="s">
        <v>65</v>
      </c>
      <c r="F324" s="21" t="s">
        <v>71</v>
      </c>
      <c r="G324" t="s">
        <v>797</v>
      </c>
    </row>
    <row r="325" spans="1:7" x14ac:dyDescent="0.3">
      <c r="A325" s="18" t="s">
        <v>62</v>
      </c>
      <c r="B325" s="19">
        <v>45033</v>
      </c>
      <c r="C325" s="20" t="s">
        <v>340</v>
      </c>
      <c r="D325" s="20" t="s">
        <v>341</v>
      </c>
      <c r="E325" s="20" t="s">
        <v>133</v>
      </c>
      <c r="F325" s="21" t="s">
        <v>66</v>
      </c>
      <c r="G325" t="s">
        <v>797</v>
      </c>
    </row>
    <row r="326" spans="1:7" x14ac:dyDescent="0.3">
      <c r="A326" s="18" t="s">
        <v>62</v>
      </c>
      <c r="B326" s="19">
        <v>45033</v>
      </c>
      <c r="C326" s="20" t="s">
        <v>341</v>
      </c>
      <c r="D326" s="20" t="s">
        <v>295</v>
      </c>
      <c r="E326" s="20" t="s">
        <v>110</v>
      </c>
      <c r="F326" s="21" t="s">
        <v>105</v>
      </c>
      <c r="G326" t="s">
        <v>797</v>
      </c>
    </row>
    <row r="327" spans="1:7" x14ac:dyDescent="0.3">
      <c r="A327" s="18" t="s">
        <v>62</v>
      </c>
      <c r="B327" s="19">
        <v>45033</v>
      </c>
      <c r="C327" s="20" t="s">
        <v>333</v>
      </c>
      <c r="D327" s="20" t="s">
        <v>342</v>
      </c>
      <c r="E327" s="20" t="s">
        <v>97</v>
      </c>
      <c r="F327" s="21" t="s">
        <v>69</v>
      </c>
      <c r="G327" t="s">
        <v>797</v>
      </c>
    </row>
    <row r="328" spans="1:7" x14ac:dyDescent="0.3">
      <c r="A328" s="18" t="s">
        <v>62</v>
      </c>
      <c r="B328" s="19">
        <v>45033</v>
      </c>
      <c r="C328" s="20" t="s">
        <v>342</v>
      </c>
      <c r="D328" s="20" t="s">
        <v>343</v>
      </c>
      <c r="E328" s="20" t="s">
        <v>344</v>
      </c>
      <c r="F328" s="21" t="s">
        <v>169</v>
      </c>
      <c r="G328" t="s">
        <v>797</v>
      </c>
    </row>
    <row r="329" spans="1:7" x14ac:dyDescent="0.3">
      <c r="A329" s="18" t="s">
        <v>62</v>
      </c>
      <c r="B329" s="19">
        <v>45033</v>
      </c>
      <c r="C329" s="20" t="s">
        <v>345</v>
      </c>
      <c r="D329" s="20" t="s">
        <v>305</v>
      </c>
      <c r="E329" s="20" t="s">
        <v>65</v>
      </c>
      <c r="F329" s="21" t="s">
        <v>69</v>
      </c>
      <c r="G329" t="s">
        <v>797</v>
      </c>
    </row>
    <row r="330" spans="1:7" x14ac:dyDescent="0.3">
      <c r="A330" s="18" t="s">
        <v>62</v>
      </c>
      <c r="B330" s="19">
        <v>45033</v>
      </c>
      <c r="C330" s="20" t="s">
        <v>305</v>
      </c>
      <c r="D330" s="20" t="s">
        <v>346</v>
      </c>
      <c r="E330" s="20" t="s">
        <v>65</v>
      </c>
      <c r="F330" s="21" t="s">
        <v>71</v>
      </c>
      <c r="G330" t="s">
        <v>797</v>
      </c>
    </row>
    <row r="331" spans="1:7" x14ac:dyDescent="0.3">
      <c r="A331" s="18" t="s">
        <v>62</v>
      </c>
      <c r="B331" s="19">
        <v>45033</v>
      </c>
      <c r="C331" s="20" t="s">
        <v>346</v>
      </c>
      <c r="D331" s="20" t="s">
        <v>347</v>
      </c>
      <c r="E331" s="20" t="s">
        <v>168</v>
      </c>
      <c r="F331" s="21" t="s">
        <v>105</v>
      </c>
      <c r="G331" t="s">
        <v>797</v>
      </c>
    </row>
    <row r="332" spans="1:7" x14ac:dyDescent="0.3">
      <c r="A332" s="18" t="s">
        <v>62</v>
      </c>
      <c r="B332" s="19">
        <v>45034</v>
      </c>
      <c r="C332" s="20" t="s">
        <v>348</v>
      </c>
      <c r="D332" s="20" t="s">
        <v>349</v>
      </c>
      <c r="E332" s="20" t="s">
        <v>176</v>
      </c>
      <c r="F332" s="21" t="s">
        <v>74</v>
      </c>
      <c r="G332" t="s">
        <v>798</v>
      </c>
    </row>
    <row r="333" spans="1:7" x14ac:dyDescent="0.3">
      <c r="A333" s="18" t="s">
        <v>62</v>
      </c>
      <c r="B333" s="19">
        <v>45034</v>
      </c>
      <c r="C333" s="20" t="s">
        <v>350</v>
      </c>
      <c r="D333" s="20" t="s">
        <v>351</v>
      </c>
      <c r="E333" s="20" t="s">
        <v>65</v>
      </c>
      <c r="F333" s="21" t="s">
        <v>69</v>
      </c>
      <c r="G333" t="s">
        <v>798</v>
      </c>
    </row>
    <row r="334" spans="1:7" x14ac:dyDescent="0.3">
      <c r="A334" s="18" t="s">
        <v>62</v>
      </c>
      <c r="B334" s="19">
        <v>45034</v>
      </c>
      <c r="C334" s="20" t="s">
        <v>351</v>
      </c>
      <c r="D334" s="20" t="s">
        <v>352</v>
      </c>
      <c r="E334" s="20" t="s">
        <v>65</v>
      </c>
      <c r="F334" s="21" t="s">
        <v>71</v>
      </c>
      <c r="G334" t="s">
        <v>798</v>
      </c>
    </row>
    <row r="335" spans="1:7" x14ac:dyDescent="0.3">
      <c r="A335" s="18" t="s">
        <v>62</v>
      </c>
      <c r="B335" s="19">
        <v>45034</v>
      </c>
      <c r="C335" s="20" t="s">
        <v>352</v>
      </c>
      <c r="D335" s="20" t="s">
        <v>353</v>
      </c>
      <c r="E335" s="20" t="s">
        <v>228</v>
      </c>
      <c r="F335" s="21" t="s">
        <v>66</v>
      </c>
      <c r="G335" t="s">
        <v>798</v>
      </c>
    </row>
    <row r="336" spans="1:7" x14ac:dyDescent="0.3">
      <c r="A336" s="18" t="s">
        <v>62</v>
      </c>
      <c r="B336" s="19">
        <v>45034</v>
      </c>
      <c r="C336" s="20" t="s">
        <v>353</v>
      </c>
      <c r="D336" s="20" t="s">
        <v>354</v>
      </c>
      <c r="E336" s="20" t="s">
        <v>355</v>
      </c>
      <c r="F336" s="21" t="s">
        <v>105</v>
      </c>
      <c r="G336" t="s">
        <v>798</v>
      </c>
    </row>
    <row r="337" spans="1:7" x14ac:dyDescent="0.3">
      <c r="A337" s="18" t="s">
        <v>62</v>
      </c>
      <c r="B337" s="19">
        <v>45034</v>
      </c>
      <c r="C337" s="20" t="s">
        <v>356</v>
      </c>
      <c r="D337" s="20" t="s">
        <v>81</v>
      </c>
      <c r="E337" s="20" t="s">
        <v>151</v>
      </c>
      <c r="F337" s="21" t="s">
        <v>74</v>
      </c>
      <c r="G337" t="s">
        <v>798</v>
      </c>
    </row>
    <row r="338" spans="1:7" x14ac:dyDescent="0.3">
      <c r="A338" s="18" t="s">
        <v>62</v>
      </c>
      <c r="B338" s="19">
        <v>45034</v>
      </c>
      <c r="C338" s="20" t="s">
        <v>357</v>
      </c>
      <c r="D338" s="20" t="s">
        <v>199</v>
      </c>
      <c r="E338" s="20" t="s">
        <v>185</v>
      </c>
      <c r="F338" s="21" t="s">
        <v>253</v>
      </c>
      <c r="G338" t="s">
        <v>798</v>
      </c>
    </row>
    <row r="339" spans="1:7" x14ac:dyDescent="0.3">
      <c r="A339" s="18" t="s">
        <v>62</v>
      </c>
      <c r="B339" s="19">
        <v>45034</v>
      </c>
      <c r="C339" s="20" t="s">
        <v>358</v>
      </c>
      <c r="D339" s="20" t="s">
        <v>359</v>
      </c>
      <c r="E339" s="20" t="s">
        <v>99</v>
      </c>
      <c r="F339" s="21" t="s">
        <v>74</v>
      </c>
      <c r="G339" t="s">
        <v>798</v>
      </c>
    </row>
    <row r="340" spans="1:7" x14ac:dyDescent="0.3">
      <c r="A340" s="18" t="s">
        <v>62</v>
      </c>
      <c r="B340" s="19">
        <v>45035</v>
      </c>
      <c r="C340" s="20" t="s">
        <v>360</v>
      </c>
      <c r="D340" s="20" t="s">
        <v>68</v>
      </c>
      <c r="E340" s="20" t="s">
        <v>80</v>
      </c>
      <c r="F340" s="21" t="s">
        <v>69</v>
      </c>
      <c r="G340" t="s">
        <v>799</v>
      </c>
    </row>
    <row r="341" spans="1:7" x14ac:dyDescent="0.3">
      <c r="A341" s="18" t="s">
        <v>62</v>
      </c>
      <c r="B341" s="19">
        <v>45035</v>
      </c>
      <c r="C341" s="20" t="s">
        <v>68</v>
      </c>
      <c r="D341" s="20" t="s">
        <v>70</v>
      </c>
      <c r="E341" s="20" t="s">
        <v>65</v>
      </c>
      <c r="F341" s="21" t="s">
        <v>71</v>
      </c>
      <c r="G341" t="s">
        <v>799</v>
      </c>
    </row>
    <row r="342" spans="1:7" x14ac:dyDescent="0.3">
      <c r="A342" s="18" t="s">
        <v>62</v>
      </c>
      <c r="B342" s="19">
        <v>45035</v>
      </c>
      <c r="C342" s="20" t="s">
        <v>70</v>
      </c>
      <c r="D342" s="20" t="s">
        <v>361</v>
      </c>
      <c r="E342" s="20" t="s">
        <v>122</v>
      </c>
      <c r="F342" s="21" t="s">
        <v>105</v>
      </c>
      <c r="G342" t="s">
        <v>799</v>
      </c>
    </row>
    <row r="343" spans="1:7" x14ac:dyDescent="0.3">
      <c r="A343" s="18" t="s">
        <v>62</v>
      </c>
      <c r="B343" s="19">
        <v>45035</v>
      </c>
      <c r="C343" s="20" t="s">
        <v>170</v>
      </c>
      <c r="D343" s="20" t="s">
        <v>362</v>
      </c>
      <c r="E343" s="20" t="s">
        <v>363</v>
      </c>
      <c r="F343" s="21" t="s">
        <v>105</v>
      </c>
      <c r="G343" t="s">
        <v>799</v>
      </c>
    </row>
    <row r="344" spans="1:7" x14ac:dyDescent="0.3">
      <c r="A344" s="18" t="s">
        <v>62</v>
      </c>
      <c r="B344" s="19">
        <v>45035</v>
      </c>
      <c r="C344" s="20" t="s">
        <v>364</v>
      </c>
      <c r="D344" s="20" t="s">
        <v>365</v>
      </c>
      <c r="E344" s="20" t="s">
        <v>366</v>
      </c>
      <c r="F344" s="21" t="s">
        <v>253</v>
      </c>
      <c r="G344" t="s">
        <v>799</v>
      </c>
    </row>
    <row r="345" spans="1:7" x14ac:dyDescent="0.3">
      <c r="A345" s="18" t="s">
        <v>62</v>
      </c>
      <c r="B345" s="19">
        <v>45036</v>
      </c>
      <c r="C345" s="20" t="s">
        <v>367</v>
      </c>
      <c r="D345" s="20" t="s">
        <v>202</v>
      </c>
      <c r="E345" s="20" t="s">
        <v>65</v>
      </c>
      <c r="F345" s="21" t="s">
        <v>69</v>
      </c>
      <c r="G345" t="s">
        <v>800</v>
      </c>
    </row>
    <row r="346" spans="1:7" x14ac:dyDescent="0.3">
      <c r="A346" s="18" t="s">
        <v>62</v>
      </c>
      <c r="B346" s="19">
        <v>45036</v>
      </c>
      <c r="C346" s="20" t="s">
        <v>202</v>
      </c>
      <c r="D346" s="20" t="s">
        <v>203</v>
      </c>
      <c r="E346" s="20" t="s">
        <v>65</v>
      </c>
      <c r="F346" s="21" t="s">
        <v>71</v>
      </c>
      <c r="G346" t="s">
        <v>800</v>
      </c>
    </row>
    <row r="347" spans="1:7" x14ac:dyDescent="0.3">
      <c r="A347" s="18" t="s">
        <v>62</v>
      </c>
      <c r="B347" s="19">
        <v>45036</v>
      </c>
      <c r="C347" s="20" t="s">
        <v>203</v>
      </c>
      <c r="D347" s="20" t="s">
        <v>63</v>
      </c>
      <c r="E347" s="20" t="s">
        <v>176</v>
      </c>
      <c r="F347" s="21" t="s">
        <v>105</v>
      </c>
      <c r="G347" t="s">
        <v>800</v>
      </c>
    </row>
    <row r="348" spans="1:7" x14ac:dyDescent="0.3">
      <c r="A348" s="18" t="s">
        <v>62</v>
      </c>
      <c r="B348" s="19">
        <v>45036</v>
      </c>
      <c r="C348" s="20" t="s">
        <v>241</v>
      </c>
      <c r="D348" s="20" t="s">
        <v>368</v>
      </c>
      <c r="E348" s="20" t="s">
        <v>85</v>
      </c>
      <c r="F348" s="21" t="s">
        <v>69</v>
      </c>
      <c r="G348" t="s">
        <v>800</v>
      </c>
    </row>
    <row r="349" spans="1:7" x14ac:dyDescent="0.3">
      <c r="A349" s="18" t="s">
        <v>62</v>
      </c>
      <c r="B349" s="19">
        <v>45036</v>
      </c>
      <c r="C349" s="20" t="s">
        <v>804</v>
      </c>
      <c r="D349" s="20" t="s">
        <v>804</v>
      </c>
      <c r="E349" s="20" t="s">
        <v>804</v>
      </c>
      <c r="F349" s="21" t="s">
        <v>105</v>
      </c>
      <c r="G349" t="s">
        <v>800</v>
      </c>
    </row>
    <row r="350" spans="1:7" x14ac:dyDescent="0.3">
      <c r="A350" s="18" t="s">
        <v>62</v>
      </c>
      <c r="B350" s="19">
        <v>45036</v>
      </c>
      <c r="C350" s="20" t="s">
        <v>369</v>
      </c>
      <c r="D350" s="20" t="s">
        <v>370</v>
      </c>
      <c r="E350" s="20" t="s">
        <v>80</v>
      </c>
      <c r="F350" s="21" t="s">
        <v>69</v>
      </c>
      <c r="G350" t="s">
        <v>800</v>
      </c>
    </row>
    <row r="351" spans="1:7" x14ac:dyDescent="0.3">
      <c r="A351" s="18" t="s">
        <v>62</v>
      </c>
      <c r="B351" s="19">
        <v>45036</v>
      </c>
      <c r="C351" s="20" t="s">
        <v>370</v>
      </c>
      <c r="D351" s="20" t="s">
        <v>325</v>
      </c>
      <c r="E351" s="20" t="s">
        <v>65</v>
      </c>
      <c r="F351" s="21" t="s">
        <v>71</v>
      </c>
      <c r="G351" t="s">
        <v>800</v>
      </c>
    </row>
    <row r="352" spans="1:7" x14ac:dyDescent="0.3">
      <c r="A352" s="18" t="s">
        <v>62</v>
      </c>
      <c r="B352" s="19">
        <v>45036</v>
      </c>
      <c r="C352" s="20" t="s">
        <v>325</v>
      </c>
      <c r="D352" s="20" t="s">
        <v>371</v>
      </c>
      <c r="E352" s="20" t="s">
        <v>65</v>
      </c>
      <c r="F352" s="21" t="s">
        <v>74</v>
      </c>
      <c r="G352" t="s">
        <v>800</v>
      </c>
    </row>
    <row r="353" spans="1:7" x14ac:dyDescent="0.3">
      <c r="A353" s="18" t="s">
        <v>62</v>
      </c>
      <c r="B353" s="19">
        <v>45036</v>
      </c>
      <c r="C353" s="20" t="s">
        <v>371</v>
      </c>
      <c r="D353" s="20" t="s">
        <v>372</v>
      </c>
      <c r="E353" s="20" t="s">
        <v>76</v>
      </c>
      <c r="F353" s="21" t="s">
        <v>66</v>
      </c>
      <c r="G353" t="s">
        <v>800</v>
      </c>
    </row>
    <row r="354" spans="1:7" x14ac:dyDescent="0.3">
      <c r="A354" s="18" t="s">
        <v>62</v>
      </c>
      <c r="B354" s="19">
        <v>45036</v>
      </c>
      <c r="C354" s="20" t="s">
        <v>179</v>
      </c>
      <c r="D354" s="20" t="s">
        <v>101</v>
      </c>
      <c r="E354" s="20" t="s">
        <v>65</v>
      </c>
      <c r="F354" s="21" t="s">
        <v>69</v>
      </c>
      <c r="G354" t="s">
        <v>800</v>
      </c>
    </row>
    <row r="355" spans="1:7" x14ac:dyDescent="0.3">
      <c r="A355" s="18" t="s">
        <v>62</v>
      </c>
      <c r="B355" s="19">
        <v>45036</v>
      </c>
      <c r="C355" s="20" t="s">
        <v>101</v>
      </c>
      <c r="D355" s="20" t="s">
        <v>102</v>
      </c>
      <c r="E355" s="20" t="s">
        <v>65</v>
      </c>
      <c r="F355" s="21" t="s">
        <v>71</v>
      </c>
      <c r="G355" t="s">
        <v>800</v>
      </c>
    </row>
    <row r="356" spans="1:7" x14ac:dyDescent="0.3">
      <c r="A356" s="18" t="s">
        <v>62</v>
      </c>
      <c r="B356" s="19">
        <v>45036</v>
      </c>
      <c r="C356" s="20" t="s">
        <v>102</v>
      </c>
      <c r="D356" s="20" t="s">
        <v>86</v>
      </c>
      <c r="E356" s="20" t="s">
        <v>140</v>
      </c>
      <c r="F356" s="21" t="s">
        <v>105</v>
      </c>
      <c r="G356" t="s">
        <v>800</v>
      </c>
    </row>
    <row r="357" spans="1:7" x14ac:dyDescent="0.3">
      <c r="A357" s="18" t="s">
        <v>62</v>
      </c>
      <c r="B357" s="19">
        <v>45037</v>
      </c>
      <c r="C357" s="20" t="s">
        <v>373</v>
      </c>
      <c r="D357" s="20" t="s">
        <v>374</v>
      </c>
      <c r="E357" s="20" t="s">
        <v>65</v>
      </c>
      <c r="F357" s="21" t="s">
        <v>69</v>
      </c>
      <c r="G357" t="s">
        <v>801</v>
      </c>
    </row>
    <row r="358" spans="1:7" x14ac:dyDescent="0.3">
      <c r="A358" s="18" t="s">
        <v>62</v>
      </c>
      <c r="B358" s="19">
        <v>45037</v>
      </c>
      <c r="C358" s="20" t="s">
        <v>375</v>
      </c>
      <c r="D358" s="20" t="s">
        <v>376</v>
      </c>
      <c r="E358" s="20" t="s">
        <v>80</v>
      </c>
      <c r="F358" s="21" t="s">
        <v>69</v>
      </c>
      <c r="G358" t="s">
        <v>801</v>
      </c>
    </row>
    <row r="359" spans="1:7" x14ac:dyDescent="0.3">
      <c r="A359" s="18" t="s">
        <v>62</v>
      </c>
      <c r="B359" s="19">
        <v>45037</v>
      </c>
      <c r="C359" s="20" t="s">
        <v>376</v>
      </c>
      <c r="D359" s="20" t="s">
        <v>377</v>
      </c>
      <c r="E359" s="20" t="s">
        <v>65</v>
      </c>
      <c r="F359" s="21" t="s">
        <v>71</v>
      </c>
      <c r="G359" t="s">
        <v>801</v>
      </c>
    </row>
    <row r="360" spans="1:7" x14ac:dyDescent="0.3">
      <c r="A360" s="18" t="s">
        <v>62</v>
      </c>
      <c r="B360" s="19">
        <v>45037</v>
      </c>
      <c r="C360" s="20" t="s">
        <v>377</v>
      </c>
      <c r="D360" s="20" t="s">
        <v>378</v>
      </c>
      <c r="E360" s="20" t="s">
        <v>110</v>
      </c>
      <c r="F360" s="21" t="s">
        <v>74</v>
      </c>
      <c r="G360" t="s">
        <v>801</v>
      </c>
    </row>
    <row r="361" spans="1:7" x14ac:dyDescent="0.3">
      <c r="A361" s="18" t="s">
        <v>62</v>
      </c>
      <c r="B361" s="19">
        <v>45037</v>
      </c>
      <c r="C361" s="20" t="s">
        <v>379</v>
      </c>
      <c r="D361" s="20" t="s">
        <v>232</v>
      </c>
      <c r="E361" s="20" t="s">
        <v>363</v>
      </c>
      <c r="F361" s="21" t="s">
        <v>105</v>
      </c>
      <c r="G361" t="s">
        <v>801</v>
      </c>
    </row>
    <row r="362" spans="1:7" x14ac:dyDescent="0.3">
      <c r="A362" s="18" t="s">
        <v>62</v>
      </c>
      <c r="B362" s="19">
        <v>45037</v>
      </c>
      <c r="C362" s="20" t="s">
        <v>380</v>
      </c>
      <c r="D362" s="20" t="s">
        <v>381</v>
      </c>
      <c r="E362" s="20" t="s">
        <v>65</v>
      </c>
      <c r="F362" s="21" t="s">
        <v>69</v>
      </c>
      <c r="G362" t="s">
        <v>801</v>
      </c>
    </row>
    <row r="363" spans="1:7" x14ac:dyDescent="0.3">
      <c r="A363" s="18" t="s">
        <v>62</v>
      </c>
      <c r="B363" s="19">
        <v>45037</v>
      </c>
      <c r="C363" s="20" t="s">
        <v>381</v>
      </c>
      <c r="D363" s="20" t="s">
        <v>382</v>
      </c>
      <c r="E363" s="20" t="s">
        <v>80</v>
      </c>
      <c r="F363" s="21" t="s">
        <v>71</v>
      </c>
      <c r="G363" t="s">
        <v>801</v>
      </c>
    </row>
    <row r="364" spans="1:7" x14ac:dyDescent="0.3">
      <c r="A364" s="18" t="s">
        <v>62</v>
      </c>
      <c r="B364" s="19">
        <v>45037</v>
      </c>
      <c r="C364" s="20" t="s">
        <v>382</v>
      </c>
      <c r="D364" s="20" t="s">
        <v>383</v>
      </c>
      <c r="E364" s="20" t="s">
        <v>65</v>
      </c>
      <c r="F364" s="21" t="s">
        <v>66</v>
      </c>
      <c r="G364" t="s">
        <v>801</v>
      </c>
    </row>
    <row r="365" spans="1:7" x14ac:dyDescent="0.3">
      <c r="A365" s="18" t="s">
        <v>62</v>
      </c>
      <c r="B365" s="19">
        <v>45037</v>
      </c>
      <c r="C365" s="20" t="s">
        <v>383</v>
      </c>
      <c r="D365" s="20" t="s">
        <v>384</v>
      </c>
      <c r="E365" s="20" t="s">
        <v>292</v>
      </c>
      <c r="F365" s="21" t="s">
        <v>74</v>
      </c>
      <c r="G365" t="s">
        <v>801</v>
      </c>
    </row>
    <row r="366" spans="1:7" x14ac:dyDescent="0.3">
      <c r="A366" s="18" t="s">
        <v>62</v>
      </c>
      <c r="B366" s="19">
        <v>45037</v>
      </c>
      <c r="C366" s="20" t="s">
        <v>328</v>
      </c>
      <c r="D366" s="20" t="s">
        <v>329</v>
      </c>
      <c r="E366" s="20" t="s">
        <v>65</v>
      </c>
      <c r="F366" s="21" t="s">
        <v>69</v>
      </c>
      <c r="G366" t="s">
        <v>801</v>
      </c>
    </row>
    <row r="367" spans="1:7" x14ac:dyDescent="0.3">
      <c r="A367" s="18" t="s">
        <v>62</v>
      </c>
      <c r="B367" s="19">
        <v>45037</v>
      </c>
      <c r="C367" s="20" t="s">
        <v>329</v>
      </c>
      <c r="D367" s="20" t="s">
        <v>162</v>
      </c>
      <c r="E367" s="20" t="s">
        <v>65</v>
      </c>
      <c r="F367" s="21" t="s">
        <v>71</v>
      </c>
      <c r="G367" t="s">
        <v>801</v>
      </c>
    </row>
    <row r="368" spans="1:7" x14ac:dyDescent="0.3">
      <c r="A368" s="18" t="s">
        <v>62</v>
      </c>
      <c r="B368" s="19">
        <v>45037</v>
      </c>
      <c r="C368" s="20" t="s">
        <v>162</v>
      </c>
      <c r="D368" s="20" t="s">
        <v>305</v>
      </c>
      <c r="E368" s="20" t="s">
        <v>87</v>
      </c>
      <c r="F368" s="21" t="s">
        <v>105</v>
      </c>
      <c r="G368" t="s">
        <v>801</v>
      </c>
    </row>
    <row r="369" spans="1:7" x14ac:dyDescent="0.3">
      <c r="A369" s="18" t="s">
        <v>62</v>
      </c>
      <c r="B369" s="19">
        <v>45037</v>
      </c>
      <c r="C369" s="20" t="s">
        <v>305</v>
      </c>
      <c r="D369" s="20" t="s">
        <v>385</v>
      </c>
      <c r="E369" s="20" t="s">
        <v>76</v>
      </c>
      <c r="F369" s="21" t="s">
        <v>66</v>
      </c>
      <c r="G369" t="s">
        <v>801</v>
      </c>
    </row>
    <row r="370" spans="1:7" x14ac:dyDescent="0.3">
      <c r="A370" s="18" t="s">
        <v>62</v>
      </c>
      <c r="B370" s="19">
        <v>45037</v>
      </c>
      <c r="C370" s="20" t="s">
        <v>386</v>
      </c>
      <c r="D370" s="20" t="s">
        <v>387</v>
      </c>
      <c r="E370" s="20" t="s">
        <v>97</v>
      </c>
      <c r="F370" s="21" t="s">
        <v>89</v>
      </c>
      <c r="G370" t="s">
        <v>801</v>
      </c>
    </row>
    <row r="371" spans="1:7" x14ac:dyDescent="0.3">
      <c r="A371" s="18" t="s">
        <v>62</v>
      </c>
      <c r="B371" s="19">
        <v>45038</v>
      </c>
      <c r="C371" s="20" t="s">
        <v>388</v>
      </c>
      <c r="D371" s="20" t="s">
        <v>72</v>
      </c>
      <c r="E371" s="20" t="s">
        <v>151</v>
      </c>
      <c r="F371" s="21" t="s">
        <v>74</v>
      </c>
      <c r="G371" t="s">
        <v>803</v>
      </c>
    </row>
    <row r="372" spans="1:7" x14ac:dyDescent="0.3">
      <c r="A372" s="18" t="s">
        <v>62</v>
      </c>
      <c r="B372" s="19">
        <v>45038</v>
      </c>
      <c r="C372" s="20" t="s">
        <v>389</v>
      </c>
      <c r="D372" s="20" t="s">
        <v>390</v>
      </c>
      <c r="E372" s="20" t="s">
        <v>221</v>
      </c>
      <c r="F372" s="21" t="s">
        <v>69</v>
      </c>
      <c r="G372" t="s">
        <v>803</v>
      </c>
    </row>
    <row r="373" spans="1:7" x14ac:dyDescent="0.3">
      <c r="A373" s="18" t="s">
        <v>62</v>
      </c>
      <c r="B373" s="19">
        <v>45038</v>
      </c>
      <c r="C373" s="20" t="s">
        <v>391</v>
      </c>
      <c r="D373" s="20" t="s">
        <v>392</v>
      </c>
      <c r="E373" s="20" t="s">
        <v>65</v>
      </c>
      <c r="F373" s="21" t="s">
        <v>69</v>
      </c>
      <c r="G373" t="s">
        <v>803</v>
      </c>
    </row>
    <row r="374" spans="1:7" x14ac:dyDescent="0.3">
      <c r="A374" s="18" t="s">
        <v>62</v>
      </c>
      <c r="B374" s="19">
        <v>45038</v>
      </c>
      <c r="C374" s="20" t="s">
        <v>392</v>
      </c>
      <c r="D374" s="20" t="s">
        <v>393</v>
      </c>
      <c r="E374" s="20" t="s">
        <v>80</v>
      </c>
      <c r="F374" s="21" t="s">
        <v>71</v>
      </c>
      <c r="G374" t="s">
        <v>803</v>
      </c>
    </row>
    <row r="375" spans="1:7" x14ac:dyDescent="0.3">
      <c r="A375" s="18" t="s">
        <v>62</v>
      </c>
      <c r="B375" s="19">
        <v>45038</v>
      </c>
      <c r="C375" s="20" t="s">
        <v>393</v>
      </c>
      <c r="D375" s="20" t="s">
        <v>394</v>
      </c>
      <c r="E375" s="20" t="s">
        <v>65</v>
      </c>
      <c r="F375" s="21" t="s">
        <v>66</v>
      </c>
      <c r="G375" t="s">
        <v>803</v>
      </c>
    </row>
    <row r="376" spans="1:7" x14ac:dyDescent="0.3">
      <c r="A376" s="18" t="s">
        <v>62</v>
      </c>
      <c r="B376" s="19">
        <v>45038</v>
      </c>
      <c r="C376" s="20" t="s">
        <v>394</v>
      </c>
      <c r="D376" s="20" t="s">
        <v>395</v>
      </c>
      <c r="E376" s="20" t="s">
        <v>73</v>
      </c>
      <c r="F376" s="21" t="s">
        <v>74</v>
      </c>
      <c r="G376" t="s">
        <v>803</v>
      </c>
    </row>
    <row r="377" spans="1:7" x14ac:dyDescent="0.3">
      <c r="A377" s="18" t="s">
        <v>62</v>
      </c>
      <c r="B377" s="19">
        <v>45038</v>
      </c>
      <c r="C377" s="20" t="s">
        <v>396</v>
      </c>
      <c r="D377" s="20" t="s">
        <v>397</v>
      </c>
      <c r="E377" s="20" t="s">
        <v>398</v>
      </c>
      <c r="F377" s="21" t="s">
        <v>69</v>
      </c>
      <c r="G377" t="s">
        <v>803</v>
      </c>
    </row>
    <row r="378" spans="1:7" x14ac:dyDescent="0.3">
      <c r="A378" s="18" t="s">
        <v>62</v>
      </c>
      <c r="B378" s="19">
        <v>45038</v>
      </c>
      <c r="C378" s="20" t="s">
        <v>399</v>
      </c>
      <c r="D378" s="20" t="s">
        <v>400</v>
      </c>
      <c r="E378" s="20" t="s">
        <v>65</v>
      </c>
      <c r="F378" s="21" t="s">
        <v>71</v>
      </c>
      <c r="G378" t="s">
        <v>803</v>
      </c>
    </row>
    <row r="379" spans="1:7" x14ac:dyDescent="0.3">
      <c r="A379" s="18" t="s">
        <v>62</v>
      </c>
      <c r="B379" s="19">
        <v>45038</v>
      </c>
      <c r="C379" s="20" t="s">
        <v>400</v>
      </c>
      <c r="D379" s="20" t="s">
        <v>387</v>
      </c>
      <c r="E379" s="20" t="s">
        <v>247</v>
      </c>
      <c r="F379" s="21" t="s">
        <v>105</v>
      </c>
      <c r="G379" t="s">
        <v>803</v>
      </c>
    </row>
    <row r="380" spans="1:7" x14ac:dyDescent="0.3">
      <c r="A380" s="18" t="s">
        <v>62</v>
      </c>
      <c r="B380" s="19">
        <v>45039</v>
      </c>
      <c r="C380" s="20" t="s">
        <v>401</v>
      </c>
      <c r="D380" s="20" t="s">
        <v>402</v>
      </c>
      <c r="E380" s="20" t="s">
        <v>151</v>
      </c>
      <c r="F380" s="21" t="s">
        <v>74</v>
      </c>
      <c r="G380" t="s">
        <v>802</v>
      </c>
    </row>
    <row r="381" spans="1:7" x14ac:dyDescent="0.3">
      <c r="A381" s="18" t="s">
        <v>62</v>
      </c>
      <c r="B381" s="19">
        <v>45039</v>
      </c>
      <c r="C381" s="20" t="s">
        <v>403</v>
      </c>
      <c r="D381" s="20" t="s">
        <v>404</v>
      </c>
      <c r="E381" s="20" t="s">
        <v>97</v>
      </c>
      <c r="F381" s="21" t="s">
        <v>69</v>
      </c>
      <c r="G381" t="s">
        <v>802</v>
      </c>
    </row>
    <row r="382" spans="1:7" x14ac:dyDescent="0.3">
      <c r="A382" s="18" t="s">
        <v>62</v>
      </c>
      <c r="B382" s="19">
        <v>45039</v>
      </c>
      <c r="C382" s="20" t="s">
        <v>404</v>
      </c>
      <c r="D382" s="20" t="s">
        <v>230</v>
      </c>
      <c r="E382" s="20" t="s">
        <v>80</v>
      </c>
      <c r="F382" s="21" t="s">
        <v>71</v>
      </c>
      <c r="G382" t="s">
        <v>802</v>
      </c>
    </row>
    <row r="383" spans="1:7" x14ac:dyDescent="0.3">
      <c r="A383" s="18" t="s">
        <v>62</v>
      </c>
      <c r="B383" s="19">
        <v>45039</v>
      </c>
      <c r="C383" s="20" t="s">
        <v>230</v>
      </c>
      <c r="D383" s="20" t="s">
        <v>405</v>
      </c>
      <c r="E383" s="20" t="s">
        <v>355</v>
      </c>
      <c r="F383" s="21" t="s">
        <v>105</v>
      </c>
      <c r="G383" t="s">
        <v>802</v>
      </c>
    </row>
    <row r="384" spans="1:7" x14ac:dyDescent="0.3">
      <c r="A384" s="18" t="s">
        <v>62</v>
      </c>
      <c r="B384" s="19">
        <v>45039</v>
      </c>
      <c r="C384" s="20" t="s">
        <v>233</v>
      </c>
      <c r="D384" s="20" t="s">
        <v>406</v>
      </c>
      <c r="E384" s="20" t="s">
        <v>65</v>
      </c>
      <c r="F384" s="21" t="s">
        <v>69</v>
      </c>
      <c r="G384" t="s">
        <v>802</v>
      </c>
    </row>
    <row r="385" spans="1:7" x14ac:dyDescent="0.3">
      <c r="A385" s="18" t="s">
        <v>62</v>
      </c>
      <c r="B385" s="19">
        <v>45039</v>
      </c>
      <c r="C385" s="20" t="s">
        <v>406</v>
      </c>
      <c r="D385" s="20" t="s">
        <v>407</v>
      </c>
      <c r="E385" s="20" t="s">
        <v>80</v>
      </c>
      <c r="F385" s="21" t="s">
        <v>71</v>
      </c>
      <c r="G385" t="s">
        <v>802</v>
      </c>
    </row>
    <row r="386" spans="1:7" x14ac:dyDescent="0.3">
      <c r="A386" s="18" t="s">
        <v>62</v>
      </c>
      <c r="B386" s="19">
        <v>45039</v>
      </c>
      <c r="C386" s="20" t="s">
        <v>407</v>
      </c>
      <c r="D386" s="20" t="s">
        <v>408</v>
      </c>
      <c r="E386" s="20" t="s">
        <v>122</v>
      </c>
      <c r="F386" s="21" t="s">
        <v>66</v>
      </c>
      <c r="G386" t="s">
        <v>802</v>
      </c>
    </row>
    <row r="387" spans="1:7" x14ac:dyDescent="0.3">
      <c r="A387" s="18" t="s">
        <v>62</v>
      </c>
      <c r="B387" s="19">
        <v>45039</v>
      </c>
      <c r="C387" s="20" t="s">
        <v>408</v>
      </c>
      <c r="D387" s="20" t="s">
        <v>409</v>
      </c>
      <c r="E387" s="20" t="s">
        <v>76</v>
      </c>
      <c r="F387" s="21" t="s">
        <v>74</v>
      </c>
      <c r="G387" t="s">
        <v>802</v>
      </c>
    </row>
    <row r="388" spans="1:7" x14ac:dyDescent="0.3">
      <c r="A388" s="18" t="s">
        <v>62</v>
      </c>
      <c r="B388" s="19">
        <v>45039</v>
      </c>
      <c r="C388" s="20" t="s">
        <v>410</v>
      </c>
      <c r="D388" s="20" t="s">
        <v>83</v>
      </c>
      <c r="E388" s="20" t="s">
        <v>80</v>
      </c>
      <c r="F388" s="21" t="s">
        <v>69</v>
      </c>
      <c r="G388" t="s">
        <v>802</v>
      </c>
    </row>
    <row r="389" spans="1:7" x14ac:dyDescent="0.3">
      <c r="A389" s="18" t="s">
        <v>62</v>
      </c>
      <c r="B389" s="19">
        <v>45039</v>
      </c>
      <c r="C389" s="20" t="s">
        <v>102</v>
      </c>
      <c r="D389" s="20" t="s">
        <v>84</v>
      </c>
      <c r="E389" s="20" t="s">
        <v>65</v>
      </c>
      <c r="F389" s="21" t="s">
        <v>71</v>
      </c>
      <c r="G389" t="s">
        <v>802</v>
      </c>
    </row>
    <row r="390" spans="1:7" x14ac:dyDescent="0.3">
      <c r="A390" s="18" t="s">
        <v>62</v>
      </c>
      <c r="B390" s="19">
        <v>45039</v>
      </c>
      <c r="C390" s="20" t="s">
        <v>84</v>
      </c>
      <c r="D390" s="20" t="s">
        <v>86</v>
      </c>
      <c r="E390" s="20" t="s">
        <v>87</v>
      </c>
      <c r="F390" s="21" t="s">
        <v>105</v>
      </c>
      <c r="G390" t="s">
        <v>802</v>
      </c>
    </row>
    <row r="391" spans="1:7" x14ac:dyDescent="0.3">
      <c r="A391" s="18" t="s">
        <v>62</v>
      </c>
      <c r="B391" s="19">
        <v>45039</v>
      </c>
      <c r="C391" s="20" t="s">
        <v>86</v>
      </c>
      <c r="D391" s="20" t="s">
        <v>326</v>
      </c>
      <c r="E391" s="20" t="s">
        <v>110</v>
      </c>
      <c r="F391" s="21" t="s">
        <v>66</v>
      </c>
      <c r="G391" t="s">
        <v>802</v>
      </c>
    </row>
    <row r="392" spans="1:7" x14ac:dyDescent="0.3">
      <c r="A392" s="18" t="s">
        <v>62</v>
      </c>
      <c r="B392" s="19">
        <v>45040</v>
      </c>
      <c r="C392" s="20" t="s">
        <v>411</v>
      </c>
      <c r="D392" s="20" t="s">
        <v>412</v>
      </c>
      <c r="E392" s="20" t="s">
        <v>65</v>
      </c>
      <c r="F392" s="21" t="s">
        <v>69</v>
      </c>
      <c r="G392" t="s">
        <v>797</v>
      </c>
    </row>
    <row r="393" spans="1:7" x14ac:dyDescent="0.3">
      <c r="A393" s="18" t="s">
        <v>62</v>
      </c>
      <c r="B393" s="19">
        <v>45040</v>
      </c>
      <c r="C393" s="20" t="s">
        <v>413</v>
      </c>
      <c r="D393" s="20" t="s">
        <v>414</v>
      </c>
      <c r="E393" s="20" t="s">
        <v>65</v>
      </c>
      <c r="F393" s="21" t="s">
        <v>71</v>
      </c>
      <c r="G393" t="s">
        <v>797</v>
      </c>
    </row>
    <row r="394" spans="1:7" x14ac:dyDescent="0.3">
      <c r="A394" s="18" t="s">
        <v>62</v>
      </c>
      <c r="B394" s="19">
        <v>45040</v>
      </c>
      <c r="C394" s="20" t="s">
        <v>415</v>
      </c>
      <c r="D394" s="20" t="s">
        <v>416</v>
      </c>
      <c r="E394" s="20" t="s">
        <v>122</v>
      </c>
      <c r="F394" s="21" t="s">
        <v>417</v>
      </c>
      <c r="G394" t="s">
        <v>797</v>
      </c>
    </row>
    <row r="395" spans="1:7" x14ac:dyDescent="0.3">
      <c r="A395" s="18" t="s">
        <v>62</v>
      </c>
      <c r="B395" s="19">
        <v>45040</v>
      </c>
      <c r="C395" s="20" t="s">
        <v>309</v>
      </c>
      <c r="D395" s="20" t="s">
        <v>418</v>
      </c>
      <c r="E395" s="20" t="s">
        <v>65</v>
      </c>
      <c r="F395" s="21" t="s">
        <v>69</v>
      </c>
      <c r="G395" t="s">
        <v>797</v>
      </c>
    </row>
    <row r="396" spans="1:7" x14ac:dyDescent="0.3">
      <c r="A396" s="18" t="s">
        <v>62</v>
      </c>
      <c r="B396" s="19">
        <v>45040</v>
      </c>
      <c r="C396" s="20" t="s">
        <v>419</v>
      </c>
      <c r="D396" s="20" t="s">
        <v>420</v>
      </c>
      <c r="E396" s="20" t="s">
        <v>76</v>
      </c>
      <c r="F396" s="21" t="s">
        <v>74</v>
      </c>
      <c r="G396" t="s">
        <v>797</v>
      </c>
    </row>
    <row r="397" spans="1:7" x14ac:dyDescent="0.3">
      <c r="A397" s="18" t="s">
        <v>62</v>
      </c>
      <c r="B397" s="19">
        <v>45040</v>
      </c>
      <c r="C397" s="20" t="s">
        <v>276</v>
      </c>
      <c r="D397" s="20" t="s">
        <v>421</v>
      </c>
      <c r="E397" s="20" t="s">
        <v>97</v>
      </c>
      <c r="F397" s="21" t="s">
        <v>69</v>
      </c>
      <c r="G397" t="s">
        <v>797</v>
      </c>
    </row>
    <row r="398" spans="1:7" x14ac:dyDescent="0.3">
      <c r="A398" s="18" t="s">
        <v>62</v>
      </c>
      <c r="B398" s="19">
        <v>45040</v>
      </c>
      <c r="C398" s="20" t="s">
        <v>421</v>
      </c>
      <c r="D398" s="20" t="s">
        <v>278</v>
      </c>
      <c r="E398" s="20" t="s">
        <v>65</v>
      </c>
      <c r="F398" s="21" t="s">
        <v>71</v>
      </c>
      <c r="G398" t="s">
        <v>797</v>
      </c>
    </row>
    <row r="399" spans="1:7" x14ac:dyDescent="0.3">
      <c r="A399" s="18" t="s">
        <v>62</v>
      </c>
      <c r="B399" s="19">
        <v>45040</v>
      </c>
      <c r="C399" s="20" t="s">
        <v>278</v>
      </c>
      <c r="D399" s="20" t="s">
        <v>279</v>
      </c>
      <c r="E399" s="20" t="s">
        <v>87</v>
      </c>
      <c r="F399" s="21" t="s">
        <v>105</v>
      </c>
      <c r="G399" t="s">
        <v>797</v>
      </c>
    </row>
    <row r="400" spans="1:7" x14ac:dyDescent="0.3">
      <c r="A400" s="18" t="s">
        <v>62</v>
      </c>
      <c r="B400" s="19">
        <v>45040</v>
      </c>
      <c r="C400" s="20" t="s">
        <v>283</v>
      </c>
      <c r="D400" s="20" t="s">
        <v>422</v>
      </c>
      <c r="E400" s="20" t="s">
        <v>65</v>
      </c>
      <c r="F400" s="21" t="s">
        <v>69</v>
      </c>
      <c r="G400" t="s">
        <v>797</v>
      </c>
    </row>
    <row r="401" spans="1:7" x14ac:dyDescent="0.3">
      <c r="A401" s="18" t="s">
        <v>62</v>
      </c>
      <c r="B401" s="19">
        <v>45040</v>
      </c>
      <c r="C401" s="20" t="s">
        <v>422</v>
      </c>
      <c r="D401" s="20" t="s">
        <v>251</v>
      </c>
      <c r="E401" s="20" t="s">
        <v>423</v>
      </c>
      <c r="F401" s="21" t="s">
        <v>253</v>
      </c>
      <c r="G401" t="s">
        <v>797</v>
      </c>
    </row>
    <row r="402" spans="1:7" x14ac:dyDescent="0.3">
      <c r="A402" s="18" t="s">
        <v>62</v>
      </c>
      <c r="B402" s="19">
        <v>45040</v>
      </c>
      <c r="C402" s="20" t="s">
        <v>424</v>
      </c>
      <c r="D402" s="20" t="s">
        <v>145</v>
      </c>
      <c r="E402" s="20" t="s">
        <v>425</v>
      </c>
      <c r="F402" s="21" t="s">
        <v>426</v>
      </c>
      <c r="G402" t="s">
        <v>797</v>
      </c>
    </row>
    <row r="403" spans="1:7" x14ac:dyDescent="0.3">
      <c r="A403" s="18" t="s">
        <v>62</v>
      </c>
      <c r="B403" s="19">
        <v>45040</v>
      </c>
      <c r="C403" s="20" t="s">
        <v>283</v>
      </c>
      <c r="D403" s="20" t="s">
        <v>254</v>
      </c>
      <c r="E403" s="20" t="s">
        <v>427</v>
      </c>
      <c r="F403" s="21" t="s">
        <v>253</v>
      </c>
      <c r="G403" t="s">
        <v>797</v>
      </c>
    </row>
    <row r="404" spans="1:7" x14ac:dyDescent="0.3">
      <c r="A404" s="18" t="s">
        <v>62</v>
      </c>
      <c r="B404" s="19">
        <v>45041</v>
      </c>
      <c r="C404" s="20" t="s">
        <v>428</v>
      </c>
      <c r="D404" s="20" t="s">
        <v>429</v>
      </c>
      <c r="E404" s="20" t="s">
        <v>85</v>
      </c>
      <c r="F404" s="21" t="s">
        <v>69</v>
      </c>
      <c r="G404" t="s">
        <v>798</v>
      </c>
    </row>
    <row r="405" spans="1:7" x14ac:dyDescent="0.3">
      <c r="A405" s="18" t="s">
        <v>62</v>
      </c>
      <c r="B405" s="19">
        <v>45041</v>
      </c>
      <c r="C405" s="20" t="s">
        <v>429</v>
      </c>
      <c r="D405" s="20" t="s">
        <v>430</v>
      </c>
      <c r="E405" s="20" t="s">
        <v>65</v>
      </c>
      <c r="F405" s="21" t="s">
        <v>71</v>
      </c>
      <c r="G405" t="s">
        <v>798</v>
      </c>
    </row>
    <row r="406" spans="1:7" x14ac:dyDescent="0.3">
      <c r="A406" s="18" t="s">
        <v>62</v>
      </c>
      <c r="B406" s="19">
        <v>45041</v>
      </c>
      <c r="C406" s="20" t="s">
        <v>430</v>
      </c>
      <c r="D406" s="20" t="s">
        <v>107</v>
      </c>
      <c r="E406" s="20" t="s">
        <v>73</v>
      </c>
      <c r="F406" s="21" t="s">
        <v>74</v>
      </c>
      <c r="G406" t="s">
        <v>798</v>
      </c>
    </row>
    <row r="407" spans="1:7" x14ac:dyDescent="0.3">
      <c r="A407" s="18" t="s">
        <v>62</v>
      </c>
      <c r="B407" s="19">
        <v>45041</v>
      </c>
      <c r="C407" s="20" t="s">
        <v>339</v>
      </c>
      <c r="D407" s="20" t="s">
        <v>431</v>
      </c>
      <c r="E407" s="20" t="s">
        <v>85</v>
      </c>
      <c r="F407" s="21" t="s">
        <v>248</v>
      </c>
      <c r="G407" t="s">
        <v>798</v>
      </c>
    </row>
    <row r="408" spans="1:7" x14ac:dyDescent="0.3">
      <c r="A408" s="18" t="s">
        <v>62</v>
      </c>
      <c r="B408" s="19">
        <v>45041</v>
      </c>
      <c r="C408" s="20" t="s">
        <v>432</v>
      </c>
      <c r="D408" s="20" t="s">
        <v>433</v>
      </c>
      <c r="E408" s="20" t="s">
        <v>80</v>
      </c>
      <c r="F408" s="21" t="s">
        <v>69</v>
      </c>
      <c r="G408" t="s">
        <v>798</v>
      </c>
    </row>
    <row r="409" spans="1:7" x14ac:dyDescent="0.3">
      <c r="A409" s="18" t="s">
        <v>62</v>
      </c>
      <c r="B409" s="19">
        <v>45041</v>
      </c>
      <c r="C409" s="20" t="s">
        <v>433</v>
      </c>
      <c r="D409" s="20" t="s">
        <v>421</v>
      </c>
      <c r="E409" s="20" t="s">
        <v>65</v>
      </c>
      <c r="F409" s="21" t="s">
        <v>71</v>
      </c>
      <c r="G409" t="s">
        <v>798</v>
      </c>
    </row>
    <row r="410" spans="1:7" x14ac:dyDescent="0.3">
      <c r="A410" s="18" t="s">
        <v>62</v>
      </c>
      <c r="B410" s="19">
        <v>45041</v>
      </c>
      <c r="C410" s="20" t="s">
        <v>421</v>
      </c>
      <c r="D410" s="20" t="s">
        <v>212</v>
      </c>
      <c r="E410" s="20" t="s">
        <v>104</v>
      </c>
      <c r="F410" s="21" t="s">
        <v>105</v>
      </c>
      <c r="G410" t="s">
        <v>798</v>
      </c>
    </row>
    <row r="411" spans="1:7" x14ac:dyDescent="0.3">
      <c r="A411" s="18" t="s">
        <v>62</v>
      </c>
      <c r="B411" s="19">
        <v>45041</v>
      </c>
      <c r="C411" s="20" t="s">
        <v>135</v>
      </c>
      <c r="D411" s="20" t="s">
        <v>434</v>
      </c>
      <c r="E411" s="20" t="s">
        <v>140</v>
      </c>
      <c r="F411" s="21" t="s">
        <v>74</v>
      </c>
      <c r="G411" t="s">
        <v>798</v>
      </c>
    </row>
    <row r="412" spans="1:7" x14ac:dyDescent="0.3">
      <c r="A412" s="18" t="s">
        <v>62</v>
      </c>
      <c r="B412" s="19">
        <v>45041</v>
      </c>
      <c r="C412" s="20" t="s">
        <v>302</v>
      </c>
      <c r="D412" s="20" t="s">
        <v>251</v>
      </c>
      <c r="E412" s="20" t="s">
        <v>435</v>
      </c>
      <c r="F412" s="21" t="s">
        <v>253</v>
      </c>
      <c r="G412" t="s">
        <v>798</v>
      </c>
    </row>
    <row r="413" spans="1:7" x14ac:dyDescent="0.3">
      <c r="A413" s="18" t="s">
        <v>62</v>
      </c>
      <c r="B413" s="19">
        <v>45041</v>
      </c>
      <c r="C413" s="20" t="s">
        <v>251</v>
      </c>
      <c r="D413" s="20" t="s">
        <v>254</v>
      </c>
      <c r="E413" s="20" t="s">
        <v>255</v>
      </c>
      <c r="F413" s="21" t="s">
        <v>253</v>
      </c>
      <c r="G413" t="s">
        <v>798</v>
      </c>
    </row>
    <row r="414" spans="1:7" x14ac:dyDescent="0.3">
      <c r="A414" s="18" t="s">
        <v>62</v>
      </c>
      <c r="B414" s="19">
        <v>45042</v>
      </c>
      <c r="C414" s="20" t="s">
        <v>436</v>
      </c>
      <c r="D414" s="20" t="s">
        <v>373</v>
      </c>
      <c r="E414" s="20" t="s">
        <v>398</v>
      </c>
      <c r="F414" s="21" t="s">
        <v>69</v>
      </c>
      <c r="G414" t="s">
        <v>799</v>
      </c>
    </row>
    <row r="415" spans="1:7" x14ac:dyDescent="0.3">
      <c r="A415" s="18" t="s">
        <v>62</v>
      </c>
      <c r="B415" s="19">
        <v>45042</v>
      </c>
      <c r="C415" s="20" t="s">
        <v>373</v>
      </c>
      <c r="D415" s="20" t="s">
        <v>374</v>
      </c>
      <c r="E415" s="20" t="s">
        <v>65</v>
      </c>
      <c r="F415" s="21" t="s">
        <v>71</v>
      </c>
      <c r="G415" t="s">
        <v>799</v>
      </c>
    </row>
    <row r="416" spans="1:7" x14ac:dyDescent="0.3">
      <c r="A416" s="18" t="s">
        <v>62</v>
      </c>
      <c r="B416" s="19">
        <v>45042</v>
      </c>
      <c r="C416" s="20" t="s">
        <v>374</v>
      </c>
      <c r="D416" s="20" t="s">
        <v>225</v>
      </c>
      <c r="E416" s="20" t="s">
        <v>355</v>
      </c>
      <c r="F416" s="21" t="s">
        <v>74</v>
      </c>
      <c r="G416" t="s">
        <v>799</v>
      </c>
    </row>
    <row r="417" spans="1:7" x14ac:dyDescent="0.3">
      <c r="A417" s="18" t="s">
        <v>62</v>
      </c>
      <c r="B417" s="19">
        <v>45042</v>
      </c>
      <c r="C417" s="20" t="s">
        <v>437</v>
      </c>
      <c r="D417" s="20" t="s">
        <v>279</v>
      </c>
      <c r="E417" s="20" t="s">
        <v>80</v>
      </c>
      <c r="F417" s="21" t="s">
        <v>69</v>
      </c>
      <c r="G417" t="s">
        <v>799</v>
      </c>
    </row>
    <row r="418" spans="1:7" x14ac:dyDescent="0.3">
      <c r="A418" s="18" t="s">
        <v>62</v>
      </c>
      <c r="B418" s="19">
        <v>45042</v>
      </c>
      <c r="C418" s="20" t="s">
        <v>279</v>
      </c>
      <c r="D418" s="20" t="s">
        <v>280</v>
      </c>
      <c r="E418" s="20" t="s">
        <v>65</v>
      </c>
      <c r="F418" s="21" t="s">
        <v>71</v>
      </c>
      <c r="G418" t="s">
        <v>799</v>
      </c>
    </row>
    <row r="419" spans="1:7" x14ac:dyDescent="0.3">
      <c r="A419" s="18" t="s">
        <v>62</v>
      </c>
      <c r="B419" s="19">
        <v>45042</v>
      </c>
      <c r="C419" s="20" t="s">
        <v>280</v>
      </c>
      <c r="D419" s="20" t="s">
        <v>438</v>
      </c>
      <c r="E419" s="20" t="s">
        <v>140</v>
      </c>
      <c r="F419" s="21" t="s">
        <v>105</v>
      </c>
      <c r="G419" t="s">
        <v>799</v>
      </c>
    </row>
    <row r="420" spans="1:7" x14ac:dyDescent="0.3">
      <c r="A420" s="18" t="s">
        <v>62</v>
      </c>
      <c r="B420" s="19">
        <v>45042</v>
      </c>
      <c r="C420" s="20" t="s">
        <v>439</v>
      </c>
      <c r="D420" s="20" t="s">
        <v>440</v>
      </c>
      <c r="E420" s="20" t="s">
        <v>441</v>
      </c>
      <c r="F420" s="21" t="s">
        <v>105</v>
      </c>
      <c r="G420" t="s">
        <v>799</v>
      </c>
    </row>
    <row r="421" spans="1:7" x14ac:dyDescent="0.3">
      <c r="A421" s="18" t="s">
        <v>62</v>
      </c>
      <c r="B421" s="19">
        <v>45042</v>
      </c>
      <c r="C421" s="20" t="s">
        <v>442</v>
      </c>
      <c r="D421" s="20" t="s">
        <v>443</v>
      </c>
      <c r="E421" s="20" t="s">
        <v>65</v>
      </c>
      <c r="F421" s="21" t="s">
        <v>69</v>
      </c>
      <c r="G421" t="s">
        <v>799</v>
      </c>
    </row>
    <row r="422" spans="1:7" x14ac:dyDescent="0.3">
      <c r="A422" s="18" t="s">
        <v>62</v>
      </c>
      <c r="B422" s="19">
        <v>45042</v>
      </c>
      <c r="C422" s="20" t="s">
        <v>443</v>
      </c>
      <c r="D422" s="20" t="s">
        <v>156</v>
      </c>
      <c r="E422" s="20" t="s">
        <v>97</v>
      </c>
      <c r="F422" s="21" t="s">
        <v>71</v>
      </c>
      <c r="G422" t="s">
        <v>799</v>
      </c>
    </row>
    <row r="423" spans="1:7" x14ac:dyDescent="0.3">
      <c r="A423" s="18" t="s">
        <v>62</v>
      </c>
      <c r="B423" s="19">
        <v>45042</v>
      </c>
      <c r="C423" s="20" t="s">
        <v>156</v>
      </c>
      <c r="D423" s="20" t="s">
        <v>246</v>
      </c>
      <c r="E423" s="20" t="s">
        <v>65</v>
      </c>
      <c r="F423" s="21" t="s">
        <v>66</v>
      </c>
      <c r="G423" t="s">
        <v>799</v>
      </c>
    </row>
    <row r="424" spans="1:7" x14ac:dyDescent="0.3">
      <c r="A424" s="18" t="s">
        <v>62</v>
      </c>
      <c r="B424" s="19">
        <v>45042</v>
      </c>
      <c r="C424" s="20" t="s">
        <v>246</v>
      </c>
      <c r="D424" s="20" t="s">
        <v>444</v>
      </c>
      <c r="E424" s="20" t="s">
        <v>73</v>
      </c>
      <c r="F424" s="21" t="s">
        <v>74</v>
      </c>
      <c r="G424" t="s">
        <v>799</v>
      </c>
    </row>
    <row r="425" spans="1:7" x14ac:dyDescent="0.3">
      <c r="A425" s="18" t="s">
        <v>62</v>
      </c>
      <c r="B425" s="19">
        <v>45043</v>
      </c>
      <c r="C425" s="20" t="s">
        <v>445</v>
      </c>
      <c r="D425" s="20" t="s">
        <v>211</v>
      </c>
      <c r="E425" s="20" t="s">
        <v>129</v>
      </c>
      <c r="F425" s="21" t="s">
        <v>74</v>
      </c>
      <c r="G425" t="s">
        <v>800</v>
      </c>
    </row>
    <row r="426" spans="1:7" x14ac:dyDescent="0.3">
      <c r="A426" s="18" t="s">
        <v>62</v>
      </c>
      <c r="B426" s="19">
        <v>45043</v>
      </c>
      <c r="C426" s="20" t="s">
        <v>213</v>
      </c>
      <c r="D426" s="20" t="s">
        <v>342</v>
      </c>
      <c r="E426" s="20" t="s">
        <v>442</v>
      </c>
      <c r="F426" s="21" t="s">
        <v>74</v>
      </c>
      <c r="G426" t="s">
        <v>800</v>
      </c>
    </row>
    <row r="427" spans="1:7" x14ac:dyDescent="0.3">
      <c r="A427" s="18" t="s">
        <v>62</v>
      </c>
      <c r="B427" s="19">
        <v>45043</v>
      </c>
      <c r="C427" s="20" t="s">
        <v>446</v>
      </c>
      <c r="D427" s="20" t="s">
        <v>447</v>
      </c>
      <c r="E427" s="20" t="s">
        <v>355</v>
      </c>
      <c r="F427" s="21" t="s">
        <v>74</v>
      </c>
      <c r="G427" t="s">
        <v>800</v>
      </c>
    </row>
    <row r="428" spans="1:7" x14ac:dyDescent="0.3">
      <c r="A428" s="18" t="s">
        <v>62</v>
      </c>
      <c r="B428" s="19">
        <v>45043</v>
      </c>
      <c r="C428" s="20" t="s">
        <v>448</v>
      </c>
      <c r="D428" s="20" t="s">
        <v>449</v>
      </c>
      <c r="E428" s="20" t="s">
        <v>65</v>
      </c>
      <c r="F428" s="21" t="s">
        <v>450</v>
      </c>
      <c r="G428" t="s">
        <v>800</v>
      </c>
    </row>
    <row r="429" spans="1:7" x14ac:dyDescent="0.3">
      <c r="A429" s="18" t="s">
        <v>62</v>
      </c>
      <c r="B429" s="19">
        <v>45043</v>
      </c>
      <c r="C429" s="20" t="s">
        <v>451</v>
      </c>
      <c r="D429" s="20" t="s">
        <v>452</v>
      </c>
      <c r="E429" s="20" t="s">
        <v>65</v>
      </c>
      <c r="F429" s="21" t="s">
        <v>69</v>
      </c>
      <c r="G429" t="s">
        <v>800</v>
      </c>
    </row>
    <row r="430" spans="1:7" x14ac:dyDescent="0.3">
      <c r="A430" s="18" t="s">
        <v>62</v>
      </c>
      <c r="B430" s="19">
        <v>45043</v>
      </c>
      <c r="C430" s="20" t="s">
        <v>452</v>
      </c>
      <c r="D430" s="20" t="s">
        <v>113</v>
      </c>
      <c r="E430" s="20" t="s">
        <v>80</v>
      </c>
      <c r="F430" s="21" t="s">
        <v>71</v>
      </c>
      <c r="G430" t="s">
        <v>800</v>
      </c>
    </row>
    <row r="431" spans="1:7" x14ac:dyDescent="0.3">
      <c r="A431" s="18" t="s">
        <v>62</v>
      </c>
      <c r="B431" s="19">
        <v>45043</v>
      </c>
      <c r="C431" s="20" t="s">
        <v>113</v>
      </c>
      <c r="D431" s="20" t="s">
        <v>264</v>
      </c>
      <c r="E431" s="20" t="s">
        <v>65</v>
      </c>
      <c r="F431" s="21" t="s">
        <v>66</v>
      </c>
      <c r="G431" t="s">
        <v>800</v>
      </c>
    </row>
    <row r="432" spans="1:7" x14ac:dyDescent="0.3">
      <c r="A432" s="18" t="s">
        <v>62</v>
      </c>
      <c r="B432" s="19">
        <v>45043</v>
      </c>
      <c r="C432" s="20" t="s">
        <v>264</v>
      </c>
      <c r="D432" s="20" t="s">
        <v>194</v>
      </c>
      <c r="E432" s="20" t="s">
        <v>122</v>
      </c>
      <c r="F432" s="21" t="s">
        <v>105</v>
      </c>
      <c r="G432" t="s">
        <v>800</v>
      </c>
    </row>
    <row r="433" spans="1:7" x14ac:dyDescent="0.3">
      <c r="A433" s="18" t="s">
        <v>62</v>
      </c>
      <c r="B433" s="19">
        <v>45043</v>
      </c>
      <c r="C433" s="20" t="s">
        <v>194</v>
      </c>
      <c r="D433" s="20" t="s">
        <v>453</v>
      </c>
      <c r="E433" s="20" t="s">
        <v>73</v>
      </c>
      <c r="F433" s="21" t="s">
        <v>89</v>
      </c>
      <c r="G433" t="s">
        <v>800</v>
      </c>
    </row>
    <row r="434" spans="1:7" x14ac:dyDescent="0.3">
      <c r="A434" s="18" t="s">
        <v>62</v>
      </c>
      <c r="B434" s="19">
        <v>45044</v>
      </c>
      <c r="C434" s="20" t="s">
        <v>454</v>
      </c>
      <c r="D434" s="20" t="s">
        <v>455</v>
      </c>
      <c r="E434" s="20" t="s">
        <v>425</v>
      </c>
      <c r="F434" s="21" t="s">
        <v>105</v>
      </c>
      <c r="G434" t="s">
        <v>801</v>
      </c>
    </row>
    <row r="435" spans="1:7" x14ac:dyDescent="0.3">
      <c r="A435" s="18" t="s">
        <v>62</v>
      </c>
      <c r="B435" s="19">
        <v>45044</v>
      </c>
      <c r="C435" s="20" t="s">
        <v>456</v>
      </c>
      <c r="D435" s="20" t="s">
        <v>174</v>
      </c>
      <c r="E435" s="20" t="s">
        <v>85</v>
      </c>
      <c r="F435" s="21" t="s">
        <v>69</v>
      </c>
      <c r="G435" t="s">
        <v>801</v>
      </c>
    </row>
    <row r="436" spans="1:7" x14ac:dyDescent="0.3">
      <c r="A436" s="18" t="s">
        <v>62</v>
      </c>
      <c r="B436" s="19">
        <v>45044</v>
      </c>
      <c r="C436" s="20" t="s">
        <v>174</v>
      </c>
      <c r="D436" s="20" t="s">
        <v>313</v>
      </c>
      <c r="E436" s="20" t="s">
        <v>65</v>
      </c>
      <c r="F436" s="21" t="s">
        <v>71</v>
      </c>
      <c r="G436" t="s">
        <v>801</v>
      </c>
    </row>
    <row r="437" spans="1:7" x14ac:dyDescent="0.3">
      <c r="A437" s="18" t="s">
        <v>62</v>
      </c>
      <c r="B437" s="19">
        <v>45044</v>
      </c>
      <c r="C437" s="20" t="s">
        <v>313</v>
      </c>
      <c r="D437" s="20" t="s">
        <v>457</v>
      </c>
      <c r="E437" s="20" t="s">
        <v>97</v>
      </c>
      <c r="F437" s="21" t="s">
        <v>74</v>
      </c>
      <c r="G437" t="s">
        <v>801</v>
      </c>
    </row>
    <row r="438" spans="1:7" x14ac:dyDescent="0.3">
      <c r="A438" s="18" t="s">
        <v>62</v>
      </c>
      <c r="B438" s="19">
        <v>45044</v>
      </c>
      <c r="C438" s="20" t="s">
        <v>458</v>
      </c>
      <c r="D438" s="20" t="s">
        <v>365</v>
      </c>
      <c r="E438" s="20" t="s">
        <v>459</v>
      </c>
      <c r="F438" s="21" t="s">
        <v>253</v>
      </c>
      <c r="G438" t="s">
        <v>801</v>
      </c>
    </row>
    <row r="439" spans="1:7" x14ac:dyDescent="0.3">
      <c r="A439" s="18" t="s">
        <v>62</v>
      </c>
      <c r="B439" s="19">
        <v>45045</v>
      </c>
      <c r="C439" s="20" t="s">
        <v>460</v>
      </c>
      <c r="D439" s="20" t="s">
        <v>461</v>
      </c>
      <c r="E439" s="20" t="s">
        <v>65</v>
      </c>
      <c r="F439" s="21" t="s">
        <v>69</v>
      </c>
      <c r="G439" t="s">
        <v>803</v>
      </c>
    </row>
    <row r="440" spans="1:7" x14ac:dyDescent="0.3">
      <c r="A440" s="18" t="s">
        <v>62</v>
      </c>
      <c r="B440" s="19">
        <v>45045</v>
      </c>
      <c r="C440" s="20" t="s">
        <v>461</v>
      </c>
      <c r="D440" s="20" t="s">
        <v>462</v>
      </c>
      <c r="E440" s="20" t="s">
        <v>97</v>
      </c>
      <c r="F440" s="21" t="s">
        <v>71</v>
      </c>
      <c r="G440" t="s">
        <v>803</v>
      </c>
    </row>
    <row r="441" spans="1:7" x14ac:dyDescent="0.3">
      <c r="A441" s="18" t="s">
        <v>62</v>
      </c>
      <c r="B441" s="19">
        <v>45045</v>
      </c>
      <c r="C441" s="20" t="s">
        <v>462</v>
      </c>
      <c r="D441" s="20" t="s">
        <v>463</v>
      </c>
      <c r="E441" s="20" t="s">
        <v>65</v>
      </c>
      <c r="F441" s="21" t="s">
        <v>66</v>
      </c>
      <c r="G441" t="s">
        <v>803</v>
      </c>
    </row>
    <row r="442" spans="1:7" x14ac:dyDescent="0.3">
      <c r="A442" s="18" t="s">
        <v>62</v>
      </c>
      <c r="B442" s="19">
        <v>45045</v>
      </c>
      <c r="C442" s="20" t="s">
        <v>463</v>
      </c>
      <c r="D442" s="20" t="s">
        <v>464</v>
      </c>
      <c r="E442" s="20" t="s">
        <v>292</v>
      </c>
      <c r="F442" s="21" t="s">
        <v>74</v>
      </c>
      <c r="G442" t="s">
        <v>803</v>
      </c>
    </row>
    <row r="443" spans="1:7" x14ac:dyDescent="0.3">
      <c r="A443" s="18" t="s">
        <v>62</v>
      </c>
      <c r="B443" s="19">
        <v>45045</v>
      </c>
      <c r="C443" s="20" t="s">
        <v>465</v>
      </c>
      <c r="D443" s="20" t="s">
        <v>466</v>
      </c>
      <c r="E443" s="20" t="s">
        <v>398</v>
      </c>
      <c r="F443" s="21" t="s">
        <v>69</v>
      </c>
      <c r="G443" t="s">
        <v>803</v>
      </c>
    </row>
    <row r="444" spans="1:7" x14ac:dyDescent="0.3">
      <c r="A444" s="18" t="s">
        <v>62</v>
      </c>
      <c r="B444" s="19">
        <v>45045</v>
      </c>
      <c r="C444" s="20" t="s">
        <v>466</v>
      </c>
      <c r="D444" s="20" t="s">
        <v>229</v>
      </c>
      <c r="E444" s="20" t="s">
        <v>65</v>
      </c>
      <c r="F444" s="21" t="s">
        <v>71</v>
      </c>
      <c r="G444" t="s">
        <v>803</v>
      </c>
    </row>
    <row r="445" spans="1:7" x14ac:dyDescent="0.3">
      <c r="A445" s="18" t="s">
        <v>62</v>
      </c>
      <c r="B445" s="19">
        <v>45045</v>
      </c>
      <c r="C445" s="20" t="s">
        <v>229</v>
      </c>
      <c r="D445" s="20" t="s">
        <v>193</v>
      </c>
      <c r="E445" s="20" t="s">
        <v>104</v>
      </c>
      <c r="F445" s="21" t="s">
        <v>105</v>
      </c>
      <c r="G445" t="s">
        <v>803</v>
      </c>
    </row>
    <row r="446" spans="1:7" x14ac:dyDescent="0.3">
      <c r="A446" s="18" t="s">
        <v>62</v>
      </c>
      <c r="B446" s="19">
        <v>45045</v>
      </c>
      <c r="C446" s="20" t="s">
        <v>467</v>
      </c>
      <c r="D446" s="20" t="s">
        <v>468</v>
      </c>
      <c r="E446" s="20" t="s">
        <v>110</v>
      </c>
      <c r="F446" s="21" t="s">
        <v>74</v>
      </c>
      <c r="G446" t="s">
        <v>803</v>
      </c>
    </row>
    <row r="447" spans="1:7" x14ac:dyDescent="0.3">
      <c r="A447" s="18" t="s">
        <v>62</v>
      </c>
      <c r="B447" s="19">
        <v>45045</v>
      </c>
      <c r="C447" s="20" t="s">
        <v>385</v>
      </c>
      <c r="D447" s="20" t="s">
        <v>469</v>
      </c>
      <c r="E447" s="20" t="s">
        <v>129</v>
      </c>
      <c r="F447" s="21" t="s">
        <v>105</v>
      </c>
      <c r="G447" t="s">
        <v>803</v>
      </c>
    </row>
    <row r="448" spans="1:7" x14ac:dyDescent="0.3">
      <c r="A448" s="18" t="s">
        <v>62</v>
      </c>
      <c r="B448" s="19">
        <v>45045</v>
      </c>
      <c r="C448" s="20" t="s">
        <v>470</v>
      </c>
      <c r="D448" s="20" t="s">
        <v>471</v>
      </c>
      <c r="E448" s="20" t="s">
        <v>228</v>
      </c>
      <c r="F448" s="21" t="s">
        <v>69</v>
      </c>
      <c r="G448" t="s">
        <v>803</v>
      </c>
    </row>
    <row r="449" spans="1:7" x14ac:dyDescent="0.3">
      <c r="A449" s="18" t="s">
        <v>62</v>
      </c>
      <c r="B449" s="19">
        <v>45046</v>
      </c>
      <c r="C449" s="20" t="s">
        <v>470</v>
      </c>
      <c r="D449" s="20" t="s">
        <v>471</v>
      </c>
      <c r="E449" s="20" t="s">
        <v>228</v>
      </c>
      <c r="F449" s="21" t="s">
        <v>69</v>
      </c>
      <c r="G449" t="s">
        <v>802</v>
      </c>
    </row>
    <row r="450" spans="1:7" x14ac:dyDescent="0.3">
      <c r="A450" s="18" t="s">
        <v>62</v>
      </c>
      <c r="B450" s="19">
        <v>45046</v>
      </c>
      <c r="C450" s="20" t="s">
        <v>287</v>
      </c>
      <c r="D450" s="20" t="s">
        <v>185</v>
      </c>
      <c r="E450" s="20" t="s">
        <v>221</v>
      </c>
      <c r="F450" s="21" t="s">
        <v>69</v>
      </c>
      <c r="G450" t="s">
        <v>802</v>
      </c>
    </row>
    <row r="451" spans="1:7" x14ac:dyDescent="0.3">
      <c r="A451" s="18" t="s">
        <v>62</v>
      </c>
      <c r="B451" s="19">
        <v>45046</v>
      </c>
      <c r="C451" s="20" t="s">
        <v>472</v>
      </c>
      <c r="D451" s="20" t="s">
        <v>473</v>
      </c>
      <c r="E451" s="20" t="s">
        <v>65</v>
      </c>
      <c r="F451" s="21" t="s">
        <v>69</v>
      </c>
      <c r="G451" t="s">
        <v>802</v>
      </c>
    </row>
    <row r="452" spans="1:7" x14ac:dyDescent="0.3">
      <c r="A452" s="18" t="s">
        <v>62</v>
      </c>
      <c r="B452" s="19">
        <v>45046</v>
      </c>
      <c r="C452" s="20" t="s">
        <v>473</v>
      </c>
      <c r="D452" s="20" t="s">
        <v>67</v>
      </c>
      <c r="E452" s="20" t="s">
        <v>97</v>
      </c>
      <c r="F452" s="21" t="s">
        <v>71</v>
      </c>
      <c r="G452" t="s">
        <v>802</v>
      </c>
    </row>
    <row r="453" spans="1:7" x14ac:dyDescent="0.3">
      <c r="A453" s="18" t="s">
        <v>62</v>
      </c>
      <c r="B453" s="19">
        <v>45046</v>
      </c>
      <c r="C453" s="20" t="s">
        <v>67</v>
      </c>
      <c r="D453" s="20" t="s">
        <v>70</v>
      </c>
      <c r="E453" s="20" t="s">
        <v>73</v>
      </c>
      <c r="F453" s="21" t="s">
        <v>66</v>
      </c>
      <c r="G453" t="s">
        <v>802</v>
      </c>
    </row>
    <row r="454" spans="1:7" x14ac:dyDescent="0.3">
      <c r="A454" s="18" t="s">
        <v>62</v>
      </c>
      <c r="B454" s="19">
        <v>45046</v>
      </c>
      <c r="C454" s="20" t="s">
        <v>70</v>
      </c>
      <c r="D454" s="20" t="s">
        <v>361</v>
      </c>
      <c r="E454" s="20" t="s">
        <v>122</v>
      </c>
      <c r="F454" s="21" t="s">
        <v>74</v>
      </c>
      <c r="G454" t="s">
        <v>802</v>
      </c>
    </row>
    <row r="455" spans="1:7" x14ac:dyDescent="0.3">
      <c r="A455" s="18" t="s">
        <v>62</v>
      </c>
      <c r="B455" s="19">
        <v>45046</v>
      </c>
      <c r="C455" s="20" t="s">
        <v>213</v>
      </c>
      <c r="D455" s="20" t="s">
        <v>474</v>
      </c>
      <c r="E455" s="20" t="s">
        <v>475</v>
      </c>
      <c r="F455" s="21" t="s">
        <v>69</v>
      </c>
      <c r="G455" t="s">
        <v>802</v>
      </c>
    </row>
    <row r="456" spans="1:7" x14ac:dyDescent="0.3">
      <c r="A456" s="18" t="s">
        <v>62</v>
      </c>
      <c r="B456" s="19">
        <v>45046</v>
      </c>
      <c r="C456" s="20" t="s">
        <v>474</v>
      </c>
      <c r="D456" s="20" t="s">
        <v>476</v>
      </c>
      <c r="E456" s="20" t="s">
        <v>97</v>
      </c>
      <c r="F456" s="21" t="s">
        <v>71</v>
      </c>
      <c r="G456" t="s">
        <v>802</v>
      </c>
    </row>
    <row r="457" spans="1:7" x14ac:dyDescent="0.3">
      <c r="A457" s="18" t="s">
        <v>62</v>
      </c>
      <c r="B457" s="19">
        <v>45046</v>
      </c>
      <c r="C457" s="20" t="s">
        <v>214</v>
      </c>
      <c r="D457" s="20" t="s">
        <v>477</v>
      </c>
      <c r="E457" s="20" t="s">
        <v>452</v>
      </c>
      <c r="F457" s="21" t="s">
        <v>105</v>
      </c>
      <c r="G457" t="s">
        <v>802</v>
      </c>
    </row>
    <row r="458" spans="1:7" x14ac:dyDescent="0.3">
      <c r="A458" s="18" t="s">
        <v>62</v>
      </c>
      <c r="B458" s="19">
        <v>45046</v>
      </c>
      <c r="C458" s="20" t="s">
        <v>478</v>
      </c>
      <c r="D458" s="20" t="s">
        <v>479</v>
      </c>
      <c r="E458" s="20" t="s">
        <v>85</v>
      </c>
      <c r="F458" s="21" t="s">
        <v>69</v>
      </c>
      <c r="G458" t="s">
        <v>802</v>
      </c>
    </row>
    <row r="459" spans="1:7" x14ac:dyDescent="0.3">
      <c r="A459" s="18" t="s">
        <v>62</v>
      </c>
      <c r="B459" s="19">
        <v>45046</v>
      </c>
      <c r="C459" s="20" t="s">
        <v>480</v>
      </c>
      <c r="D459" s="20" t="s">
        <v>481</v>
      </c>
      <c r="E459" s="20" t="s">
        <v>65</v>
      </c>
      <c r="F459" s="21" t="s">
        <v>69</v>
      </c>
      <c r="G459" t="s">
        <v>802</v>
      </c>
    </row>
    <row r="460" spans="1:7" x14ac:dyDescent="0.3">
      <c r="A460" s="18" t="s">
        <v>62</v>
      </c>
      <c r="B460" s="19">
        <v>45046</v>
      </c>
      <c r="C460" s="20" t="s">
        <v>481</v>
      </c>
      <c r="D460" s="20" t="s">
        <v>482</v>
      </c>
      <c r="E460" s="20" t="s">
        <v>97</v>
      </c>
      <c r="F460" s="21" t="s">
        <v>71</v>
      </c>
      <c r="G460" t="s">
        <v>802</v>
      </c>
    </row>
    <row r="461" spans="1:7" x14ac:dyDescent="0.3">
      <c r="A461" s="18" t="s">
        <v>62</v>
      </c>
      <c r="B461" s="19">
        <v>45046</v>
      </c>
      <c r="C461" s="20" t="s">
        <v>483</v>
      </c>
      <c r="D461" s="20" t="s">
        <v>325</v>
      </c>
      <c r="E461" s="20" t="s">
        <v>73</v>
      </c>
      <c r="F461" s="21" t="s">
        <v>74</v>
      </c>
      <c r="G461" t="s">
        <v>802</v>
      </c>
    </row>
    <row r="462" spans="1:7" x14ac:dyDescent="0.3">
      <c r="A462" s="18" t="s">
        <v>62</v>
      </c>
      <c r="B462" s="19">
        <v>45046</v>
      </c>
      <c r="C462" s="20" t="s">
        <v>178</v>
      </c>
      <c r="D462" s="20" t="s">
        <v>484</v>
      </c>
      <c r="E462" s="20" t="s">
        <v>124</v>
      </c>
      <c r="F462" s="21" t="s">
        <v>105</v>
      </c>
      <c r="G462" t="s">
        <v>802</v>
      </c>
    </row>
    <row r="463" spans="1:7" x14ac:dyDescent="0.3">
      <c r="A463" s="18" t="s">
        <v>50</v>
      </c>
      <c r="B463" s="19">
        <v>45017</v>
      </c>
      <c r="C463" s="20">
        <v>6.25E-2</v>
      </c>
      <c r="D463" s="20">
        <v>0.210416666666667</v>
      </c>
      <c r="E463" s="20">
        <v>0.147916666666667</v>
      </c>
      <c r="F463" s="21" t="s">
        <v>49</v>
      </c>
      <c r="G463" t="s">
        <v>803</v>
      </c>
    </row>
    <row r="464" spans="1:7" x14ac:dyDescent="0.3">
      <c r="A464" s="18" t="s">
        <v>50</v>
      </c>
      <c r="B464" s="19">
        <v>45017</v>
      </c>
      <c r="C464" s="20">
        <v>0.57777777777777795</v>
      </c>
      <c r="D464" s="20">
        <v>0.58750000000000002</v>
      </c>
      <c r="E464" s="20">
        <v>9.7222222222221894E-3</v>
      </c>
      <c r="F464" s="21" t="s">
        <v>35</v>
      </c>
      <c r="G464" t="s">
        <v>803</v>
      </c>
    </row>
    <row r="465" spans="1:7" x14ac:dyDescent="0.3">
      <c r="A465" s="18" t="s">
        <v>50</v>
      </c>
      <c r="B465" s="19">
        <v>45018</v>
      </c>
      <c r="C465" s="20">
        <v>0.12361111111111101</v>
      </c>
      <c r="D465" s="20">
        <v>0.21666666666666701</v>
      </c>
      <c r="E465" s="20">
        <v>9.30555555555556E-2</v>
      </c>
      <c r="F465" s="21" t="s">
        <v>38</v>
      </c>
      <c r="G465" t="s">
        <v>802</v>
      </c>
    </row>
    <row r="466" spans="1:7" x14ac:dyDescent="0.3">
      <c r="A466" s="18" t="s">
        <v>50</v>
      </c>
      <c r="B466" s="19">
        <v>45019</v>
      </c>
      <c r="C466" s="20">
        <v>0.63194444444444398</v>
      </c>
      <c r="D466" s="20">
        <v>0.8125</v>
      </c>
      <c r="E466" s="20">
        <v>0.180555555555556</v>
      </c>
      <c r="F466" s="21" t="s">
        <v>49</v>
      </c>
      <c r="G466" t="s">
        <v>797</v>
      </c>
    </row>
    <row r="467" spans="1:7" x14ac:dyDescent="0.3">
      <c r="A467" s="18" t="s">
        <v>50</v>
      </c>
      <c r="B467" s="19">
        <v>45019</v>
      </c>
      <c r="C467" s="20">
        <v>0.8125</v>
      </c>
      <c r="D467" s="20">
        <v>0.875694444444444</v>
      </c>
      <c r="E467" s="20">
        <v>6.31944444444444E-2</v>
      </c>
      <c r="F467" s="21" t="s">
        <v>32</v>
      </c>
      <c r="G467" t="s">
        <v>797</v>
      </c>
    </row>
    <row r="468" spans="1:7" x14ac:dyDescent="0.3">
      <c r="A468" s="18" t="s">
        <v>50</v>
      </c>
      <c r="B468" s="19">
        <v>45020</v>
      </c>
      <c r="C468" s="20">
        <v>0.62152777777777801</v>
      </c>
      <c r="D468" s="20">
        <v>0.624305555555556</v>
      </c>
      <c r="E468" s="20">
        <v>2.7777777777777701E-3</v>
      </c>
      <c r="F468" s="21" t="s">
        <v>51</v>
      </c>
      <c r="G468" t="s">
        <v>798</v>
      </c>
    </row>
    <row r="469" spans="1:7" x14ac:dyDescent="0.3">
      <c r="A469" s="18" t="s">
        <v>50</v>
      </c>
      <c r="B469" s="19">
        <v>45020</v>
      </c>
      <c r="C469" s="20">
        <v>0.74861111111111101</v>
      </c>
      <c r="D469" s="20">
        <v>0.8125</v>
      </c>
      <c r="E469" s="20">
        <v>6.3888888888888995E-2</v>
      </c>
      <c r="F469" s="21" t="s">
        <v>32</v>
      </c>
      <c r="G469" t="s">
        <v>798</v>
      </c>
    </row>
    <row r="470" spans="1:7" x14ac:dyDescent="0.3">
      <c r="A470" s="18" t="s">
        <v>50</v>
      </c>
      <c r="B470" s="19">
        <v>45020</v>
      </c>
      <c r="C470" s="20">
        <v>0.8125</v>
      </c>
      <c r="D470" s="20">
        <v>0.875694444444444</v>
      </c>
      <c r="E470" s="20">
        <v>6.31944444444444E-2</v>
      </c>
      <c r="F470" s="21" t="s">
        <v>32</v>
      </c>
      <c r="G470" t="s">
        <v>798</v>
      </c>
    </row>
    <row r="471" spans="1:7" x14ac:dyDescent="0.3">
      <c r="A471" s="18" t="s">
        <v>50</v>
      </c>
      <c r="B471" s="19">
        <v>45021</v>
      </c>
      <c r="C471" s="20">
        <v>0.74861111111111101</v>
      </c>
      <c r="D471" s="20">
        <v>0.8125</v>
      </c>
      <c r="E471" s="20">
        <v>6.3888888888888995E-2</v>
      </c>
      <c r="F471" s="21" t="s">
        <v>32</v>
      </c>
      <c r="G471" t="s">
        <v>799</v>
      </c>
    </row>
    <row r="472" spans="1:7" x14ac:dyDescent="0.3">
      <c r="A472" s="18" t="s">
        <v>50</v>
      </c>
      <c r="B472" s="19">
        <v>45021</v>
      </c>
      <c r="C472" s="20">
        <v>0.8125</v>
      </c>
      <c r="D472" s="20">
        <v>0.875694444444444</v>
      </c>
      <c r="E472" s="20">
        <v>6.31944444444444E-2</v>
      </c>
      <c r="F472" s="21" t="s">
        <v>32</v>
      </c>
      <c r="G472" t="s">
        <v>799</v>
      </c>
    </row>
    <row r="473" spans="1:7" x14ac:dyDescent="0.3">
      <c r="A473" s="18" t="s">
        <v>50</v>
      </c>
      <c r="B473" s="19">
        <v>45022</v>
      </c>
      <c r="C473" s="20">
        <v>0.74861111111111101</v>
      </c>
      <c r="D473" s="20">
        <v>0.8125</v>
      </c>
      <c r="E473" s="20">
        <v>6.3888888888888995E-2</v>
      </c>
      <c r="F473" s="21" t="s">
        <v>32</v>
      </c>
      <c r="G473" t="s">
        <v>800</v>
      </c>
    </row>
    <row r="474" spans="1:7" x14ac:dyDescent="0.3">
      <c r="A474" s="18" t="s">
        <v>50</v>
      </c>
      <c r="B474" s="19">
        <v>45022</v>
      </c>
      <c r="C474" s="20">
        <v>0.8125</v>
      </c>
      <c r="D474" s="20">
        <v>0.875694444444444</v>
      </c>
      <c r="E474" s="20">
        <v>6.31944444444444E-2</v>
      </c>
      <c r="F474" s="21" t="s">
        <v>32</v>
      </c>
      <c r="G474" t="s">
        <v>800</v>
      </c>
    </row>
    <row r="475" spans="1:7" x14ac:dyDescent="0.3">
      <c r="A475" s="18" t="s">
        <v>50</v>
      </c>
      <c r="B475" s="19">
        <v>45025</v>
      </c>
      <c r="C475" s="20">
        <v>0.42569444444444399</v>
      </c>
      <c r="D475" s="20">
        <v>0.42708333333333298</v>
      </c>
      <c r="E475" s="20">
        <v>1.3888888888888801E-3</v>
      </c>
      <c r="F475" s="21" t="s">
        <v>43</v>
      </c>
      <c r="G475" t="s">
        <v>802</v>
      </c>
    </row>
    <row r="476" spans="1:7" x14ac:dyDescent="0.3">
      <c r="A476" s="18" t="s">
        <v>50</v>
      </c>
      <c r="B476" s="19">
        <v>45026</v>
      </c>
      <c r="C476" s="20">
        <v>0.74861111111111101</v>
      </c>
      <c r="D476" s="20">
        <v>0.79513888888888895</v>
      </c>
      <c r="E476" s="20">
        <v>4.65277777777778E-2</v>
      </c>
      <c r="F476" s="21" t="s">
        <v>32</v>
      </c>
      <c r="G476" t="s">
        <v>797</v>
      </c>
    </row>
    <row r="477" spans="1:7" x14ac:dyDescent="0.3">
      <c r="A477" s="18" t="s">
        <v>50</v>
      </c>
      <c r="B477" s="19">
        <v>45026</v>
      </c>
      <c r="C477" s="20">
        <v>0.87291666666666701</v>
      </c>
      <c r="D477" s="20">
        <v>0.87638888888888899</v>
      </c>
      <c r="E477" s="20">
        <v>3.47222222222232E-3</v>
      </c>
      <c r="F477" s="21" t="s">
        <v>32</v>
      </c>
      <c r="G477" t="s">
        <v>797</v>
      </c>
    </row>
    <row r="478" spans="1:7" x14ac:dyDescent="0.3">
      <c r="A478" s="18" t="s">
        <v>50</v>
      </c>
      <c r="B478" s="19">
        <v>45027</v>
      </c>
      <c r="C478" s="20">
        <v>0.74861111111111101</v>
      </c>
      <c r="D478" s="20">
        <v>0.8125</v>
      </c>
      <c r="E478" s="20">
        <v>6.3888888888888995E-2</v>
      </c>
      <c r="F478" s="21" t="s">
        <v>32</v>
      </c>
      <c r="G478" t="s">
        <v>798</v>
      </c>
    </row>
    <row r="479" spans="1:7" x14ac:dyDescent="0.3">
      <c r="A479" s="18" t="s">
        <v>50</v>
      </c>
      <c r="B479" s="19">
        <v>45027</v>
      </c>
      <c r="C479" s="20">
        <v>0.8125</v>
      </c>
      <c r="D479" s="20">
        <v>0.875694444444444</v>
      </c>
      <c r="E479" s="20">
        <v>6.31944444444444E-2</v>
      </c>
      <c r="F479" s="21" t="s">
        <v>32</v>
      </c>
      <c r="G479" t="s">
        <v>798</v>
      </c>
    </row>
    <row r="480" spans="1:7" x14ac:dyDescent="0.3">
      <c r="A480" s="18" t="s">
        <v>50</v>
      </c>
      <c r="B480" s="19">
        <v>45027</v>
      </c>
      <c r="C480" s="20">
        <v>0.875694444444444</v>
      </c>
      <c r="D480" s="20">
        <v>0.88472222222222197</v>
      </c>
      <c r="E480" s="20">
        <v>9.0277777777778602E-3</v>
      </c>
      <c r="F480" s="21" t="s">
        <v>35</v>
      </c>
      <c r="G480" t="s">
        <v>798</v>
      </c>
    </row>
    <row r="481" spans="1:7" x14ac:dyDescent="0.3">
      <c r="A481" s="18" t="s">
        <v>50</v>
      </c>
      <c r="B481" s="19">
        <v>45028</v>
      </c>
      <c r="C481" s="20">
        <v>0.74861111111111101</v>
      </c>
      <c r="D481" s="20">
        <v>0.8125</v>
      </c>
      <c r="E481" s="20">
        <v>6.3888888888888995E-2</v>
      </c>
      <c r="F481" s="21" t="s">
        <v>52</v>
      </c>
      <c r="G481" t="s">
        <v>799</v>
      </c>
    </row>
    <row r="482" spans="1:7" x14ac:dyDescent="0.3">
      <c r="A482" s="18" t="s">
        <v>50</v>
      </c>
      <c r="B482" s="19">
        <v>45028</v>
      </c>
      <c r="C482" s="20">
        <v>0.8125</v>
      </c>
      <c r="D482" s="20">
        <v>0.875694444444444</v>
      </c>
      <c r="E482" s="20">
        <v>6.31944444444444E-2</v>
      </c>
      <c r="F482" s="21" t="s">
        <v>32</v>
      </c>
      <c r="G482" t="s">
        <v>799</v>
      </c>
    </row>
    <row r="483" spans="1:7" x14ac:dyDescent="0.3">
      <c r="A483" s="18" t="s">
        <v>50</v>
      </c>
      <c r="B483" s="19">
        <v>45029</v>
      </c>
      <c r="C483" s="20">
        <v>0.74861111111111101</v>
      </c>
      <c r="D483" s="20">
        <v>0.8125</v>
      </c>
      <c r="E483" s="20">
        <v>6.3888888888888995E-2</v>
      </c>
      <c r="F483" s="21" t="s">
        <v>32</v>
      </c>
      <c r="G483" t="s">
        <v>800</v>
      </c>
    </row>
    <row r="484" spans="1:7" x14ac:dyDescent="0.3">
      <c r="A484" s="18" t="s">
        <v>50</v>
      </c>
      <c r="B484" s="19">
        <v>45029</v>
      </c>
      <c r="C484" s="20">
        <v>0.8125</v>
      </c>
      <c r="D484" s="20">
        <v>0.875694444444444</v>
      </c>
      <c r="E484" s="20">
        <v>6.31944444444444E-2</v>
      </c>
      <c r="F484" s="21" t="s">
        <v>32</v>
      </c>
      <c r="G484" t="s">
        <v>800</v>
      </c>
    </row>
    <row r="485" spans="1:7" x14ac:dyDescent="0.3">
      <c r="A485" s="18" t="s">
        <v>50</v>
      </c>
      <c r="B485" s="19">
        <v>45030</v>
      </c>
      <c r="C485" s="20">
        <v>0.74861111111111101</v>
      </c>
      <c r="D485" s="20">
        <v>0.79444444444444395</v>
      </c>
      <c r="E485" s="20">
        <v>4.5833333333333399E-2</v>
      </c>
      <c r="F485" s="21" t="s">
        <v>32</v>
      </c>
      <c r="G485" t="s">
        <v>801</v>
      </c>
    </row>
    <row r="486" spans="1:7" x14ac:dyDescent="0.3">
      <c r="A486" s="18" t="s">
        <v>50</v>
      </c>
      <c r="B486" s="19">
        <v>45030</v>
      </c>
      <c r="C486" s="20">
        <v>0.86597222222222203</v>
      </c>
      <c r="D486" s="20">
        <v>0.87847222222222199</v>
      </c>
      <c r="E486" s="20">
        <v>1.2500000000000001E-2</v>
      </c>
      <c r="F486" s="21" t="s">
        <v>35</v>
      </c>
      <c r="G486" t="s">
        <v>801</v>
      </c>
    </row>
    <row r="487" spans="1:7" x14ac:dyDescent="0.3">
      <c r="A487" s="18" t="s">
        <v>50</v>
      </c>
      <c r="B487" s="19">
        <v>45033</v>
      </c>
      <c r="C487" s="20">
        <v>0.68472222222222201</v>
      </c>
      <c r="D487" s="20">
        <v>0.688194444444444</v>
      </c>
      <c r="E487" s="20">
        <v>3.4722222222222099E-3</v>
      </c>
      <c r="F487" s="21" t="s">
        <v>43</v>
      </c>
      <c r="G487" t="s">
        <v>797</v>
      </c>
    </row>
    <row r="488" spans="1:7" x14ac:dyDescent="0.3">
      <c r="A488" s="18" t="s">
        <v>50</v>
      </c>
      <c r="B488" s="19">
        <v>45033</v>
      </c>
      <c r="C488" s="20">
        <v>0.74861111111111101</v>
      </c>
      <c r="D488" s="20">
        <v>0.8125</v>
      </c>
      <c r="E488" s="20">
        <v>6.3888888888888995E-2</v>
      </c>
      <c r="F488" s="21" t="s">
        <v>32</v>
      </c>
      <c r="G488" t="s">
        <v>797</v>
      </c>
    </row>
    <row r="489" spans="1:7" x14ac:dyDescent="0.3">
      <c r="A489" s="18" t="s">
        <v>50</v>
      </c>
      <c r="B489" s="19">
        <v>45033</v>
      </c>
      <c r="C489" s="20">
        <v>0.8125</v>
      </c>
      <c r="D489" s="20">
        <v>0.875694444444444</v>
      </c>
      <c r="E489" s="20">
        <v>6.31944444444444E-2</v>
      </c>
      <c r="F489" s="21" t="s">
        <v>32</v>
      </c>
      <c r="G489" t="s">
        <v>797</v>
      </c>
    </row>
    <row r="490" spans="1:7" x14ac:dyDescent="0.3">
      <c r="A490" s="18" t="s">
        <v>50</v>
      </c>
      <c r="B490" s="19">
        <v>45034</v>
      </c>
      <c r="C490" s="20">
        <v>0.74305555555555503</v>
      </c>
      <c r="D490" s="20">
        <v>0.8125</v>
      </c>
      <c r="E490" s="20">
        <v>6.9444444444444503E-2</v>
      </c>
      <c r="F490" s="21" t="s">
        <v>32</v>
      </c>
      <c r="G490" t="s">
        <v>798</v>
      </c>
    </row>
    <row r="491" spans="1:7" x14ac:dyDescent="0.3">
      <c r="A491" s="18" t="s">
        <v>50</v>
      </c>
      <c r="B491" s="19">
        <v>45034</v>
      </c>
      <c r="C491" s="20">
        <v>0.8125</v>
      </c>
      <c r="D491" s="20">
        <v>0.88055555555555598</v>
      </c>
      <c r="E491" s="20">
        <v>6.8055555555555494E-2</v>
      </c>
      <c r="F491" s="21" t="s">
        <v>32</v>
      </c>
      <c r="G491" t="s">
        <v>798</v>
      </c>
    </row>
    <row r="492" spans="1:7" x14ac:dyDescent="0.3">
      <c r="A492" s="18" t="s">
        <v>50</v>
      </c>
      <c r="B492" s="19">
        <v>45034</v>
      </c>
      <c r="C492" s="20">
        <v>0.89722222222222203</v>
      </c>
      <c r="D492" s="20">
        <v>0.96458333333333302</v>
      </c>
      <c r="E492" s="20">
        <v>6.7361111111110997E-2</v>
      </c>
      <c r="F492" s="21" t="s">
        <v>49</v>
      </c>
      <c r="G492" t="s">
        <v>798</v>
      </c>
    </row>
    <row r="493" spans="1:7" x14ac:dyDescent="0.3">
      <c r="A493" s="18" t="s">
        <v>50</v>
      </c>
      <c r="B493" s="19">
        <v>45035</v>
      </c>
      <c r="C493" s="20">
        <v>0.74861111111111101</v>
      </c>
      <c r="D493" s="20">
        <v>0.8125</v>
      </c>
      <c r="E493" s="20">
        <v>6.3888888888888995E-2</v>
      </c>
      <c r="F493" s="21" t="s">
        <v>32</v>
      </c>
      <c r="G493" t="s">
        <v>799</v>
      </c>
    </row>
    <row r="494" spans="1:7" x14ac:dyDescent="0.3">
      <c r="A494" s="18" t="s">
        <v>50</v>
      </c>
      <c r="B494" s="19">
        <v>45035</v>
      </c>
      <c r="C494" s="20">
        <v>0.8125</v>
      </c>
      <c r="D494" s="20">
        <v>0.88402777777777797</v>
      </c>
      <c r="E494" s="20">
        <v>7.1527777777777704E-2</v>
      </c>
      <c r="F494" s="21" t="s">
        <v>32</v>
      </c>
      <c r="G494" t="s">
        <v>799</v>
      </c>
    </row>
    <row r="495" spans="1:7" x14ac:dyDescent="0.3">
      <c r="A495" s="18" t="s">
        <v>50</v>
      </c>
      <c r="B495" s="19">
        <v>45036</v>
      </c>
      <c r="C495" s="20">
        <v>0.74861111111111101</v>
      </c>
      <c r="D495" s="20">
        <v>0.8125</v>
      </c>
      <c r="E495" s="20">
        <v>6.3888888888888995E-2</v>
      </c>
      <c r="F495" s="21" t="s">
        <v>32</v>
      </c>
      <c r="G495" t="s">
        <v>800</v>
      </c>
    </row>
    <row r="496" spans="1:7" x14ac:dyDescent="0.3">
      <c r="A496" s="18" t="s">
        <v>50</v>
      </c>
      <c r="B496" s="19">
        <v>45036</v>
      </c>
      <c r="C496" s="20">
        <v>0.8125</v>
      </c>
      <c r="D496" s="20">
        <v>0.87916666666666698</v>
      </c>
      <c r="E496" s="20">
        <v>6.6666666666666805E-2</v>
      </c>
      <c r="F496" s="21" t="s">
        <v>32</v>
      </c>
      <c r="G496" t="s">
        <v>800</v>
      </c>
    </row>
    <row r="497" spans="1:7" x14ac:dyDescent="0.3">
      <c r="A497" s="18" t="s">
        <v>50</v>
      </c>
      <c r="B497" s="19">
        <v>45038</v>
      </c>
      <c r="C497" s="20">
        <v>0.34166666666666701</v>
      </c>
      <c r="D497" s="20">
        <v>0.43333333333333302</v>
      </c>
      <c r="E497" s="20">
        <v>9.1666666666666702E-2</v>
      </c>
      <c r="F497" s="21" t="s">
        <v>48</v>
      </c>
      <c r="G497" t="s">
        <v>803</v>
      </c>
    </row>
    <row r="498" spans="1:7" x14ac:dyDescent="0.3">
      <c r="A498" s="18" t="s">
        <v>50</v>
      </c>
      <c r="B498" s="19">
        <v>45039</v>
      </c>
      <c r="C498" s="20">
        <v>0.163194444444444</v>
      </c>
      <c r="D498" s="20">
        <v>0.18541666666666701</v>
      </c>
      <c r="E498" s="20">
        <v>2.2222222222222199E-2</v>
      </c>
      <c r="F498" s="21" t="s">
        <v>38</v>
      </c>
      <c r="G498" t="s">
        <v>802</v>
      </c>
    </row>
    <row r="499" spans="1:7" x14ac:dyDescent="0.3">
      <c r="A499" s="18" t="s">
        <v>50</v>
      </c>
      <c r="B499" s="19">
        <v>45040</v>
      </c>
      <c r="C499" s="20">
        <v>0.74861111111111101</v>
      </c>
      <c r="D499" s="20">
        <v>0.8125</v>
      </c>
      <c r="E499" s="20">
        <v>6.3888888888888995E-2</v>
      </c>
      <c r="F499" s="21" t="s">
        <v>32</v>
      </c>
      <c r="G499" t="s">
        <v>797</v>
      </c>
    </row>
    <row r="500" spans="1:7" x14ac:dyDescent="0.3">
      <c r="A500" s="18" t="s">
        <v>50</v>
      </c>
      <c r="B500" s="19">
        <v>45040</v>
      </c>
      <c r="C500" s="20">
        <v>0.8125</v>
      </c>
      <c r="D500" s="20">
        <v>0.875</v>
      </c>
      <c r="E500" s="20">
        <v>6.25E-2</v>
      </c>
      <c r="F500" s="21" t="s">
        <v>32</v>
      </c>
      <c r="G500" t="s">
        <v>797</v>
      </c>
    </row>
    <row r="501" spans="1:7" x14ac:dyDescent="0.3">
      <c r="A501" s="18" t="s">
        <v>50</v>
      </c>
      <c r="B501" s="19">
        <v>45040</v>
      </c>
      <c r="C501" s="20">
        <v>0.875</v>
      </c>
      <c r="D501" s="20">
        <v>0.95347222222222205</v>
      </c>
      <c r="E501" s="20">
        <v>7.8472222222222193E-2</v>
      </c>
      <c r="F501" s="21" t="s">
        <v>33</v>
      </c>
      <c r="G501" t="s">
        <v>797</v>
      </c>
    </row>
    <row r="502" spans="1:7" x14ac:dyDescent="0.3">
      <c r="A502" s="18" t="s">
        <v>50</v>
      </c>
      <c r="B502" s="19">
        <v>45041</v>
      </c>
      <c r="C502" s="20">
        <v>0.27777777777777801</v>
      </c>
      <c r="D502" s="20">
        <v>0.29236111111111102</v>
      </c>
      <c r="E502" s="20">
        <v>1.4583333333333301E-2</v>
      </c>
      <c r="F502" s="21" t="s">
        <v>51</v>
      </c>
      <c r="G502" t="s">
        <v>798</v>
      </c>
    </row>
    <row r="503" spans="1:7" x14ac:dyDescent="0.3">
      <c r="A503" s="18" t="s">
        <v>50</v>
      </c>
      <c r="B503" s="19">
        <v>45041</v>
      </c>
      <c r="C503" s="20">
        <v>0.33680555555555602</v>
      </c>
      <c r="D503" s="20">
        <v>0.34513888888888899</v>
      </c>
      <c r="E503" s="20">
        <v>8.3333333333333003E-3</v>
      </c>
      <c r="F503" s="21" t="s">
        <v>35</v>
      </c>
      <c r="G503" t="s">
        <v>798</v>
      </c>
    </row>
    <row r="504" spans="1:7" x14ac:dyDescent="0.3">
      <c r="A504" s="18" t="s">
        <v>50</v>
      </c>
      <c r="B504" s="19">
        <v>45041</v>
      </c>
      <c r="C504" s="20">
        <v>0.49097222222222198</v>
      </c>
      <c r="D504" s="20">
        <v>0.49791666666666701</v>
      </c>
      <c r="E504" s="20">
        <v>6.9444444444444198E-3</v>
      </c>
      <c r="G504" t="s">
        <v>798</v>
      </c>
    </row>
    <row r="505" spans="1:7" x14ac:dyDescent="0.3">
      <c r="A505" s="18" t="s">
        <v>50</v>
      </c>
      <c r="B505" s="19">
        <v>45041</v>
      </c>
      <c r="C505" s="20">
        <v>0.74861111111111101</v>
      </c>
      <c r="D505" s="20">
        <v>0.8125</v>
      </c>
      <c r="E505" s="20">
        <v>6.3888888888888995E-2</v>
      </c>
      <c r="F505" s="21" t="s">
        <v>32</v>
      </c>
      <c r="G505" t="s">
        <v>798</v>
      </c>
    </row>
    <row r="506" spans="1:7" x14ac:dyDescent="0.3">
      <c r="A506" s="18" t="s">
        <v>50</v>
      </c>
      <c r="B506" s="19">
        <v>45041</v>
      </c>
      <c r="C506" s="20">
        <v>0.8125</v>
      </c>
      <c r="D506" s="20">
        <v>0.87847222222222199</v>
      </c>
      <c r="E506" s="20">
        <v>6.5972222222222196E-2</v>
      </c>
      <c r="F506" s="21" t="s">
        <v>32</v>
      </c>
      <c r="G506" t="s">
        <v>798</v>
      </c>
    </row>
    <row r="507" spans="1:7" x14ac:dyDescent="0.3">
      <c r="A507" s="18" t="s">
        <v>50</v>
      </c>
      <c r="B507" s="19">
        <v>45042</v>
      </c>
      <c r="C507" s="20">
        <v>0.48194444444444401</v>
      </c>
      <c r="D507" s="20">
        <v>0.49097222222222198</v>
      </c>
      <c r="E507" s="20">
        <v>9.0277777777777492E-3</v>
      </c>
      <c r="F507" s="21" t="s">
        <v>51</v>
      </c>
      <c r="G507" t="s">
        <v>799</v>
      </c>
    </row>
    <row r="508" spans="1:7" x14ac:dyDescent="0.3">
      <c r="A508" s="18" t="s">
        <v>50</v>
      </c>
      <c r="B508" s="19">
        <v>45042</v>
      </c>
      <c r="C508" s="20">
        <v>0.55277777777777803</v>
      </c>
      <c r="D508" s="20">
        <v>0.55833333333333302</v>
      </c>
      <c r="E508" s="20">
        <v>5.5555555555555402E-3</v>
      </c>
      <c r="G508" t="s">
        <v>799</v>
      </c>
    </row>
    <row r="509" spans="1:7" x14ac:dyDescent="0.3">
      <c r="A509" s="18" t="s">
        <v>50</v>
      </c>
      <c r="B509" s="19">
        <v>45042</v>
      </c>
      <c r="C509" s="20">
        <v>0.74861111111111101</v>
      </c>
      <c r="D509" s="20">
        <v>0.8125</v>
      </c>
      <c r="E509" s="20">
        <v>6.3888888888888995E-2</v>
      </c>
      <c r="F509" s="21" t="s">
        <v>32</v>
      </c>
      <c r="G509" t="s">
        <v>799</v>
      </c>
    </row>
    <row r="510" spans="1:7" x14ac:dyDescent="0.3">
      <c r="A510" s="18" t="s">
        <v>50</v>
      </c>
      <c r="B510" s="19">
        <v>45042</v>
      </c>
      <c r="C510" s="20">
        <v>0.8125</v>
      </c>
      <c r="D510" s="20">
        <v>0.87708333333333299</v>
      </c>
      <c r="E510" s="20">
        <v>6.4583333333333298E-2</v>
      </c>
      <c r="F510" s="21" t="s">
        <v>32</v>
      </c>
      <c r="G510" t="s">
        <v>799</v>
      </c>
    </row>
    <row r="511" spans="1:7" x14ac:dyDescent="0.3">
      <c r="A511" s="18" t="s">
        <v>50</v>
      </c>
      <c r="B511" s="19">
        <v>45043</v>
      </c>
      <c r="C511" s="20">
        <v>0.74861111111111101</v>
      </c>
      <c r="D511" s="20">
        <v>0.8125</v>
      </c>
      <c r="E511" s="20">
        <v>6.3888888888888995E-2</v>
      </c>
      <c r="F511" s="21" t="s">
        <v>32</v>
      </c>
      <c r="G511" t="s">
        <v>800</v>
      </c>
    </row>
    <row r="512" spans="1:7" x14ac:dyDescent="0.3">
      <c r="A512" s="18" t="s">
        <v>50</v>
      </c>
      <c r="B512" s="19">
        <v>45043</v>
      </c>
      <c r="C512" s="20">
        <v>0.8125</v>
      </c>
      <c r="D512" s="20">
        <v>0.875694444444444</v>
      </c>
      <c r="E512" s="20">
        <v>6.31944444444444E-2</v>
      </c>
      <c r="F512" s="21" t="s">
        <v>32</v>
      </c>
      <c r="G512" t="s">
        <v>800</v>
      </c>
    </row>
    <row r="513" spans="1:7" x14ac:dyDescent="0.3">
      <c r="A513" s="18" t="s">
        <v>50</v>
      </c>
      <c r="B513" s="19">
        <v>45043</v>
      </c>
      <c r="C513" s="20">
        <v>0.875694444444444</v>
      </c>
      <c r="D513" s="20">
        <v>0.88124999999999998</v>
      </c>
      <c r="E513" s="20">
        <v>5.5555555555555402E-3</v>
      </c>
      <c r="F513" s="21" t="s">
        <v>35</v>
      </c>
      <c r="G513" t="s">
        <v>800</v>
      </c>
    </row>
    <row r="514" spans="1:7" x14ac:dyDescent="0.3">
      <c r="A514" s="18" t="s">
        <v>50</v>
      </c>
      <c r="B514" s="19">
        <v>45044</v>
      </c>
      <c r="C514" s="20">
        <v>0.74861111111111101</v>
      </c>
      <c r="D514" s="20">
        <v>0.8125</v>
      </c>
      <c r="E514" s="20">
        <v>6.3888888888888995E-2</v>
      </c>
      <c r="F514" s="21" t="s">
        <v>32</v>
      </c>
      <c r="G514" t="s">
        <v>801</v>
      </c>
    </row>
    <row r="515" spans="1:7" x14ac:dyDescent="0.3">
      <c r="A515" s="18" t="s">
        <v>50</v>
      </c>
      <c r="B515" s="19">
        <v>45044</v>
      </c>
      <c r="C515" s="20">
        <v>0.8125</v>
      </c>
      <c r="D515" s="20">
        <v>0.875694444444444</v>
      </c>
      <c r="E515" s="20">
        <v>6.31944444444444E-2</v>
      </c>
      <c r="F515" s="21" t="s">
        <v>32</v>
      </c>
      <c r="G515" t="s">
        <v>801</v>
      </c>
    </row>
    <row r="516" spans="1:7" x14ac:dyDescent="0.3">
      <c r="A516" s="18" t="s">
        <v>53</v>
      </c>
      <c r="B516" s="19">
        <v>45018</v>
      </c>
      <c r="C516" s="20">
        <v>0.52222222222222203</v>
      </c>
      <c r="D516" s="20">
        <v>0.52777777777777801</v>
      </c>
      <c r="E516" s="20">
        <v>5.5555555555555402E-3</v>
      </c>
      <c r="F516" s="21" t="s">
        <v>51</v>
      </c>
      <c r="G516" t="s">
        <v>802</v>
      </c>
    </row>
    <row r="517" spans="1:7" x14ac:dyDescent="0.3">
      <c r="A517" s="18" t="s">
        <v>53</v>
      </c>
      <c r="B517" s="19">
        <v>45019</v>
      </c>
      <c r="C517" s="20">
        <v>0.64375000000000004</v>
      </c>
      <c r="D517" s="20">
        <v>0.64722222222222203</v>
      </c>
      <c r="E517" s="20">
        <v>3.47222222222232E-3</v>
      </c>
      <c r="F517" s="21" t="s">
        <v>35</v>
      </c>
      <c r="G517" t="s">
        <v>797</v>
      </c>
    </row>
    <row r="518" spans="1:7" x14ac:dyDescent="0.3">
      <c r="A518" s="18" t="s">
        <v>53</v>
      </c>
      <c r="B518" s="19">
        <v>45019</v>
      </c>
      <c r="C518" s="20">
        <v>0.65208333333333302</v>
      </c>
      <c r="D518" s="20">
        <v>0.66249999999999998</v>
      </c>
      <c r="E518" s="20">
        <v>1.04166666666666E-2</v>
      </c>
      <c r="F518" s="21" t="s">
        <v>35</v>
      </c>
      <c r="G518" t="s">
        <v>797</v>
      </c>
    </row>
    <row r="519" spans="1:7" x14ac:dyDescent="0.3">
      <c r="A519" s="18" t="s">
        <v>53</v>
      </c>
      <c r="B519" s="19">
        <v>45019</v>
      </c>
      <c r="C519" s="20">
        <v>0.74861111111111101</v>
      </c>
      <c r="D519" s="20">
        <v>0.8125</v>
      </c>
      <c r="E519" s="20">
        <v>6.3888888888888995E-2</v>
      </c>
      <c r="G519" t="s">
        <v>797</v>
      </c>
    </row>
    <row r="520" spans="1:7" x14ac:dyDescent="0.3">
      <c r="A520" s="18" t="s">
        <v>53</v>
      </c>
      <c r="B520" s="19">
        <v>45019</v>
      </c>
      <c r="C520" s="20">
        <v>0.8125</v>
      </c>
      <c r="D520" s="20">
        <v>0.875694444444444</v>
      </c>
      <c r="E520" s="20">
        <v>6.31944444444444E-2</v>
      </c>
      <c r="F520" s="21" t="s">
        <v>32</v>
      </c>
      <c r="G520" t="s">
        <v>797</v>
      </c>
    </row>
    <row r="521" spans="1:7" x14ac:dyDescent="0.3">
      <c r="A521" s="18" t="s">
        <v>53</v>
      </c>
      <c r="B521" s="19">
        <v>45019</v>
      </c>
      <c r="C521" s="20">
        <v>0.93611111111111101</v>
      </c>
      <c r="D521" s="20">
        <v>0.9375</v>
      </c>
      <c r="E521" s="20">
        <v>1.388888888889E-3</v>
      </c>
      <c r="F521" s="21" t="s">
        <v>54</v>
      </c>
      <c r="G521" t="s">
        <v>797</v>
      </c>
    </row>
    <row r="522" spans="1:7" x14ac:dyDescent="0.3">
      <c r="A522" s="18" t="s">
        <v>53</v>
      </c>
      <c r="B522" s="19">
        <v>45019</v>
      </c>
      <c r="C522" s="20">
        <v>0.95902777777777803</v>
      </c>
      <c r="D522" s="20">
        <v>0.96319444444444402</v>
      </c>
      <c r="E522" s="20">
        <v>4.1666666666667603E-3</v>
      </c>
      <c r="F522" s="21" t="s">
        <v>35</v>
      </c>
      <c r="G522" t="s">
        <v>797</v>
      </c>
    </row>
    <row r="523" spans="1:7" x14ac:dyDescent="0.3">
      <c r="A523" s="18" t="s">
        <v>53</v>
      </c>
      <c r="B523" s="19">
        <v>45020</v>
      </c>
      <c r="C523" s="20">
        <v>0.74861111111111101</v>
      </c>
      <c r="D523" s="20">
        <v>0.8125</v>
      </c>
      <c r="E523" s="20">
        <v>6.3888888888888995E-2</v>
      </c>
      <c r="F523" s="21" t="s">
        <v>32</v>
      </c>
      <c r="G523" t="s">
        <v>798</v>
      </c>
    </row>
    <row r="524" spans="1:7" x14ac:dyDescent="0.3">
      <c r="A524" s="18" t="s">
        <v>53</v>
      </c>
      <c r="B524" s="19">
        <v>45020</v>
      </c>
      <c r="C524" s="20">
        <v>0.8125</v>
      </c>
      <c r="D524" s="20">
        <v>0.85069444444444398</v>
      </c>
      <c r="E524" s="20">
        <v>3.8194444444444503E-2</v>
      </c>
      <c r="F524" s="21" t="s">
        <v>32</v>
      </c>
      <c r="G524" t="s">
        <v>798</v>
      </c>
    </row>
    <row r="525" spans="1:7" x14ac:dyDescent="0.3">
      <c r="A525" s="18" t="s">
        <v>53</v>
      </c>
      <c r="B525" s="19">
        <v>45021</v>
      </c>
      <c r="C525" s="20">
        <v>0.74861111111111101</v>
      </c>
      <c r="D525" s="20">
        <v>0.8125</v>
      </c>
      <c r="E525" s="20">
        <v>6.3888888888888995E-2</v>
      </c>
      <c r="F525" s="21" t="s">
        <v>32</v>
      </c>
      <c r="G525" t="s">
        <v>799</v>
      </c>
    </row>
    <row r="526" spans="1:7" x14ac:dyDescent="0.3">
      <c r="A526" s="18" t="s">
        <v>53</v>
      </c>
      <c r="B526" s="19">
        <v>45021</v>
      </c>
      <c r="C526" s="20">
        <v>0.8125</v>
      </c>
      <c r="D526" s="20">
        <v>0.875</v>
      </c>
      <c r="E526" s="20">
        <v>6.25E-2</v>
      </c>
      <c r="F526" s="21" t="s">
        <v>32</v>
      </c>
      <c r="G526" t="s">
        <v>799</v>
      </c>
    </row>
    <row r="527" spans="1:7" x14ac:dyDescent="0.3">
      <c r="A527" s="18" t="s">
        <v>53</v>
      </c>
      <c r="B527" s="19">
        <v>45021</v>
      </c>
      <c r="C527" s="20">
        <v>0.875</v>
      </c>
      <c r="D527" s="20">
        <v>0.95625000000000004</v>
      </c>
      <c r="E527" s="20">
        <v>8.1249999999999906E-2</v>
      </c>
      <c r="F527" s="21" t="s">
        <v>40</v>
      </c>
      <c r="G527" t="s">
        <v>799</v>
      </c>
    </row>
    <row r="528" spans="1:7" x14ac:dyDescent="0.3">
      <c r="A528" s="18" t="s">
        <v>53</v>
      </c>
      <c r="B528" s="19">
        <v>45022</v>
      </c>
      <c r="C528" s="20">
        <v>0.80069444444444404</v>
      </c>
      <c r="D528" s="20">
        <v>0.80555555555555503</v>
      </c>
      <c r="E528" s="20">
        <v>4.8611111111110904E-3</v>
      </c>
      <c r="F528" s="21" t="s">
        <v>41</v>
      </c>
      <c r="G528" t="s">
        <v>800</v>
      </c>
    </row>
    <row r="529" spans="1:7" x14ac:dyDescent="0.3">
      <c r="A529" s="18" t="s">
        <v>53</v>
      </c>
      <c r="B529" s="19">
        <v>45024</v>
      </c>
      <c r="C529" s="20">
        <v>8.4722222222222199E-2</v>
      </c>
      <c r="D529" s="20">
        <v>8.8194444444444395E-2</v>
      </c>
      <c r="E529" s="20">
        <v>3.4722222222222398E-3</v>
      </c>
      <c r="F529" s="21" t="s">
        <v>35</v>
      </c>
      <c r="G529" t="s">
        <v>803</v>
      </c>
    </row>
    <row r="530" spans="1:7" x14ac:dyDescent="0.3">
      <c r="A530" s="18" t="s">
        <v>53</v>
      </c>
      <c r="B530" s="19">
        <v>45026</v>
      </c>
      <c r="C530" s="20">
        <v>9.7222222222222206E-3</v>
      </c>
      <c r="D530" s="20">
        <v>1.1111111111111099E-2</v>
      </c>
      <c r="E530" s="20">
        <v>1.38888888888889E-3</v>
      </c>
      <c r="F530" s="21" t="s">
        <v>43</v>
      </c>
      <c r="G530" t="s">
        <v>797</v>
      </c>
    </row>
    <row r="531" spans="1:7" x14ac:dyDescent="0.3">
      <c r="A531" s="18" t="s">
        <v>53</v>
      </c>
      <c r="B531" s="19">
        <v>45027</v>
      </c>
      <c r="C531" s="20">
        <v>0.111805555555556</v>
      </c>
      <c r="D531" s="20">
        <v>0.113888888888889</v>
      </c>
      <c r="E531" s="20">
        <v>2.0833333333333298E-3</v>
      </c>
      <c r="F531" s="21" t="s">
        <v>43</v>
      </c>
      <c r="G531" t="s">
        <v>798</v>
      </c>
    </row>
    <row r="532" spans="1:7" x14ac:dyDescent="0.3">
      <c r="A532" s="18" t="s">
        <v>53</v>
      </c>
      <c r="B532" s="19">
        <v>45027</v>
      </c>
      <c r="C532" s="20">
        <v>0.74861111111111101</v>
      </c>
      <c r="D532" s="20">
        <v>0.8125</v>
      </c>
      <c r="E532" s="20">
        <v>6.3888888888888995E-2</v>
      </c>
      <c r="F532" s="21" t="s">
        <v>32</v>
      </c>
      <c r="G532" t="s">
        <v>798</v>
      </c>
    </row>
    <row r="533" spans="1:7" x14ac:dyDescent="0.3">
      <c r="A533" s="18" t="s">
        <v>53</v>
      </c>
      <c r="B533" s="19">
        <v>45027</v>
      </c>
      <c r="C533" s="20">
        <v>0.8125</v>
      </c>
      <c r="D533" s="20">
        <v>0.875694444444444</v>
      </c>
      <c r="E533" s="20">
        <v>6.31944444444444E-2</v>
      </c>
      <c r="F533" s="21" t="s">
        <v>32</v>
      </c>
      <c r="G533" t="s">
        <v>798</v>
      </c>
    </row>
    <row r="534" spans="1:7" x14ac:dyDescent="0.3">
      <c r="A534" s="18" t="s">
        <v>53</v>
      </c>
      <c r="B534" s="19">
        <v>45027</v>
      </c>
      <c r="C534" s="20">
        <v>0.875694444444444</v>
      </c>
      <c r="D534" s="20">
        <v>0.88749999999999996</v>
      </c>
      <c r="E534" s="20">
        <v>1.18055555555556E-2</v>
      </c>
      <c r="F534" s="21" t="s">
        <v>47</v>
      </c>
      <c r="G534" t="s">
        <v>798</v>
      </c>
    </row>
    <row r="535" spans="1:7" x14ac:dyDescent="0.3">
      <c r="A535" s="18" t="s">
        <v>53</v>
      </c>
      <c r="B535" s="19">
        <v>45028</v>
      </c>
      <c r="C535" s="20">
        <v>0.42569444444444399</v>
      </c>
      <c r="D535" s="20">
        <v>0.42777777777777798</v>
      </c>
      <c r="E535" s="20">
        <v>2.0833333333333801E-3</v>
      </c>
      <c r="F535" s="21" t="s">
        <v>43</v>
      </c>
      <c r="G535" t="s">
        <v>799</v>
      </c>
    </row>
    <row r="536" spans="1:7" x14ac:dyDescent="0.3">
      <c r="A536" s="18" t="s">
        <v>53</v>
      </c>
      <c r="B536" s="19">
        <v>45028</v>
      </c>
      <c r="C536" s="20">
        <v>0.74861111111111101</v>
      </c>
      <c r="D536" s="20">
        <v>0.8125</v>
      </c>
      <c r="E536" s="20">
        <v>6.3888888888888995E-2</v>
      </c>
      <c r="F536" s="21" t="s">
        <v>32</v>
      </c>
      <c r="G536" t="s">
        <v>799</v>
      </c>
    </row>
    <row r="537" spans="1:7" x14ac:dyDescent="0.3">
      <c r="A537" s="18" t="s">
        <v>53</v>
      </c>
      <c r="B537" s="19">
        <v>45028</v>
      </c>
      <c r="C537" s="20">
        <v>0.8125</v>
      </c>
      <c r="D537" s="20">
        <v>0.875694444444444</v>
      </c>
      <c r="E537" s="20">
        <v>6.31944444444444E-2</v>
      </c>
      <c r="F537" s="21" t="s">
        <v>32</v>
      </c>
      <c r="G537" t="s">
        <v>799</v>
      </c>
    </row>
    <row r="538" spans="1:7" x14ac:dyDescent="0.3">
      <c r="A538" s="18" t="s">
        <v>53</v>
      </c>
      <c r="B538" s="19">
        <v>45029</v>
      </c>
      <c r="C538" s="20">
        <v>0.15833333333333299</v>
      </c>
      <c r="D538" s="20">
        <v>0.15972222222222199</v>
      </c>
      <c r="E538" s="20">
        <v>1.38888888888891E-3</v>
      </c>
      <c r="F538" s="21" t="s">
        <v>43</v>
      </c>
      <c r="G538" t="s">
        <v>800</v>
      </c>
    </row>
    <row r="539" spans="1:7" x14ac:dyDescent="0.3">
      <c r="A539" s="18" t="s">
        <v>53</v>
      </c>
      <c r="B539" s="19">
        <v>45029</v>
      </c>
      <c r="C539" s="20">
        <v>0.20694444444444399</v>
      </c>
      <c r="D539" s="20">
        <v>0.20902777777777801</v>
      </c>
      <c r="E539" s="20">
        <v>2.0833333333333298E-3</v>
      </c>
      <c r="F539" s="21" t="s">
        <v>43</v>
      </c>
      <c r="G539" t="s">
        <v>800</v>
      </c>
    </row>
    <row r="540" spans="1:7" x14ac:dyDescent="0.3">
      <c r="A540" s="18" t="s">
        <v>53</v>
      </c>
      <c r="B540" s="19">
        <v>45029</v>
      </c>
      <c r="C540" s="20">
        <v>0.25486111111111098</v>
      </c>
      <c r="D540" s="20">
        <v>0.25763888888888897</v>
      </c>
      <c r="E540" s="20">
        <v>2.77777777777782E-3</v>
      </c>
      <c r="F540" s="21" t="s">
        <v>43</v>
      </c>
      <c r="G540" t="s">
        <v>800</v>
      </c>
    </row>
    <row r="541" spans="1:7" x14ac:dyDescent="0.3">
      <c r="A541" s="18" t="s">
        <v>53</v>
      </c>
      <c r="B541" s="19">
        <v>45029</v>
      </c>
      <c r="C541" s="20">
        <v>0.74861111111111101</v>
      </c>
      <c r="D541" s="20">
        <v>0.8125</v>
      </c>
      <c r="E541" s="20">
        <v>6.3888888888888995E-2</v>
      </c>
      <c r="F541" s="21" t="s">
        <v>32</v>
      </c>
      <c r="G541" t="s">
        <v>800</v>
      </c>
    </row>
    <row r="542" spans="1:7" x14ac:dyDescent="0.3">
      <c r="A542" s="18" t="s">
        <v>53</v>
      </c>
      <c r="B542" s="19">
        <v>45029</v>
      </c>
      <c r="C542" s="20">
        <v>0.8125</v>
      </c>
      <c r="D542" s="20">
        <v>0.875694444444444</v>
      </c>
      <c r="E542" s="20">
        <v>6.31944444444444E-2</v>
      </c>
      <c r="F542" s="21" t="s">
        <v>32</v>
      </c>
      <c r="G542" t="s">
        <v>800</v>
      </c>
    </row>
    <row r="543" spans="1:7" x14ac:dyDescent="0.3">
      <c r="A543" s="18" t="s">
        <v>53</v>
      </c>
      <c r="B543" s="19">
        <v>45030</v>
      </c>
      <c r="C543" s="20">
        <v>0.74861111111111101</v>
      </c>
      <c r="D543" s="20">
        <v>0.8125</v>
      </c>
      <c r="E543" s="20">
        <v>6.3888888888888995E-2</v>
      </c>
      <c r="F543" s="21" t="s">
        <v>32</v>
      </c>
      <c r="G543" t="s">
        <v>801</v>
      </c>
    </row>
    <row r="544" spans="1:7" x14ac:dyDescent="0.3">
      <c r="A544" s="18" t="s">
        <v>53</v>
      </c>
      <c r="B544" s="19">
        <v>45030</v>
      </c>
      <c r="C544" s="20">
        <v>0.8125</v>
      </c>
      <c r="D544" s="20">
        <v>0.87847222222222199</v>
      </c>
      <c r="E544" s="20">
        <v>6.5972222222222196E-2</v>
      </c>
      <c r="F544" s="21" t="s">
        <v>32</v>
      </c>
      <c r="G544" t="s">
        <v>801</v>
      </c>
    </row>
    <row r="545" spans="1:7" x14ac:dyDescent="0.3">
      <c r="A545" s="18" t="s">
        <v>53</v>
      </c>
      <c r="B545" s="19">
        <v>45033</v>
      </c>
      <c r="C545" s="20">
        <v>0.74861111111111101</v>
      </c>
      <c r="D545" s="20">
        <v>0.8125</v>
      </c>
      <c r="E545" s="20">
        <v>6.3888888888888995E-2</v>
      </c>
      <c r="F545" s="21" t="s">
        <v>32</v>
      </c>
      <c r="G545" t="s">
        <v>797</v>
      </c>
    </row>
    <row r="546" spans="1:7" x14ac:dyDescent="0.3">
      <c r="A546" s="18" t="s">
        <v>53</v>
      </c>
      <c r="B546" s="19">
        <v>45033</v>
      </c>
      <c r="C546" s="20">
        <v>0.8125</v>
      </c>
      <c r="D546" s="20">
        <v>0.875694444444444</v>
      </c>
      <c r="E546" s="20">
        <v>6.31944444444444E-2</v>
      </c>
      <c r="F546" s="21" t="s">
        <v>32</v>
      </c>
      <c r="G546" t="s">
        <v>797</v>
      </c>
    </row>
    <row r="547" spans="1:7" x14ac:dyDescent="0.3">
      <c r="A547" s="18" t="s">
        <v>53</v>
      </c>
      <c r="B547" s="19">
        <v>45034</v>
      </c>
      <c r="C547" s="20">
        <v>0.16666666666666699</v>
      </c>
      <c r="D547" s="20">
        <v>0.249305555555556</v>
      </c>
      <c r="E547" s="20">
        <v>8.2638888888888901E-2</v>
      </c>
      <c r="F547" s="21" t="s">
        <v>55</v>
      </c>
      <c r="G547" t="s">
        <v>798</v>
      </c>
    </row>
    <row r="548" spans="1:7" x14ac:dyDescent="0.3">
      <c r="A548" s="18" t="s">
        <v>53</v>
      </c>
      <c r="B548" s="19">
        <v>45034</v>
      </c>
      <c r="C548" s="20">
        <v>0.74861111111111101</v>
      </c>
      <c r="D548" s="20">
        <v>0.8125</v>
      </c>
      <c r="E548" s="20">
        <v>6.3888888888888995E-2</v>
      </c>
      <c r="F548" s="21" t="s">
        <v>32</v>
      </c>
      <c r="G548" t="s">
        <v>798</v>
      </c>
    </row>
    <row r="549" spans="1:7" x14ac:dyDescent="0.3">
      <c r="A549" s="18" t="s">
        <v>53</v>
      </c>
      <c r="B549" s="19">
        <v>45034</v>
      </c>
      <c r="C549" s="20">
        <v>0.8125</v>
      </c>
      <c r="D549" s="20">
        <v>0.875694444444444</v>
      </c>
      <c r="E549" s="20">
        <v>6.31944444444444E-2</v>
      </c>
      <c r="F549" s="21" t="s">
        <v>32</v>
      </c>
      <c r="G549" t="s">
        <v>798</v>
      </c>
    </row>
    <row r="550" spans="1:7" x14ac:dyDescent="0.3">
      <c r="A550" s="18" t="s">
        <v>53</v>
      </c>
      <c r="B550" s="19">
        <v>45035</v>
      </c>
      <c r="C550" s="20">
        <v>0.74861111111111101</v>
      </c>
      <c r="D550" s="20">
        <v>0.8125</v>
      </c>
      <c r="E550" s="20">
        <v>6.3888888888888995E-2</v>
      </c>
      <c r="F550" s="21" t="s">
        <v>32</v>
      </c>
      <c r="G550" t="s">
        <v>799</v>
      </c>
    </row>
    <row r="551" spans="1:7" x14ac:dyDescent="0.3">
      <c r="A551" s="18" t="s">
        <v>53</v>
      </c>
      <c r="B551" s="19">
        <v>45035</v>
      </c>
      <c r="C551" s="20">
        <v>0.8125</v>
      </c>
      <c r="D551" s="20">
        <v>0.87777777777777799</v>
      </c>
      <c r="E551" s="20">
        <v>6.5277777777777796E-2</v>
      </c>
      <c r="F551" s="21" t="s">
        <v>32</v>
      </c>
      <c r="G551" t="s">
        <v>799</v>
      </c>
    </row>
    <row r="552" spans="1:7" x14ac:dyDescent="0.3">
      <c r="A552" s="18" t="s">
        <v>53</v>
      </c>
      <c r="B552" s="19">
        <v>45036</v>
      </c>
      <c r="C552" s="20">
        <v>0.74861111111111101</v>
      </c>
      <c r="D552" s="20">
        <v>0.8125</v>
      </c>
      <c r="E552" s="20">
        <v>6.3888888888888995E-2</v>
      </c>
      <c r="F552" s="21" t="s">
        <v>32</v>
      </c>
      <c r="G552" t="s">
        <v>800</v>
      </c>
    </row>
    <row r="553" spans="1:7" x14ac:dyDescent="0.3">
      <c r="A553" s="18" t="s">
        <v>53</v>
      </c>
      <c r="B553" s="19">
        <v>45036</v>
      </c>
      <c r="C553" s="20">
        <v>0.8125</v>
      </c>
      <c r="D553" s="20">
        <v>0.87847222222222199</v>
      </c>
      <c r="E553" s="20">
        <v>6.5972222222222196E-2</v>
      </c>
      <c r="F553" s="21" t="s">
        <v>32</v>
      </c>
      <c r="G553" t="s">
        <v>800</v>
      </c>
    </row>
    <row r="554" spans="1:7" x14ac:dyDescent="0.3">
      <c r="A554" s="18" t="s">
        <v>53</v>
      </c>
      <c r="B554" s="19">
        <v>45037</v>
      </c>
      <c r="C554" s="20">
        <v>0.57222222222222197</v>
      </c>
      <c r="D554" s="20">
        <v>0.594444444444444</v>
      </c>
      <c r="E554" s="20">
        <v>2.2222222222222299E-2</v>
      </c>
      <c r="F554" s="21" t="s">
        <v>48</v>
      </c>
      <c r="G554" t="s">
        <v>801</v>
      </c>
    </row>
    <row r="555" spans="1:7" x14ac:dyDescent="0.3">
      <c r="A555" s="18" t="s">
        <v>53</v>
      </c>
      <c r="B555" s="19">
        <v>45037</v>
      </c>
      <c r="C555" s="20">
        <v>3.05555555555556E-2</v>
      </c>
      <c r="D555" s="20">
        <v>4.3055555555555597E-2</v>
      </c>
      <c r="E555" s="20">
        <v>1.2500000000000001E-2</v>
      </c>
      <c r="F555" s="21" t="s">
        <v>48</v>
      </c>
      <c r="G555" t="s">
        <v>801</v>
      </c>
    </row>
    <row r="556" spans="1:7" x14ac:dyDescent="0.3">
      <c r="A556" s="18" t="s">
        <v>53</v>
      </c>
      <c r="B556" s="19">
        <v>45038</v>
      </c>
      <c r="C556" s="20">
        <v>0.34583333333333299</v>
      </c>
      <c r="D556" s="20">
        <v>0.40625</v>
      </c>
      <c r="E556" s="20">
        <v>6.0416666666666598E-2</v>
      </c>
      <c r="F556" s="21" t="s">
        <v>48</v>
      </c>
      <c r="G556" t="s">
        <v>803</v>
      </c>
    </row>
    <row r="557" spans="1:7" x14ac:dyDescent="0.3">
      <c r="A557" s="18" t="s">
        <v>53</v>
      </c>
      <c r="B557" s="19">
        <v>45039</v>
      </c>
      <c r="C557" s="20">
        <v>0.78888888888888897</v>
      </c>
      <c r="D557" s="20">
        <v>0.8125</v>
      </c>
      <c r="E557" s="20">
        <v>2.36111111111111E-2</v>
      </c>
      <c r="F557" s="21" t="s">
        <v>45</v>
      </c>
      <c r="G557" t="s">
        <v>802</v>
      </c>
    </row>
    <row r="558" spans="1:7" x14ac:dyDescent="0.3">
      <c r="A558" s="18" t="s">
        <v>53</v>
      </c>
      <c r="B558" s="19">
        <v>45039</v>
      </c>
      <c r="C558" s="20">
        <v>0.8125</v>
      </c>
      <c r="D558" s="20">
        <v>0.89027777777777795</v>
      </c>
      <c r="E558" s="20">
        <v>7.7777777777777807E-2</v>
      </c>
      <c r="F558" s="21" t="s">
        <v>45</v>
      </c>
      <c r="G558" t="s">
        <v>802</v>
      </c>
    </row>
    <row r="559" spans="1:7" x14ac:dyDescent="0.3">
      <c r="A559" s="18" t="s">
        <v>53</v>
      </c>
      <c r="B559" s="19">
        <v>45040</v>
      </c>
      <c r="C559" s="20">
        <v>0.74861111111111101</v>
      </c>
      <c r="D559" s="20">
        <v>0.8125</v>
      </c>
      <c r="E559" s="20">
        <v>6.3888888888888995E-2</v>
      </c>
      <c r="F559" s="21" t="s">
        <v>32</v>
      </c>
      <c r="G559" t="s">
        <v>797</v>
      </c>
    </row>
    <row r="560" spans="1:7" x14ac:dyDescent="0.3">
      <c r="A560" s="18" t="s">
        <v>53</v>
      </c>
      <c r="B560" s="19">
        <v>45040</v>
      </c>
      <c r="C560" s="20">
        <v>0.8125</v>
      </c>
      <c r="D560" s="20">
        <v>0.875694444444444</v>
      </c>
      <c r="E560" s="20">
        <v>6.31944444444444E-2</v>
      </c>
      <c r="F560" s="21" t="s">
        <v>32</v>
      </c>
      <c r="G560" t="s">
        <v>797</v>
      </c>
    </row>
    <row r="561" spans="1:7" x14ac:dyDescent="0.3">
      <c r="A561" s="18" t="s">
        <v>53</v>
      </c>
      <c r="B561" s="19">
        <v>45041</v>
      </c>
      <c r="C561" s="20">
        <v>0.74861111111111101</v>
      </c>
      <c r="D561" s="20">
        <v>0.8125</v>
      </c>
      <c r="E561" s="20">
        <v>6.3888888888888995E-2</v>
      </c>
      <c r="F561" s="21" t="s">
        <v>32</v>
      </c>
      <c r="G561" t="s">
        <v>798</v>
      </c>
    </row>
    <row r="562" spans="1:7" x14ac:dyDescent="0.3">
      <c r="A562" s="18" t="s">
        <v>53</v>
      </c>
      <c r="B562" s="19">
        <v>45041</v>
      </c>
      <c r="C562" s="20">
        <v>0.8125</v>
      </c>
      <c r="D562" s="20">
        <v>0.87847222222222199</v>
      </c>
      <c r="E562" s="20">
        <v>6.5972222222222196E-2</v>
      </c>
      <c r="F562" s="21" t="s">
        <v>32</v>
      </c>
      <c r="G562" t="s">
        <v>798</v>
      </c>
    </row>
    <row r="563" spans="1:7" x14ac:dyDescent="0.3">
      <c r="A563" s="18" t="s">
        <v>53</v>
      </c>
      <c r="B563" s="19">
        <v>45042</v>
      </c>
      <c r="C563" s="20">
        <v>0.22083333333333299</v>
      </c>
      <c r="D563" s="20">
        <v>0.225694444444444</v>
      </c>
      <c r="E563" s="20">
        <v>4.8611111111111199E-3</v>
      </c>
      <c r="F563" s="21" t="s">
        <v>43</v>
      </c>
      <c r="G563" t="s">
        <v>799</v>
      </c>
    </row>
    <row r="564" spans="1:7" x14ac:dyDescent="0.3">
      <c r="A564" s="18" t="s">
        <v>53</v>
      </c>
      <c r="B564" s="19">
        <v>45042</v>
      </c>
      <c r="C564" s="20">
        <v>0.74861111111111101</v>
      </c>
      <c r="D564" s="20">
        <v>0.8125</v>
      </c>
      <c r="E564" s="20">
        <v>6.3888888888888995E-2</v>
      </c>
      <c r="F564" s="21" t="s">
        <v>32</v>
      </c>
      <c r="G564" t="s">
        <v>799</v>
      </c>
    </row>
    <row r="565" spans="1:7" x14ac:dyDescent="0.3">
      <c r="A565" s="18" t="s">
        <v>53</v>
      </c>
      <c r="B565" s="19">
        <v>45042</v>
      </c>
      <c r="C565" s="20">
        <v>0.8125</v>
      </c>
      <c r="D565" s="20">
        <v>0.87708333333333299</v>
      </c>
      <c r="E565" s="20">
        <v>6.4583333333333298E-2</v>
      </c>
      <c r="F565" s="21" t="s">
        <v>32</v>
      </c>
      <c r="G565" t="s">
        <v>799</v>
      </c>
    </row>
    <row r="566" spans="1:7" x14ac:dyDescent="0.3">
      <c r="A566" s="18" t="s">
        <v>53</v>
      </c>
      <c r="B566" s="19">
        <v>45043</v>
      </c>
      <c r="C566" s="20">
        <v>0.12777777777777799</v>
      </c>
      <c r="D566" s="20">
        <v>0.23749999999999999</v>
      </c>
      <c r="E566" s="20">
        <v>0.109722222222222</v>
      </c>
      <c r="F566" s="21" t="s">
        <v>34</v>
      </c>
      <c r="G566" t="s">
        <v>800</v>
      </c>
    </row>
    <row r="567" spans="1:7" x14ac:dyDescent="0.3">
      <c r="A567" s="18" t="s">
        <v>53</v>
      </c>
      <c r="B567" s="19">
        <v>45043</v>
      </c>
      <c r="C567" s="20">
        <v>0.65833333333333299</v>
      </c>
      <c r="D567" s="20">
        <v>0.66388888888888897</v>
      </c>
      <c r="E567" s="20">
        <v>5.5555555555555402E-3</v>
      </c>
      <c r="F567" s="21" t="s">
        <v>51</v>
      </c>
      <c r="G567" t="s">
        <v>800</v>
      </c>
    </row>
    <row r="568" spans="1:7" x14ac:dyDescent="0.3">
      <c r="A568" s="18" t="s">
        <v>53</v>
      </c>
      <c r="B568" s="19">
        <v>45043</v>
      </c>
      <c r="C568" s="20">
        <v>0.74861111111111101</v>
      </c>
      <c r="D568" s="20">
        <v>0.8125</v>
      </c>
      <c r="E568" s="20">
        <v>6.3888888888888995E-2</v>
      </c>
      <c r="F568" s="21" t="s">
        <v>32</v>
      </c>
      <c r="G568" t="s">
        <v>800</v>
      </c>
    </row>
    <row r="569" spans="1:7" x14ac:dyDescent="0.3">
      <c r="A569" s="18" t="s">
        <v>53</v>
      </c>
      <c r="B569" s="19">
        <v>45043</v>
      </c>
      <c r="C569" s="20">
        <v>0.8125</v>
      </c>
      <c r="D569" s="20">
        <v>0.875694444444444</v>
      </c>
      <c r="E569" s="20">
        <v>6.31944444444444E-2</v>
      </c>
      <c r="F569" s="21" t="s">
        <v>32</v>
      </c>
      <c r="G569" t="s">
        <v>800</v>
      </c>
    </row>
    <row r="570" spans="1:7" x14ac:dyDescent="0.3">
      <c r="A570" s="18" t="s">
        <v>53</v>
      </c>
      <c r="B570" s="19">
        <v>45043</v>
      </c>
      <c r="C570" s="20">
        <v>0.875694444444444</v>
      </c>
      <c r="D570" s="20">
        <v>0.89583333333333304</v>
      </c>
      <c r="E570" s="20">
        <v>2.0138888888888901E-2</v>
      </c>
      <c r="F570" s="21" t="s">
        <v>34</v>
      </c>
      <c r="G570" t="s">
        <v>800</v>
      </c>
    </row>
    <row r="571" spans="1:7" x14ac:dyDescent="0.3">
      <c r="A571" s="18" t="s">
        <v>53</v>
      </c>
      <c r="B571" s="19">
        <v>45044</v>
      </c>
      <c r="C571" s="20">
        <v>0.13541666666666699</v>
      </c>
      <c r="D571" s="20">
        <v>0.13750000000000001</v>
      </c>
      <c r="E571" s="20">
        <v>2.0833333333333298E-3</v>
      </c>
      <c r="F571" s="21" t="s">
        <v>43</v>
      </c>
      <c r="G571" t="s">
        <v>801</v>
      </c>
    </row>
    <row r="572" spans="1:7" x14ac:dyDescent="0.3">
      <c r="A572" s="18" t="s">
        <v>53</v>
      </c>
      <c r="B572" s="19">
        <v>45044</v>
      </c>
      <c r="C572" s="20">
        <v>0.18472222222222201</v>
      </c>
      <c r="D572" s="20">
        <v>0.18888888888888899</v>
      </c>
      <c r="E572" s="20">
        <v>4.1666666666666501E-3</v>
      </c>
      <c r="F572" s="21" t="s">
        <v>43</v>
      </c>
      <c r="G572" t="s">
        <v>801</v>
      </c>
    </row>
    <row r="573" spans="1:7" x14ac:dyDescent="0.3">
      <c r="A573" s="18" t="s">
        <v>53</v>
      </c>
      <c r="B573" s="19">
        <v>45044</v>
      </c>
      <c r="C573" s="20">
        <v>0.313194444444444</v>
      </c>
      <c r="D573" s="20">
        <v>0.31527777777777799</v>
      </c>
      <c r="E573" s="20">
        <v>2.0833333333333298E-3</v>
      </c>
      <c r="F573" s="21" t="s">
        <v>43</v>
      </c>
      <c r="G573" t="s">
        <v>801</v>
      </c>
    </row>
    <row r="574" spans="1:7" x14ac:dyDescent="0.3">
      <c r="A574" s="18" t="s">
        <v>53</v>
      </c>
      <c r="B574" s="19">
        <v>45044</v>
      </c>
      <c r="C574" s="20">
        <v>0.39861111111111103</v>
      </c>
      <c r="D574" s="20">
        <v>0.4</v>
      </c>
      <c r="E574" s="20">
        <v>1.3888888888888801E-3</v>
      </c>
      <c r="F574" s="21" t="s">
        <v>805</v>
      </c>
      <c r="G574" t="s">
        <v>801</v>
      </c>
    </row>
    <row r="575" spans="1:7" x14ac:dyDescent="0.3">
      <c r="A575" s="18" t="s">
        <v>53</v>
      </c>
      <c r="B575" s="19">
        <v>45044</v>
      </c>
      <c r="C575" s="20">
        <v>0.74861111111111101</v>
      </c>
      <c r="D575" s="20">
        <v>0.8125</v>
      </c>
      <c r="E575" s="20">
        <v>6.3888888888888995E-2</v>
      </c>
      <c r="F575" s="21" t="s">
        <v>32</v>
      </c>
      <c r="G575" t="s">
        <v>801</v>
      </c>
    </row>
    <row r="576" spans="1:7" x14ac:dyDescent="0.3">
      <c r="A576" s="18" t="s">
        <v>53</v>
      </c>
      <c r="B576" s="19">
        <v>45044</v>
      </c>
      <c r="C576" s="20">
        <v>0.8125</v>
      </c>
      <c r="D576" s="20">
        <v>0.875694444444444</v>
      </c>
      <c r="E576" s="20">
        <v>6.31944444444444E-2</v>
      </c>
      <c r="F576" s="21" t="s">
        <v>32</v>
      </c>
      <c r="G576" t="s">
        <v>801</v>
      </c>
    </row>
    <row r="577" spans="1:7" x14ac:dyDescent="0.3">
      <c r="A577" s="18" t="s">
        <v>485</v>
      </c>
      <c r="B577" s="19">
        <v>45017</v>
      </c>
      <c r="C577" s="20" t="s">
        <v>486</v>
      </c>
      <c r="D577" s="20" t="s">
        <v>487</v>
      </c>
      <c r="E577" s="20" t="s">
        <v>140</v>
      </c>
      <c r="F577" s="21" t="s">
        <v>74</v>
      </c>
      <c r="G577" t="s">
        <v>803</v>
      </c>
    </row>
    <row r="578" spans="1:7" x14ac:dyDescent="0.3">
      <c r="A578" s="18" t="s">
        <v>485</v>
      </c>
      <c r="B578" s="19">
        <v>45017</v>
      </c>
      <c r="C578" s="20" t="s">
        <v>488</v>
      </c>
      <c r="D578" s="20" t="s">
        <v>489</v>
      </c>
      <c r="E578" s="20" t="s">
        <v>425</v>
      </c>
      <c r="F578" s="21" t="s">
        <v>105</v>
      </c>
      <c r="G578" t="s">
        <v>803</v>
      </c>
    </row>
    <row r="579" spans="1:7" x14ac:dyDescent="0.3">
      <c r="A579" s="18" t="s">
        <v>485</v>
      </c>
      <c r="B579" s="19">
        <v>45017</v>
      </c>
      <c r="C579" s="20" t="s">
        <v>490</v>
      </c>
      <c r="D579" s="20" t="s">
        <v>370</v>
      </c>
      <c r="E579" s="20" t="s">
        <v>491</v>
      </c>
      <c r="F579" s="21" t="s">
        <v>74</v>
      </c>
      <c r="G579" t="s">
        <v>803</v>
      </c>
    </row>
    <row r="580" spans="1:7" x14ac:dyDescent="0.3">
      <c r="A580" s="18" t="s">
        <v>485</v>
      </c>
      <c r="B580" s="19">
        <v>45017</v>
      </c>
      <c r="C580" s="20" t="s">
        <v>492</v>
      </c>
      <c r="D580" s="20" t="s">
        <v>493</v>
      </c>
      <c r="E580" s="20" t="s">
        <v>442</v>
      </c>
      <c r="F580" s="21" t="s">
        <v>74</v>
      </c>
      <c r="G580" t="s">
        <v>803</v>
      </c>
    </row>
    <row r="581" spans="1:7" x14ac:dyDescent="0.3">
      <c r="A581" s="18" t="s">
        <v>485</v>
      </c>
      <c r="B581" s="19">
        <v>45018</v>
      </c>
      <c r="C581" s="20" t="s">
        <v>494</v>
      </c>
      <c r="D581" s="20" t="s">
        <v>495</v>
      </c>
      <c r="E581" s="20" t="s">
        <v>110</v>
      </c>
      <c r="F581" s="21" t="s">
        <v>74</v>
      </c>
      <c r="G581" t="s">
        <v>802</v>
      </c>
    </row>
    <row r="582" spans="1:7" x14ac:dyDescent="0.3">
      <c r="A582" s="18" t="s">
        <v>485</v>
      </c>
      <c r="B582" s="19">
        <v>45018</v>
      </c>
      <c r="C582" s="20" t="s">
        <v>340</v>
      </c>
      <c r="D582" s="20" t="s">
        <v>496</v>
      </c>
      <c r="E582" s="20" t="s">
        <v>363</v>
      </c>
      <c r="F582" s="21" t="s">
        <v>105</v>
      </c>
      <c r="G582" t="s">
        <v>802</v>
      </c>
    </row>
    <row r="583" spans="1:7" x14ac:dyDescent="0.3">
      <c r="A583" s="18" t="s">
        <v>485</v>
      </c>
      <c r="B583" s="19">
        <v>45018</v>
      </c>
      <c r="C583" s="20" t="s">
        <v>497</v>
      </c>
      <c r="D583" s="20" t="s">
        <v>498</v>
      </c>
      <c r="E583" s="20" t="s">
        <v>122</v>
      </c>
      <c r="F583" s="21" t="s">
        <v>74</v>
      </c>
      <c r="G583" t="s">
        <v>802</v>
      </c>
    </row>
    <row r="584" spans="1:7" x14ac:dyDescent="0.3">
      <c r="A584" s="18" t="s">
        <v>485</v>
      </c>
      <c r="B584" s="19">
        <v>45018</v>
      </c>
      <c r="C584" s="20" t="s">
        <v>499</v>
      </c>
      <c r="D584" s="20" t="s">
        <v>500</v>
      </c>
      <c r="E584" s="20" t="s">
        <v>246</v>
      </c>
      <c r="F584" s="21" t="s">
        <v>74</v>
      </c>
      <c r="G584" t="s">
        <v>802</v>
      </c>
    </row>
    <row r="585" spans="1:7" x14ac:dyDescent="0.3">
      <c r="A585" s="18" t="s">
        <v>485</v>
      </c>
      <c r="B585" s="19">
        <v>45018</v>
      </c>
      <c r="C585" s="20" t="s">
        <v>87</v>
      </c>
      <c r="D585" s="20" t="s">
        <v>442</v>
      </c>
      <c r="E585" s="20" t="s">
        <v>149</v>
      </c>
      <c r="F585" s="21" t="s">
        <v>248</v>
      </c>
      <c r="G585" t="s">
        <v>802</v>
      </c>
    </row>
    <row r="586" spans="1:7" x14ac:dyDescent="0.3">
      <c r="A586" s="18" t="s">
        <v>485</v>
      </c>
      <c r="B586" s="19">
        <v>45019</v>
      </c>
      <c r="C586" s="20" t="s">
        <v>501</v>
      </c>
      <c r="D586" s="20" t="s">
        <v>106</v>
      </c>
      <c r="E586" s="20" t="s">
        <v>303</v>
      </c>
      <c r="F586" s="21" t="s">
        <v>74</v>
      </c>
      <c r="G586" t="s">
        <v>797</v>
      </c>
    </row>
    <row r="587" spans="1:7" x14ac:dyDescent="0.3">
      <c r="A587" s="18" t="s">
        <v>485</v>
      </c>
      <c r="B587" s="19">
        <v>45019</v>
      </c>
      <c r="C587" s="20" t="s">
        <v>321</v>
      </c>
      <c r="D587" s="20" t="s">
        <v>502</v>
      </c>
      <c r="E587" s="20" t="s">
        <v>503</v>
      </c>
      <c r="F587" s="21" t="s">
        <v>105</v>
      </c>
      <c r="G587" t="s">
        <v>797</v>
      </c>
    </row>
    <row r="588" spans="1:7" x14ac:dyDescent="0.3">
      <c r="A588" s="18" t="s">
        <v>485</v>
      </c>
      <c r="B588" s="19">
        <v>45019</v>
      </c>
      <c r="C588" s="20" t="s">
        <v>504</v>
      </c>
      <c r="D588" s="20" t="s">
        <v>382</v>
      </c>
      <c r="E588" s="20" t="s">
        <v>247</v>
      </c>
      <c r="F588" s="21" t="s">
        <v>74</v>
      </c>
      <c r="G588" t="s">
        <v>797</v>
      </c>
    </row>
    <row r="589" spans="1:7" x14ac:dyDescent="0.3">
      <c r="A589" s="18" t="s">
        <v>485</v>
      </c>
      <c r="B589" s="19">
        <v>45019</v>
      </c>
      <c r="C589" s="20" t="s">
        <v>505</v>
      </c>
      <c r="D589" s="20" t="s">
        <v>118</v>
      </c>
      <c r="E589" s="20" t="s">
        <v>506</v>
      </c>
      <c r="F589" s="21" t="s">
        <v>253</v>
      </c>
      <c r="G589" t="s">
        <v>797</v>
      </c>
    </row>
    <row r="590" spans="1:7" x14ac:dyDescent="0.3">
      <c r="A590" s="18" t="s">
        <v>485</v>
      </c>
      <c r="B590" s="19">
        <v>45020</v>
      </c>
      <c r="C590" s="20" t="s">
        <v>109</v>
      </c>
      <c r="D590" s="20" t="s">
        <v>68</v>
      </c>
      <c r="E590" s="20" t="s">
        <v>303</v>
      </c>
      <c r="F590" s="21" t="s">
        <v>74</v>
      </c>
      <c r="G590" t="s">
        <v>798</v>
      </c>
    </row>
    <row r="591" spans="1:7" x14ac:dyDescent="0.3">
      <c r="A591" s="18" t="s">
        <v>485</v>
      </c>
      <c r="B591" s="19">
        <v>45020</v>
      </c>
      <c r="C591" s="20" t="s">
        <v>507</v>
      </c>
      <c r="D591" s="20" t="s">
        <v>508</v>
      </c>
      <c r="E591" s="20" t="s">
        <v>452</v>
      </c>
      <c r="F591" s="21" t="s">
        <v>105</v>
      </c>
      <c r="G591" t="s">
        <v>798</v>
      </c>
    </row>
    <row r="592" spans="1:7" x14ac:dyDescent="0.3">
      <c r="A592" s="18" t="s">
        <v>485</v>
      </c>
      <c r="B592" s="19">
        <v>45020</v>
      </c>
      <c r="C592" s="20" t="s">
        <v>509</v>
      </c>
      <c r="D592" s="20" t="s">
        <v>251</v>
      </c>
      <c r="E592" s="20" t="s">
        <v>510</v>
      </c>
      <c r="F592" s="21" t="s">
        <v>253</v>
      </c>
      <c r="G592" t="s">
        <v>798</v>
      </c>
    </row>
    <row r="593" spans="1:7" x14ac:dyDescent="0.3">
      <c r="A593" s="18" t="s">
        <v>485</v>
      </c>
      <c r="B593" s="19">
        <v>45020</v>
      </c>
      <c r="C593" s="20" t="s">
        <v>511</v>
      </c>
      <c r="D593" s="20" t="s">
        <v>136</v>
      </c>
      <c r="E593" s="20" t="s">
        <v>247</v>
      </c>
      <c r="F593" s="21" t="s">
        <v>74</v>
      </c>
      <c r="G593" t="s">
        <v>798</v>
      </c>
    </row>
    <row r="594" spans="1:7" x14ac:dyDescent="0.3">
      <c r="A594" s="18" t="s">
        <v>485</v>
      </c>
      <c r="B594" s="19">
        <v>45020</v>
      </c>
      <c r="C594" s="20" t="s">
        <v>251</v>
      </c>
      <c r="D594" s="20" t="s">
        <v>254</v>
      </c>
      <c r="E594" s="20" t="s">
        <v>255</v>
      </c>
      <c r="F594" s="21" t="s">
        <v>253</v>
      </c>
      <c r="G594" t="s">
        <v>798</v>
      </c>
    </row>
    <row r="595" spans="1:7" x14ac:dyDescent="0.3">
      <c r="A595" s="18" t="s">
        <v>485</v>
      </c>
      <c r="B595" s="19">
        <v>45020</v>
      </c>
      <c r="C595" s="20" t="s">
        <v>254</v>
      </c>
      <c r="D595" s="20" t="s">
        <v>512</v>
      </c>
      <c r="E595" s="20" t="s">
        <v>264</v>
      </c>
      <c r="F595" s="21" t="s">
        <v>89</v>
      </c>
      <c r="G595" t="s">
        <v>798</v>
      </c>
    </row>
    <row r="596" spans="1:7" x14ac:dyDescent="0.3">
      <c r="A596" s="18" t="s">
        <v>485</v>
      </c>
      <c r="B596" s="19">
        <v>45021</v>
      </c>
      <c r="C596" s="20" t="s">
        <v>513</v>
      </c>
      <c r="D596" s="20" t="s">
        <v>514</v>
      </c>
      <c r="E596" s="20" t="s">
        <v>133</v>
      </c>
      <c r="F596" s="21" t="s">
        <v>74</v>
      </c>
      <c r="G596" t="s">
        <v>799</v>
      </c>
    </row>
    <row r="597" spans="1:7" x14ac:dyDescent="0.3">
      <c r="A597" s="18" t="s">
        <v>485</v>
      </c>
      <c r="B597" s="19">
        <v>45021</v>
      </c>
      <c r="C597" s="20" t="s">
        <v>515</v>
      </c>
      <c r="D597" s="20" t="s">
        <v>341</v>
      </c>
      <c r="E597" s="20" t="s">
        <v>516</v>
      </c>
      <c r="F597" s="21" t="s">
        <v>105</v>
      </c>
      <c r="G597" t="s">
        <v>799</v>
      </c>
    </row>
    <row r="598" spans="1:7" x14ac:dyDescent="0.3">
      <c r="A598" s="18" t="s">
        <v>485</v>
      </c>
      <c r="B598" s="19">
        <v>45021</v>
      </c>
      <c r="C598" s="20" t="s">
        <v>517</v>
      </c>
      <c r="D598" s="20" t="s">
        <v>518</v>
      </c>
      <c r="E598" s="20" t="s">
        <v>99</v>
      </c>
      <c r="F598" s="21" t="s">
        <v>74</v>
      </c>
      <c r="G598" t="s">
        <v>799</v>
      </c>
    </row>
    <row r="599" spans="1:7" x14ac:dyDescent="0.3">
      <c r="A599" s="18" t="s">
        <v>485</v>
      </c>
      <c r="B599" s="19">
        <v>45021</v>
      </c>
      <c r="C599" s="20" t="s">
        <v>519</v>
      </c>
      <c r="D599" s="20" t="s">
        <v>520</v>
      </c>
      <c r="E599" s="20" t="s">
        <v>521</v>
      </c>
      <c r="F599" s="21" t="s">
        <v>253</v>
      </c>
      <c r="G599" t="s">
        <v>799</v>
      </c>
    </row>
    <row r="600" spans="1:7" x14ac:dyDescent="0.3">
      <c r="A600" s="18" t="s">
        <v>485</v>
      </c>
      <c r="B600" s="19">
        <v>45021</v>
      </c>
      <c r="C600" s="20" t="s">
        <v>252</v>
      </c>
      <c r="D600" s="20" t="s">
        <v>522</v>
      </c>
      <c r="E600" s="20" t="s">
        <v>73</v>
      </c>
      <c r="F600" s="21" t="s">
        <v>523</v>
      </c>
      <c r="G600" t="s">
        <v>799</v>
      </c>
    </row>
    <row r="601" spans="1:7" x14ac:dyDescent="0.3">
      <c r="A601" s="18" t="s">
        <v>485</v>
      </c>
      <c r="B601" s="19">
        <v>45022</v>
      </c>
      <c r="C601" s="20" t="s">
        <v>226</v>
      </c>
      <c r="D601" s="20" t="s">
        <v>524</v>
      </c>
      <c r="E601" s="20" t="s">
        <v>299</v>
      </c>
      <c r="F601" s="21" t="s">
        <v>74</v>
      </c>
      <c r="G601" t="s">
        <v>800</v>
      </c>
    </row>
    <row r="602" spans="1:7" x14ac:dyDescent="0.3">
      <c r="A602" s="18" t="s">
        <v>485</v>
      </c>
      <c r="B602" s="19">
        <v>45022</v>
      </c>
      <c r="C602" s="20" t="s">
        <v>525</v>
      </c>
      <c r="D602" s="20" t="s">
        <v>526</v>
      </c>
      <c r="E602" s="20" t="s">
        <v>137</v>
      </c>
      <c r="F602" s="21" t="s">
        <v>105</v>
      </c>
      <c r="G602" t="s">
        <v>800</v>
      </c>
    </row>
    <row r="603" spans="1:7" x14ac:dyDescent="0.3">
      <c r="A603" s="18" t="s">
        <v>485</v>
      </c>
      <c r="B603" s="19">
        <v>45022</v>
      </c>
      <c r="C603" s="20" t="s">
        <v>527</v>
      </c>
      <c r="D603" s="20" t="s">
        <v>528</v>
      </c>
      <c r="E603" s="20" t="s">
        <v>65</v>
      </c>
      <c r="F603" s="21" t="s">
        <v>69</v>
      </c>
      <c r="G603" t="s">
        <v>800</v>
      </c>
    </row>
    <row r="604" spans="1:7" x14ac:dyDescent="0.3">
      <c r="A604" s="18" t="s">
        <v>485</v>
      </c>
      <c r="B604" s="19">
        <v>45022</v>
      </c>
      <c r="C604" s="20" t="s">
        <v>315</v>
      </c>
      <c r="D604" s="20" t="s">
        <v>529</v>
      </c>
      <c r="E604" s="20" t="s">
        <v>99</v>
      </c>
      <c r="F604" s="21" t="s">
        <v>74</v>
      </c>
      <c r="G604" t="s">
        <v>800</v>
      </c>
    </row>
    <row r="605" spans="1:7" x14ac:dyDescent="0.3">
      <c r="A605" s="18" t="s">
        <v>485</v>
      </c>
      <c r="B605" s="19">
        <v>45022</v>
      </c>
      <c r="C605" s="20" t="s">
        <v>530</v>
      </c>
      <c r="D605" s="20" t="s">
        <v>531</v>
      </c>
      <c r="E605" s="20" t="s">
        <v>532</v>
      </c>
      <c r="F605" s="21" t="s">
        <v>253</v>
      </c>
      <c r="G605" t="s">
        <v>800</v>
      </c>
    </row>
    <row r="606" spans="1:7" x14ac:dyDescent="0.3">
      <c r="A606" s="18" t="s">
        <v>485</v>
      </c>
      <c r="B606" s="19">
        <v>45023</v>
      </c>
      <c r="C606" s="20" t="s">
        <v>533</v>
      </c>
      <c r="D606" s="20" t="s">
        <v>534</v>
      </c>
      <c r="E606" s="20" t="s">
        <v>451</v>
      </c>
      <c r="F606" s="21" t="s">
        <v>74</v>
      </c>
      <c r="G606" t="s">
        <v>801</v>
      </c>
    </row>
    <row r="607" spans="1:7" x14ac:dyDescent="0.3">
      <c r="A607" s="18" t="s">
        <v>485</v>
      </c>
      <c r="B607" s="19">
        <v>45023</v>
      </c>
      <c r="C607" s="20" t="s">
        <v>152</v>
      </c>
      <c r="D607" s="20" t="s">
        <v>535</v>
      </c>
      <c r="E607" s="20" t="s">
        <v>536</v>
      </c>
      <c r="F607" s="21" t="s">
        <v>105</v>
      </c>
      <c r="G607" t="s">
        <v>801</v>
      </c>
    </row>
    <row r="608" spans="1:7" x14ac:dyDescent="0.3">
      <c r="A608" s="18" t="s">
        <v>485</v>
      </c>
      <c r="B608" s="19">
        <v>45023</v>
      </c>
      <c r="C608" s="20" t="s">
        <v>537</v>
      </c>
      <c r="D608" s="20" t="s">
        <v>538</v>
      </c>
      <c r="E608" s="20" t="s">
        <v>292</v>
      </c>
      <c r="F608" s="21" t="s">
        <v>74</v>
      </c>
      <c r="G608" t="s">
        <v>801</v>
      </c>
    </row>
    <row r="609" spans="1:8" x14ac:dyDescent="0.3">
      <c r="A609" s="18" t="s">
        <v>485</v>
      </c>
      <c r="B609" s="19">
        <v>45023</v>
      </c>
      <c r="C609" s="20" t="s">
        <v>539</v>
      </c>
      <c r="D609" s="20" t="s">
        <v>540</v>
      </c>
      <c r="E609" s="20" t="s">
        <v>541</v>
      </c>
      <c r="F609" s="21" t="s">
        <v>105</v>
      </c>
      <c r="G609" t="s">
        <v>801</v>
      </c>
    </row>
    <row r="610" spans="1:8" x14ac:dyDescent="0.3">
      <c r="A610" s="18" t="s">
        <v>485</v>
      </c>
      <c r="B610" s="19">
        <v>45024</v>
      </c>
      <c r="C610" s="20" t="s">
        <v>542</v>
      </c>
      <c r="D610" s="20" t="s">
        <v>543</v>
      </c>
      <c r="E610" s="20" t="s">
        <v>299</v>
      </c>
      <c r="F610" s="21" t="s">
        <v>74</v>
      </c>
      <c r="G610" t="s">
        <v>803</v>
      </c>
    </row>
    <row r="611" spans="1:8" x14ac:dyDescent="0.3">
      <c r="A611" s="18" t="s">
        <v>485</v>
      </c>
      <c r="B611" s="19">
        <v>45024</v>
      </c>
      <c r="C611" s="20" t="s">
        <v>544</v>
      </c>
      <c r="D611" s="20" t="s">
        <v>216</v>
      </c>
      <c r="E611" s="20" t="s">
        <v>149</v>
      </c>
      <c r="F611" s="21" t="s">
        <v>74</v>
      </c>
      <c r="G611" t="s">
        <v>803</v>
      </c>
    </row>
    <row r="612" spans="1:8" x14ac:dyDescent="0.3">
      <c r="A612" s="18" t="s">
        <v>485</v>
      </c>
      <c r="B612" s="19">
        <v>45024</v>
      </c>
      <c r="C612" s="20" t="s">
        <v>88</v>
      </c>
      <c r="D612" s="20" t="s">
        <v>545</v>
      </c>
      <c r="E612" s="20" t="s">
        <v>546</v>
      </c>
      <c r="F612" s="21" t="s">
        <v>105</v>
      </c>
      <c r="G612" t="s">
        <v>803</v>
      </c>
    </row>
    <row r="613" spans="1:8" x14ac:dyDescent="0.3">
      <c r="A613" s="18" t="s">
        <v>485</v>
      </c>
      <c r="B613" s="19">
        <v>45024</v>
      </c>
      <c r="C613" s="20" t="s">
        <v>547</v>
      </c>
      <c r="D613" s="20" t="s">
        <v>469</v>
      </c>
      <c r="E613" s="20" t="s">
        <v>65</v>
      </c>
      <c r="F613" s="21" t="s">
        <v>69</v>
      </c>
      <c r="G613" t="s">
        <v>803</v>
      </c>
    </row>
    <row r="614" spans="1:8" x14ac:dyDescent="0.3">
      <c r="A614" s="18" t="s">
        <v>485</v>
      </c>
      <c r="B614" s="19">
        <v>45024</v>
      </c>
      <c r="C614" s="20" t="s">
        <v>441</v>
      </c>
      <c r="D614" s="20" t="s">
        <v>548</v>
      </c>
      <c r="E614" s="20" t="s">
        <v>65</v>
      </c>
      <c r="F614" s="21" t="s">
        <v>69</v>
      </c>
      <c r="G614" t="s">
        <v>803</v>
      </c>
    </row>
    <row r="615" spans="1:8" x14ac:dyDescent="0.3">
      <c r="A615" s="18" t="s">
        <v>485</v>
      </c>
      <c r="B615" s="19">
        <v>45025</v>
      </c>
      <c r="C615" s="20" t="s">
        <v>549</v>
      </c>
      <c r="D615" s="20" t="s">
        <v>461</v>
      </c>
      <c r="E615" s="20" t="s">
        <v>151</v>
      </c>
      <c r="F615" s="21" t="s">
        <v>74</v>
      </c>
      <c r="G615" t="s">
        <v>802</v>
      </c>
    </row>
    <row r="616" spans="1:8" x14ac:dyDescent="0.3">
      <c r="A616" s="18" t="s">
        <v>485</v>
      </c>
      <c r="B616" s="19">
        <v>45025</v>
      </c>
      <c r="C616" s="20" t="s">
        <v>550</v>
      </c>
      <c r="D616" s="20" t="s">
        <v>551</v>
      </c>
      <c r="E616" s="20" t="s">
        <v>546</v>
      </c>
      <c r="F616" s="21" t="s">
        <v>105</v>
      </c>
      <c r="G616" t="s">
        <v>802</v>
      </c>
    </row>
    <row r="617" spans="1:8" x14ac:dyDescent="0.3">
      <c r="A617" s="18" t="s">
        <v>485</v>
      </c>
      <c r="B617" s="19">
        <v>45025</v>
      </c>
      <c r="C617" s="20" t="s">
        <v>456</v>
      </c>
      <c r="D617" s="20" t="s">
        <v>117</v>
      </c>
      <c r="E617" s="20" t="s">
        <v>73</v>
      </c>
      <c r="F617" s="21" t="s">
        <v>66</v>
      </c>
      <c r="G617" t="s">
        <v>802</v>
      </c>
    </row>
    <row r="618" spans="1:8" x14ac:dyDescent="0.3">
      <c r="A618" s="18" t="s">
        <v>485</v>
      </c>
      <c r="B618" s="19">
        <v>45025</v>
      </c>
      <c r="C618" s="20" t="s">
        <v>552</v>
      </c>
      <c r="D618" s="20" t="s">
        <v>553</v>
      </c>
      <c r="E618" s="20" t="s">
        <v>149</v>
      </c>
      <c r="F618" s="21" t="s">
        <v>74</v>
      </c>
      <c r="G618" t="s">
        <v>802</v>
      </c>
    </row>
    <row r="619" spans="1:8" x14ac:dyDescent="0.3">
      <c r="A619" s="18" t="s">
        <v>485</v>
      </c>
      <c r="B619" s="19">
        <v>45026</v>
      </c>
      <c r="C619" s="20" t="s">
        <v>554</v>
      </c>
      <c r="D619" s="20" t="s">
        <v>430</v>
      </c>
      <c r="E619" s="20" t="s">
        <v>87</v>
      </c>
      <c r="F619" s="21" t="s">
        <v>74</v>
      </c>
      <c r="G619" t="s">
        <v>797</v>
      </c>
    </row>
    <row r="620" spans="1:8" x14ac:dyDescent="0.3">
      <c r="A620" s="18" t="s">
        <v>485</v>
      </c>
      <c r="B620" s="19">
        <v>45026</v>
      </c>
      <c r="C620" s="20" t="s">
        <v>279</v>
      </c>
      <c r="D620" s="20" t="s">
        <v>215</v>
      </c>
      <c r="E620" s="20" t="s">
        <v>264</v>
      </c>
      <c r="F620" s="21" t="s">
        <v>105</v>
      </c>
      <c r="G620" t="s">
        <v>797</v>
      </c>
    </row>
    <row r="621" spans="1:8" x14ac:dyDescent="0.3">
      <c r="A621" s="18" t="s">
        <v>485</v>
      </c>
      <c r="B621" s="19">
        <v>45026</v>
      </c>
      <c r="C621" s="20" t="s">
        <v>555</v>
      </c>
      <c r="D621" s="20" t="s">
        <v>556</v>
      </c>
      <c r="E621" s="20" t="s">
        <v>221</v>
      </c>
      <c r="F621" s="21" t="s">
        <v>66</v>
      </c>
      <c r="G621" t="s">
        <v>797</v>
      </c>
    </row>
    <row r="622" spans="1:8" x14ac:dyDescent="0.3">
      <c r="A622" s="18" t="s">
        <v>485</v>
      </c>
      <c r="B622" s="19">
        <v>45026</v>
      </c>
      <c r="C622" s="20" t="s">
        <v>557</v>
      </c>
      <c r="D622" s="20" t="s">
        <v>558</v>
      </c>
      <c r="E622" s="20" t="s">
        <v>122</v>
      </c>
      <c r="F622" s="21" t="s">
        <v>74</v>
      </c>
      <c r="G622" t="s">
        <v>797</v>
      </c>
    </row>
    <row r="623" spans="1:8" x14ac:dyDescent="0.3">
      <c r="A623" s="18" t="s">
        <v>485</v>
      </c>
      <c r="B623" s="19">
        <v>45026</v>
      </c>
      <c r="C623" s="20" t="s">
        <v>387</v>
      </c>
      <c r="D623" s="20" t="s">
        <v>559</v>
      </c>
      <c r="E623" s="20" t="s">
        <v>442</v>
      </c>
      <c r="F623" s="21" t="s">
        <v>105</v>
      </c>
      <c r="G623" t="s">
        <v>797</v>
      </c>
    </row>
    <row r="624" spans="1:8" x14ac:dyDescent="0.3">
      <c r="A624" s="18" t="s">
        <v>485</v>
      </c>
      <c r="B624" s="19">
        <v>45026</v>
      </c>
      <c r="C624" s="20" t="s">
        <v>560</v>
      </c>
      <c r="D624" s="20" t="s">
        <v>561</v>
      </c>
      <c r="E624" s="20" t="s">
        <v>65</v>
      </c>
      <c r="F624" s="21" t="s">
        <v>69</v>
      </c>
      <c r="G624" t="s">
        <v>797</v>
      </c>
      <c r="H624" s="22">
        <f>SUM(E621:E628)</f>
        <v>0</v>
      </c>
    </row>
    <row r="625" spans="1:7" x14ac:dyDescent="0.3">
      <c r="A625" s="18" t="s">
        <v>485</v>
      </c>
      <c r="B625" s="19">
        <v>45026</v>
      </c>
      <c r="C625" s="20" t="s">
        <v>145</v>
      </c>
      <c r="D625" s="20" t="s">
        <v>562</v>
      </c>
      <c r="E625" s="20" t="s">
        <v>563</v>
      </c>
      <c r="F625" s="21" t="s">
        <v>523</v>
      </c>
      <c r="G625" t="s">
        <v>797</v>
      </c>
    </row>
    <row r="626" spans="1:7" x14ac:dyDescent="0.3">
      <c r="A626" s="18" t="s">
        <v>485</v>
      </c>
      <c r="B626" s="19">
        <v>45026</v>
      </c>
      <c r="C626" s="20" t="s">
        <v>564</v>
      </c>
      <c r="D626" s="20" t="s">
        <v>565</v>
      </c>
      <c r="E626" s="20" t="s">
        <v>65</v>
      </c>
      <c r="F626" s="21" t="s">
        <v>69</v>
      </c>
      <c r="G626" t="s">
        <v>797</v>
      </c>
    </row>
    <row r="627" spans="1:7" x14ac:dyDescent="0.3">
      <c r="A627" s="18" t="s">
        <v>485</v>
      </c>
      <c r="B627" s="19">
        <v>45027</v>
      </c>
      <c r="C627" s="20" t="s">
        <v>566</v>
      </c>
      <c r="D627" s="20" t="s">
        <v>495</v>
      </c>
      <c r="E627" s="20" t="s">
        <v>567</v>
      </c>
      <c r="F627" s="21" t="s">
        <v>74</v>
      </c>
      <c r="G627" t="s">
        <v>798</v>
      </c>
    </row>
    <row r="628" spans="1:7" x14ac:dyDescent="0.3">
      <c r="A628" s="18" t="s">
        <v>485</v>
      </c>
      <c r="B628" s="19">
        <v>45027</v>
      </c>
      <c r="C628" s="20" t="s">
        <v>568</v>
      </c>
      <c r="D628" s="20" t="s">
        <v>569</v>
      </c>
      <c r="E628" s="20" t="s">
        <v>570</v>
      </c>
      <c r="F628" s="21" t="s">
        <v>571</v>
      </c>
      <c r="G628" t="s">
        <v>798</v>
      </c>
    </row>
    <row r="629" spans="1:7" x14ac:dyDescent="0.3">
      <c r="A629" s="18" t="s">
        <v>485</v>
      </c>
      <c r="B629" s="19">
        <v>45027</v>
      </c>
      <c r="C629" s="20" t="s">
        <v>572</v>
      </c>
      <c r="D629" s="20" t="s">
        <v>489</v>
      </c>
      <c r="E629" s="20" t="s">
        <v>570</v>
      </c>
      <c r="F629" s="21" t="s">
        <v>105</v>
      </c>
      <c r="G629" t="s">
        <v>798</v>
      </c>
    </row>
    <row r="630" spans="1:7" x14ac:dyDescent="0.3">
      <c r="A630" s="18" t="s">
        <v>485</v>
      </c>
      <c r="B630" s="19">
        <v>45027</v>
      </c>
      <c r="C630" s="20" t="s">
        <v>573</v>
      </c>
      <c r="D630" s="20" t="s">
        <v>370</v>
      </c>
      <c r="E630" s="20" t="s">
        <v>247</v>
      </c>
      <c r="F630" s="21" t="s">
        <v>74</v>
      </c>
      <c r="G630" t="s">
        <v>798</v>
      </c>
    </row>
    <row r="631" spans="1:7" x14ac:dyDescent="0.3">
      <c r="A631" s="18" t="s">
        <v>485</v>
      </c>
      <c r="B631" s="19">
        <v>45027</v>
      </c>
      <c r="C631" s="20" t="s">
        <v>385</v>
      </c>
      <c r="D631" s="20" t="s">
        <v>493</v>
      </c>
      <c r="E631" s="20" t="s">
        <v>113</v>
      </c>
      <c r="F631" s="21" t="s">
        <v>105</v>
      </c>
      <c r="G631" t="s">
        <v>798</v>
      </c>
    </row>
    <row r="632" spans="1:7" x14ac:dyDescent="0.3">
      <c r="A632" s="18" t="s">
        <v>485</v>
      </c>
      <c r="B632" s="19">
        <v>45028</v>
      </c>
      <c r="C632" s="20" t="s">
        <v>574</v>
      </c>
      <c r="D632" s="20" t="s">
        <v>67</v>
      </c>
      <c r="E632" s="20" t="s">
        <v>355</v>
      </c>
      <c r="F632" s="21" t="s">
        <v>74</v>
      </c>
      <c r="G632" t="s">
        <v>799</v>
      </c>
    </row>
    <row r="633" spans="1:7" x14ac:dyDescent="0.3">
      <c r="A633" s="18" t="s">
        <v>485</v>
      </c>
      <c r="B633" s="19">
        <v>45028</v>
      </c>
      <c r="C633" s="20" t="s">
        <v>573</v>
      </c>
      <c r="D633" s="20" t="s">
        <v>370</v>
      </c>
      <c r="E633" s="20" t="s">
        <v>247</v>
      </c>
      <c r="F633" s="21" t="s">
        <v>74</v>
      </c>
      <c r="G633" t="s">
        <v>799</v>
      </c>
    </row>
    <row r="634" spans="1:7" x14ac:dyDescent="0.3">
      <c r="A634" s="18" t="s">
        <v>485</v>
      </c>
      <c r="B634" s="19">
        <v>45028</v>
      </c>
      <c r="C634" s="20" t="s">
        <v>346</v>
      </c>
      <c r="D634" s="20" t="s">
        <v>386</v>
      </c>
      <c r="E634" s="20" t="s">
        <v>65</v>
      </c>
      <c r="F634" s="21" t="s">
        <v>69</v>
      </c>
      <c r="G634" t="s">
        <v>799</v>
      </c>
    </row>
    <row r="635" spans="1:7" x14ac:dyDescent="0.3">
      <c r="A635" s="18" t="s">
        <v>485</v>
      </c>
      <c r="B635" s="19">
        <v>45028</v>
      </c>
      <c r="C635" s="20" t="s">
        <v>386</v>
      </c>
      <c r="D635" s="20" t="s">
        <v>575</v>
      </c>
      <c r="E635" s="20" t="s">
        <v>65</v>
      </c>
      <c r="F635" s="21" t="s">
        <v>71</v>
      </c>
      <c r="G635" t="s">
        <v>799</v>
      </c>
    </row>
    <row r="636" spans="1:7" x14ac:dyDescent="0.3">
      <c r="A636" s="18" t="s">
        <v>485</v>
      </c>
      <c r="B636" s="19">
        <v>45028</v>
      </c>
      <c r="C636" s="20" t="s">
        <v>575</v>
      </c>
      <c r="D636" s="20" t="s">
        <v>237</v>
      </c>
      <c r="E636" s="20" t="s">
        <v>122</v>
      </c>
      <c r="F636" s="21" t="s">
        <v>105</v>
      </c>
      <c r="G636" t="s">
        <v>799</v>
      </c>
    </row>
    <row r="637" spans="1:7" x14ac:dyDescent="0.3">
      <c r="A637" s="18" t="s">
        <v>485</v>
      </c>
      <c r="B637" s="19">
        <v>45028</v>
      </c>
      <c r="C637" s="20" t="s">
        <v>237</v>
      </c>
      <c r="D637" s="20" t="s">
        <v>576</v>
      </c>
      <c r="E637" s="20" t="s">
        <v>87</v>
      </c>
      <c r="F637" s="21" t="s">
        <v>89</v>
      </c>
      <c r="G637" t="s">
        <v>799</v>
      </c>
    </row>
    <row r="638" spans="1:7" x14ac:dyDescent="0.3">
      <c r="A638" s="18" t="s">
        <v>485</v>
      </c>
      <c r="B638" s="19">
        <v>45029</v>
      </c>
      <c r="C638" s="20" t="s">
        <v>577</v>
      </c>
      <c r="D638" s="20" t="s">
        <v>578</v>
      </c>
      <c r="E638" s="20" t="s">
        <v>65</v>
      </c>
      <c r="F638" s="21" t="s">
        <v>69</v>
      </c>
      <c r="G638" t="s">
        <v>800</v>
      </c>
    </row>
    <row r="639" spans="1:7" x14ac:dyDescent="0.3">
      <c r="A639" s="18" t="s">
        <v>485</v>
      </c>
      <c r="B639" s="19">
        <v>45029</v>
      </c>
      <c r="C639" s="20" t="s">
        <v>579</v>
      </c>
      <c r="D639" s="20" t="s">
        <v>428</v>
      </c>
      <c r="E639" s="20" t="s">
        <v>176</v>
      </c>
      <c r="F639" s="21" t="s">
        <v>74</v>
      </c>
      <c r="G639" t="s">
        <v>800</v>
      </c>
    </row>
    <row r="640" spans="1:7" x14ac:dyDescent="0.3">
      <c r="A640" s="18" t="s">
        <v>485</v>
      </c>
      <c r="B640" s="19">
        <v>45029</v>
      </c>
      <c r="C640" s="20" t="s">
        <v>580</v>
      </c>
      <c r="D640" s="20" t="s">
        <v>581</v>
      </c>
      <c r="E640" s="20" t="s">
        <v>65</v>
      </c>
      <c r="F640" s="21" t="s">
        <v>69</v>
      </c>
      <c r="G640" t="s">
        <v>800</v>
      </c>
    </row>
    <row r="641" spans="1:7" x14ac:dyDescent="0.3">
      <c r="A641" s="18" t="s">
        <v>485</v>
      </c>
      <c r="B641" s="19">
        <v>45029</v>
      </c>
      <c r="C641" s="20" t="s">
        <v>582</v>
      </c>
      <c r="D641" s="20" t="s">
        <v>583</v>
      </c>
      <c r="E641" s="20" t="s">
        <v>97</v>
      </c>
      <c r="F641" s="21" t="s">
        <v>69</v>
      </c>
      <c r="G641" t="s">
        <v>800</v>
      </c>
    </row>
    <row r="642" spans="1:7" x14ac:dyDescent="0.3">
      <c r="A642" s="18" t="s">
        <v>485</v>
      </c>
      <c r="B642" s="19">
        <v>45029</v>
      </c>
      <c r="C642" s="20" t="s">
        <v>583</v>
      </c>
      <c r="D642" s="20" t="s">
        <v>584</v>
      </c>
      <c r="E642" s="20" t="s">
        <v>97</v>
      </c>
      <c r="F642" s="21" t="s">
        <v>71</v>
      </c>
      <c r="G642" t="s">
        <v>800</v>
      </c>
    </row>
    <row r="643" spans="1:7" x14ac:dyDescent="0.3">
      <c r="A643" s="18" t="s">
        <v>485</v>
      </c>
      <c r="B643" s="19">
        <v>45029</v>
      </c>
      <c r="C643" s="20" t="s">
        <v>584</v>
      </c>
      <c r="D643" s="20" t="s">
        <v>585</v>
      </c>
      <c r="E643" s="20" t="s">
        <v>122</v>
      </c>
      <c r="F643" s="21" t="s">
        <v>105</v>
      </c>
      <c r="G643" t="s">
        <v>800</v>
      </c>
    </row>
    <row r="644" spans="1:7" x14ac:dyDescent="0.3">
      <c r="A644" s="18" t="s">
        <v>485</v>
      </c>
      <c r="B644" s="19">
        <v>45029</v>
      </c>
      <c r="C644" s="20" t="s">
        <v>585</v>
      </c>
      <c r="D644" s="20" t="s">
        <v>586</v>
      </c>
      <c r="E644" s="20" t="s">
        <v>317</v>
      </c>
      <c r="F644" s="21" t="s">
        <v>89</v>
      </c>
      <c r="G644" t="s">
        <v>800</v>
      </c>
    </row>
    <row r="645" spans="1:7" x14ac:dyDescent="0.3">
      <c r="A645" s="18" t="s">
        <v>485</v>
      </c>
      <c r="B645" s="19">
        <v>45029</v>
      </c>
      <c r="C645" s="20" t="s">
        <v>456</v>
      </c>
      <c r="D645" s="20" t="s">
        <v>314</v>
      </c>
      <c r="E645" s="20" t="s">
        <v>149</v>
      </c>
      <c r="F645" s="21" t="s">
        <v>74</v>
      </c>
      <c r="G645" t="s">
        <v>800</v>
      </c>
    </row>
    <row r="646" spans="1:7" x14ac:dyDescent="0.3">
      <c r="A646" s="18" t="s">
        <v>485</v>
      </c>
      <c r="B646" s="19">
        <v>45029</v>
      </c>
      <c r="C646" s="20" t="s">
        <v>587</v>
      </c>
      <c r="D646" s="20" t="s">
        <v>251</v>
      </c>
      <c r="E646" s="20" t="s">
        <v>588</v>
      </c>
      <c r="F646" s="21" t="s">
        <v>253</v>
      </c>
      <c r="G646" t="s">
        <v>800</v>
      </c>
    </row>
    <row r="647" spans="1:7" x14ac:dyDescent="0.3">
      <c r="A647" s="18" t="s">
        <v>485</v>
      </c>
      <c r="B647" s="19">
        <v>45029</v>
      </c>
      <c r="C647" s="20" t="s">
        <v>346</v>
      </c>
      <c r="D647" s="20" t="s">
        <v>589</v>
      </c>
      <c r="E647" s="20" t="s">
        <v>590</v>
      </c>
      <c r="F647" s="21" t="s">
        <v>105</v>
      </c>
      <c r="G647" t="s">
        <v>800</v>
      </c>
    </row>
    <row r="648" spans="1:7" x14ac:dyDescent="0.3">
      <c r="A648" s="18" t="s">
        <v>485</v>
      </c>
      <c r="B648" s="19">
        <v>45029</v>
      </c>
      <c r="C648" s="20" t="s">
        <v>251</v>
      </c>
      <c r="D648" s="20" t="s">
        <v>254</v>
      </c>
      <c r="E648" s="20" t="s">
        <v>255</v>
      </c>
      <c r="F648" s="21" t="s">
        <v>253</v>
      </c>
      <c r="G648" t="s">
        <v>800</v>
      </c>
    </row>
    <row r="649" spans="1:7" x14ac:dyDescent="0.3">
      <c r="A649" s="18" t="s">
        <v>485</v>
      </c>
      <c r="B649" s="19">
        <v>45030</v>
      </c>
      <c r="C649" s="20" t="s">
        <v>533</v>
      </c>
      <c r="D649" s="20" t="s">
        <v>91</v>
      </c>
      <c r="E649" s="20" t="s">
        <v>87</v>
      </c>
      <c r="F649" s="21" t="s">
        <v>74</v>
      </c>
      <c r="G649" t="s">
        <v>801</v>
      </c>
    </row>
    <row r="650" spans="1:7" x14ac:dyDescent="0.3">
      <c r="A650" s="18" t="s">
        <v>485</v>
      </c>
      <c r="B650" s="19">
        <v>45030</v>
      </c>
      <c r="C650" s="20" t="s">
        <v>591</v>
      </c>
      <c r="D650" s="20" t="s">
        <v>592</v>
      </c>
      <c r="E650" s="20" t="s">
        <v>65</v>
      </c>
      <c r="F650" s="21" t="s">
        <v>69</v>
      </c>
      <c r="G650" t="s">
        <v>801</v>
      </c>
    </row>
    <row r="651" spans="1:7" x14ac:dyDescent="0.3">
      <c r="A651" s="18" t="s">
        <v>485</v>
      </c>
      <c r="B651" s="19">
        <v>45030</v>
      </c>
      <c r="C651" s="20" t="s">
        <v>592</v>
      </c>
      <c r="D651" s="20" t="s">
        <v>593</v>
      </c>
      <c r="E651" s="20" t="s">
        <v>65</v>
      </c>
      <c r="F651" s="21" t="s">
        <v>71</v>
      </c>
      <c r="G651" t="s">
        <v>801</v>
      </c>
    </row>
    <row r="652" spans="1:7" x14ac:dyDescent="0.3">
      <c r="A652" s="18" t="s">
        <v>485</v>
      </c>
      <c r="B652" s="19">
        <v>45030</v>
      </c>
      <c r="C652" s="20" t="s">
        <v>593</v>
      </c>
      <c r="D652" s="20" t="s">
        <v>163</v>
      </c>
      <c r="E652" s="20" t="s">
        <v>122</v>
      </c>
      <c r="F652" s="21" t="s">
        <v>105</v>
      </c>
      <c r="G652" t="s">
        <v>801</v>
      </c>
    </row>
    <row r="653" spans="1:7" x14ac:dyDescent="0.3">
      <c r="A653" s="18" t="s">
        <v>485</v>
      </c>
      <c r="B653" s="19">
        <v>45030</v>
      </c>
      <c r="C653" s="20" t="s">
        <v>163</v>
      </c>
      <c r="D653" s="20" t="s">
        <v>165</v>
      </c>
      <c r="E653" s="20" t="s">
        <v>73</v>
      </c>
      <c r="F653" s="21" t="s">
        <v>89</v>
      </c>
      <c r="G653" t="s">
        <v>801</v>
      </c>
    </row>
    <row r="654" spans="1:7" x14ac:dyDescent="0.3">
      <c r="A654" s="18" t="s">
        <v>485</v>
      </c>
      <c r="B654" s="19">
        <v>45030</v>
      </c>
      <c r="C654" s="20" t="s">
        <v>594</v>
      </c>
      <c r="D654" s="20" t="s">
        <v>482</v>
      </c>
      <c r="E654" s="20" t="s">
        <v>566</v>
      </c>
      <c r="F654" s="21" t="s">
        <v>89</v>
      </c>
      <c r="G654" t="s">
        <v>801</v>
      </c>
    </row>
    <row r="655" spans="1:7" x14ac:dyDescent="0.3">
      <c r="A655" s="18" t="s">
        <v>485</v>
      </c>
      <c r="B655" s="19">
        <v>45030</v>
      </c>
      <c r="C655" s="20" t="s">
        <v>595</v>
      </c>
      <c r="D655" s="20" t="s">
        <v>596</v>
      </c>
      <c r="E655" s="20" t="s">
        <v>122</v>
      </c>
      <c r="F655" s="21" t="s">
        <v>74</v>
      </c>
      <c r="G655" t="s">
        <v>801</v>
      </c>
    </row>
    <row r="656" spans="1:7" x14ac:dyDescent="0.3">
      <c r="A656" s="18" t="s">
        <v>485</v>
      </c>
      <c r="B656" s="19">
        <v>45031</v>
      </c>
      <c r="C656" s="20" t="s">
        <v>597</v>
      </c>
      <c r="D656" s="20" t="s">
        <v>598</v>
      </c>
      <c r="E656" s="20" t="s">
        <v>87</v>
      </c>
      <c r="F656" s="21" t="s">
        <v>74</v>
      </c>
      <c r="G656" t="s">
        <v>803</v>
      </c>
    </row>
    <row r="657" spans="1:7" x14ac:dyDescent="0.3">
      <c r="A657" s="18" t="s">
        <v>485</v>
      </c>
      <c r="B657" s="19">
        <v>45031</v>
      </c>
      <c r="C657" s="20" t="s">
        <v>599</v>
      </c>
      <c r="D657" s="20" t="s">
        <v>262</v>
      </c>
      <c r="E657" s="20" t="s">
        <v>344</v>
      </c>
      <c r="F657" s="21" t="s">
        <v>105</v>
      </c>
      <c r="G657" t="s">
        <v>803</v>
      </c>
    </row>
    <row r="658" spans="1:7" x14ac:dyDescent="0.3">
      <c r="A658" s="18" t="s">
        <v>485</v>
      </c>
      <c r="B658" s="19">
        <v>45031</v>
      </c>
      <c r="C658" s="20" t="s">
        <v>600</v>
      </c>
      <c r="D658" s="20" t="s">
        <v>293</v>
      </c>
      <c r="E658" s="20" t="s">
        <v>221</v>
      </c>
      <c r="F658" s="21" t="s">
        <v>69</v>
      </c>
      <c r="G658" t="s">
        <v>803</v>
      </c>
    </row>
    <row r="659" spans="1:7" x14ac:dyDescent="0.3">
      <c r="A659" s="18" t="s">
        <v>485</v>
      </c>
      <c r="B659" s="19">
        <v>45031</v>
      </c>
      <c r="C659" s="20" t="s">
        <v>601</v>
      </c>
      <c r="D659" s="20" t="s">
        <v>602</v>
      </c>
      <c r="E659" s="20" t="s">
        <v>122</v>
      </c>
      <c r="F659" s="21" t="s">
        <v>74</v>
      </c>
      <c r="G659" t="s">
        <v>803</v>
      </c>
    </row>
    <row r="660" spans="1:7" x14ac:dyDescent="0.3">
      <c r="A660" s="18" t="s">
        <v>485</v>
      </c>
      <c r="B660" s="19">
        <v>45031</v>
      </c>
      <c r="C660" s="20" t="s">
        <v>400</v>
      </c>
      <c r="D660" s="20" t="s">
        <v>603</v>
      </c>
      <c r="E660" s="20" t="s">
        <v>317</v>
      </c>
      <c r="F660" s="21" t="s">
        <v>105</v>
      </c>
      <c r="G660" t="s">
        <v>803</v>
      </c>
    </row>
    <row r="661" spans="1:7" x14ac:dyDescent="0.3">
      <c r="A661" s="18" t="s">
        <v>485</v>
      </c>
      <c r="B661" s="19">
        <v>45032</v>
      </c>
      <c r="C661" s="20" t="s">
        <v>428</v>
      </c>
      <c r="D661" s="20" t="s">
        <v>378</v>
      </c>
      <c r="E661" s="20" t="s">
        <v>122</v>
      </c>
      <c r="F661" s="21" t="s">
        <v>74</v>
      </c>
      <c r="G661" t="s">
        <v>802</v>
      </c>
    </row>
    <row r="662" spans="1:7" x14ac:dyDescent="0.3">
      <c r="A662" s="18" t="s">
        <v>485</v>
      </c>
      <c r="B662" s="19">
        <v>45032</v>
      </c>
      <c r="C662" s="20" t="s">
        <v>153</v>
      </c>
      <c r="D662" s="20" t="s">
        <v>604</v>
      </c>
      <c r="E662" s="20" t="s">
        <v>444</v>
      </c>
      <c r="F662" s="21" t="s">
        <v>105</v>
      </c>
      <c r="G662" t="s">
        <v>802</v>
      </c>
    </row>
    <row r="663" spans="1:7" x14ac:dyDescent="0.3">
      <c r="A663" s="18" t="s">
        <v>485</v>
      </c>
      <c r="B663" s="19">
        <v>45032</v>
      </c>
      <c r="C663" s="20" t="s">
        <v>605</v>
      </c>
      <c r="D663" s="20" t="s">
        <v>606</v>
      </c>
      <c r="E663" s="20" t="s">
        <v>65</v>
      </c>
      <c r="F663" s="21" t="s">
        <v>69</v>
      </c>
      <c r="G663" t="s">
        <v>802</v>
      </c>
    </row>
    <row r="664" spans="1:7" x14ac:dyDescent="0.3">
      <c r="A664" s="18" t="s">
        <v>485</v>
      </c>
      <c r="B664" s="19">
        <v>45032</v>
      </c>
      <c r="C664" s="20" t="s">
        <v>142</v>
      </c>
      <c r="D664" s="20" t="s">
        <v>607</v>
      </c>
      <c r="E664" s="20" t="s">
        <v>303</v>
      </c>
      <c r="F664" s="21" t="s">
        <v>74</v>
      </c>
      <c r="G664" t="s">
        <v>802</v>
      </c>
    </row>
    <row r="665" spans="1:7" x14ac:dyDescent="0.3">
      <c r="A665" s="18" t="s">
        <v>485</v>
      </c>
      <c r="B665" s="19">
        <v>45032</v>
      </c>
      <c r="C665" s="20" t="s">
        <v>608</v>
      </c>
      <c r="D665" s="20" t="s">
        <v>65</v>
      </c>
      <c r="E665" s="20" t="s">
        <v>168</v>
      </c>
      <c r="F665" s="21" t="s">
        <v>105</v>
      </c>
      <c r="G665" t="s">
        <v>802</v>
      </c>
    </row>
    <row r="666" spans="1:7" x14ac:dyDescent="0.3">
      <c r="A666" s="18" t="s">
        <v>485</v>
      </c>
      <c r="B666" s="19">
        <v>45033</v>
      </c>
      <c r="C666" s="20" t="s">
        <v>609</v>
      </c>
      <c r="D666" s="20" t="s">
        <v>68</v>
      </c>
      <c r="E666" s="20" t="s">
        <v>149</v>
      </c>
      <c r="F666" s="21" t="s">
        <v>74</v>
      </c>
      <c r="G666" t="s">
        <v>797</v>
      </c>
    </row>
    <row r="667" spans="1:7" x14ac:dyDescent="0.3">
      <c r="A667" s="18" t="s">
        <v>485</v>
      </c>
      <c r="B667" s="19">
        <v>45033</v>
      </c>
      <c r="C667" s="20" t="s">
        <v>610</v>
      </c>
      <c r="D667" s="20" t="s">
        <v>611</v>
      </c>
      <c r="E667" s="20" t="s">
        <v>76</v>
      </c>
      <c r="F667" s="21" t="s">
        <v>74</v>
      </c>
      <c r="G667" t="s">
        <v>797</v>
      </c>
    </row>
    <row r="668" spans="1:7" x14ac:dyDescent="0.3">
      <c r="A668" s="18" t="s">
        <v>485</v>
      </c>
      <c r="B668" s="19">
        <v>45033</v>
      </c>
      <c r="C668" s="20" t="s">
        <v>393</v>
      </c>
      <c r="D668" s="20" t="s">
        <v>612</v>
      </c>
      <c r="E668" s="20" t="s">
        <v>613</v>
      </c>
      <c r="F668" s="21" t="s">
        <v>253</v>
      </c>
      <c r="G668" t="s">
        <v>797</v>
      </c>
    </row>
    <row r="669" spans="1:7" x14ac:dyDescent="0.3">
      <c r="A669" s="18" t="s">
        <v>485</v>
      </c>
      <c r="B669" s="19">
        <v>45034</v>
      </c>
      <c r="C669" s="20" t="s">
        <v>401</v>
      </c>
      <c r="D669" s="20" t="s">
        <v>614</v>
      </c>
      <c r="E669" s="20" t="s">
        <v>176</v>
      </c>
      <c r="F669" s="21" t="s">
        <v>74</v>
      </c>
      <c r="G669" t="s">
        <v>798</v>
      </c>
    </row>
    <row r="670" spans="1:7" x14ac:dyDescent="0.3">
      <c r="A670" s="18" t="s">
        <v>485</v>
      </c>
      <c r="B670" s="19">
        <v>45034</v>
      </c>
      <c r="C670" s="20" t="s">
        <v>615</v>
      </c>
      <c r="D670" s="20" t="s">
        <v>333</v>
      </c>
      <c r="E670" s="20" t="s">
        <v>113</v>
      </c>
      <c r="F670" s="21" t="s">
        <v>105</v>
      </c>
      <c r="G670" t="s">
        <v>798</v>
      </c>
    </row>
    <row r="671" spans="1:7" x14ac:dyDescent="0.3">
      <c r="A671" s="18" t="s">
        <v>485</v>
      </c>
      <c r="B671" s="19">
        <v>45034</v>
      </c>
      <c r="C671" s="20" t="s">
        <v>616</v>
      </c>
      <c r="D671" s="20" t="s">
        <v>617</v>
      </c>
      <c r="E671" s="20" t="s">
        <v>97</v>
      </c>
      <c r="F671" s="21" t="s">
        <v>69</v>
      </c>
      <c r="G671" t="s">
        <v>798</v>
      </c>
    </row>
    <row r="672" spans="1:7" x14ac:dyDescent="0.3">
      <c r="A672" s="18" t="s">
        <v>485</v>
      </c>
      <c r="B672" s="19">
        <v>45034</v>
      </c>
      <c r="C672" s="20" t="s">
        <v>618</v>
      </c>
      <c r="D672" s="20" t="s">
        <v>619</v>
      </c>
      <c r="E672" s="20" t="s">
        <v>149</v>
      </c>
      <c r="F672" s="21" t="s">
        <v>74</v>
      </c>
      <c r="G672" t="s">
        <v>798</v>
      </c>
    </row>
    <row r="673" spans="1:7" x14ac:dyDescent="0.3">
      <c r="A673" s="18" t="s">
        <v>485</v>
      </c>
      <c r="B673" s="19">
        <v>45034</v>
      </c>
      <c r="C673" s="20" t="s">
        <v>326</v>
      </c>
      <c r="D673" s="20" t="s">
        <v>620</v>
      </c>
      <c r="E673" s="20" t="s">
        <v>425</v>
      </c>
      <c r="F673" s="21" t="s">
        <v>105</v>
      </c>
      <c r="G673" t="s">
        <v>798</v>
      </c>
    </row>
    <row r="674" spans="1:7" x14ac:dyDescent="0.3">
      <c r="A674" s="18" t="s">
        <v>485</v>
      </c>
      <c r="B674" s="19">
        <v>45035</v>
      </c>
      <c r="C674" s="20" t="s">
        <v>349</v>
      </c>
      <c r="D674" s="20" t="s">
        <v>621</v>
      </c>
      <c r="E674" s="20" t="s">
        <v>87</v>
      </c>
      <c r="F674" s="21" t="s">
        <v>74</v>
      </c>
      <c r="G674" t="s">
        <v>799</v>
      </c>
    </row>
    <row r="675" spans="1:7" x14ac:dyDescent="0.3">
      <c r="A675" s="18" t="s">
        <v>485</v>
      </c>
      <c r="B675" s="19">
        <v>45035</v>
      </c>
      <c r="C675" s="20" t="s">
        <v>622</v>
      </c>
      <c r="D675" s="20" t="s">
        <v>489</v>
      </c>
      <c r="E675" s="20" t="s">
        <v>567</v>
      </c>
      <c r="F675" s="21" t="s">
        <v>71</v>
      </c>
      <c r="G675" t="s">
        <v>799</v>
      </c>
    </row>
    <row r="676" spans="1:7" x14ac:dyDescent="0.3">
      <c r="A676" s="18" t="s">
        <v>485</v>
      </c>
      <c r="B676" s="19">
        <v>45035</v>
      </c>
      <c r="C676" s="20" t="s">
        <v>623</v>
      </c>
      <c r="D676" s="20" t="s">
        <v>145</v>
      </c>
      <c r="E676" s="20" t="s">
        <v>624</v>
      </c>
      <c r="F676" s="21" t="s">
        <v>253</v>
      </c>
      <c r="G676" t="s">
        <v>799</v>
      </c>
    </row>
    <row r="677" spans="1:7" x14ac:dyDescent="0.3">
      <c r="A677" s="18" t="s">
        <v>485</v>
      </c>
      <c r="B677" s="19">
        <v>45035</v>
      </c>
      <c r="C677" s="20" t="s">
        <v>251</v>
      </c>
      <c r="D677" s="20" t="s">
        <v>145</v>
      </c>
      <c r="E677" s="20" t="s">
        <v>625</v>
      </c>
      <c r="F677" s="21" t="s">
        <v>253</v>
      </c>
      <c r="G677" t="s">
        <v>799</v>
      </c>
    </row>
    <row r="678" spans="1:7" x14ac:dyDescent="0.3">
      <c r="A678" s="18" t="s">
        <v>485</v>
      </c>
      <c r="B678" s="19">
        <v>45036</v>
      </c>
      <c r="C678" s="20" t="s">
        <v>626</v>
      </c>
      <c r="D678" s="20" t="s">
        <v>366</v>
      </c>
      <c r="E678" s="20" t="s">
        <v>113</v>
      </c>
      <c r="F678" s="21" t="s">
        <v>627</v>
      </c>
      <c r="G678" t="s">
        <v>800</v>
      </c>
    </row>
    <row r="679" spans="1:7" x14ac:dyDescent="0.3">
      <c r="A679" s="18" t="s">
        <v>485</v>
      </c>
      <c r="B679" s="19">
        <v>45036</v>
      </c>
      <c r="C679" s="20" t="s">
        <v>628</v>
      </c>
      <c r="D679" s="20" t="s">
        <v>379</v>
      </c>
      <c r="E679" s="20" t="s">
        <v>76</v>
      </c>
      <c r="F679" s="21" t="s">
        <v>523</v>
      </c>
      <c r="G679" t="s">
        <v>800</v>
      </c>
    </row>
    <row r="680" spans="1:7" x14ac:dyDescent="0.3">
      <c r="A680" s="18" t="s">
        <v>485</v>
      </c>
      <c r="B680" s="19">
        <v>45036</v>
      </c>
      <c r="C680" s="20" t="s">
        <v>629</v>
      </c>
      <c r="D680" s="20" t="s">
        <v>630</v>
      </c>
      <c r="E680" s="20" t="s">
        <v>317</v>
      </c>
      <c r="F680" s="21" t="s">
        <v>105</v>
      </c>
      <c r="G680" t="s">
        <v>800</v>
      </c>
    </row>
    <row r="681" spans="1:7" x14ac:dyDescent="0.3">
      <c r="A681" s="18" t="s">
        <v>485</v>
      </c>
      <c r="B681" s="19">
        <v>45036</v>
      </c>
      <c r="C681" s="20" t="s">
        <v>631</v>
      </c>
      <c r="D681" s="20" t="s">
        <v>365</v>
      </c>
      <c r="E681" s="20" t="s">
        <v>632</v>
      </c>
      <c r="F681" s="21" t="s">
        <v>253</v>
      </c>
      <c r="G681" t="s">
        <v>800</v>
      </c>
    </row>
    <row r="682" spans="1:7" x14ac:dyDescent="0.3">
      <c r="A682" s="18" t="s">
        <v>485</v>
      </c>
      <c r="B682" s="19">
        <v>45036</v>
      </c>
      <c r="C682" s="20" t="s">
        <v>251</v>
      </c>
      <c r="D682" s="20" t="s">
        <v>365</v>
      </c>
      <c r="E682" s="20" t="s">
        <v>633</v>
      </c>
      <c r="F682" s="21" t="s">
        <v>253</v>
      </c>
      <c r="G682" t="s">
        <v>800</v>
      </c>
    </row>
    <row r="683" spans="1:7" x14ac:dyDescent="0.3">
      <c r="A683" s="18" t="s">
        <v>485</v>
      </c>
      <c r="B683" s="19">
        <v>45037</v>
      </c>
      <c r="C683" s="20" t="s">
        <v>634</v>
      </c>
      <c r="D683" s="20" t="s">
        <v>635</v>
      </c>
      <c r="E683" s="20" t="s">
        <v>73</v>
      </c>
      <c r="F683" s="21" t="s">
        <v>74</v>
      </c>
      <c r="G683" t="s">
        <v>801</v>
      </c>
    </row>
    <row r="684" spans="1:7" x14ac:dyDescent="0.3">
      <c r="A684" s="18" t="s">
        <v>485</v>
      </c>
      <c r="B684" s="19">
        <v>45037</v>
      </c>
      <c r="C684" s="20" t="s">
        <v>419</v>
      </c>
      <c r="D684" s="20" t="s">
        <v>636</v>
      </c>
      <c r="E684" s="20" t="s">
        <v>264</v>
      </c>
      <c r="F684" s="21" t="s">
        <v>105</v>
      </c>
      <c r="G684" t="s">
        <v>801</v>
      </c>
    </row>
    <row r="685" spans="1:7" x14ac:dyDescent="0.3">
      <c r="A685" s="18" t="s">
        <v>485</v>
      </c>
      <c r="B685" s="19">
        <v>45037</v>
      </c>
      <c r="C685" s="20" t="s">
        <v>637</v>
      </c>
      <c r="D685" s="20" t="s">
        <v>638</v>
      </c>
      <c r="E685" s="20" t="s">
        <v>355</v>
      </c>
      <c r="F685" s="21" t="s">
        <v>74</v>
      </c>
      <c r="G685" t="s">
        <v>801</v>
      </c>
    </row>
    <row r="686" spans="1:7" x14ac:dyDescent="0.3">
      <c r="A686" s="18" t="s">
        <v>485</v>
      </c>
      <c r="B686" s="19">
        <v>45037</v>
      </c>
      <c r="C686" s="20" t="s">
        <v>384</v>
      </c>
      <c r="D686" s="20" t="s">
        <v>511</v>
      </c>
      <c r="E686" s="20" t="s">
        <v>65</v>
      </c>
      <c r="F686" s="21" t="s">
        <v>69</v>
      </c>
      <c r="G686" t="s">
        <v>801</v>
      </c>
    </row>
    <row r="687" spans="1:7" x14ac:dyDescent="0.3">
      <c r="A687" s="18" t="s">
        <v>485</v>
      </c>
      <c r="B687" s="19">
        <v>45037</v>
      </c>
      <c r="C687" s="20" t="s">
        <v>197</v>
      </c>
      <c r="D687" s="20" t="s">
        <v>639</v>
      </c>
      <c r="E687" s="20" t="s">
        <v>317</v>
      </c>
      <c r="F687" s="21" t="s">
        <v>105</v>
      </c>
      <c r="G687" t="s">
        <v>801</v>
      </c>
    </row>
    <row r="688" spans="1:7" x14ac:dyDescent="0.3">
      <c r="A688" s="18" t="s">
        <v>485</v>
      </c>
      <c r="B688" s="19">
        <v>45037</v>
      </c>
      <c r="C688" s="20" t="s">
        <v>640</v>
      </c>
      <c r="D688" s="20" t="s">
        <v>344</v>
      </c>
      <c r="E688" s="20" t="s">
        <v>76</v>
      </c>
      <c r="F688" s="21" t="s">
        <v>74</v>
      </c>
      <c r="G688" t="s">
        <v>801</v>
      </c>
    </row>
    <row r="689" spans="1:7" x14ac:dyDescent="0.3">
      <c r="A689" s="18" t="s">
        <v>485</v>
      </c>
      <c r="B689" s="19">
        <v>45038</v>
      </c>
      <c r="C689" s="20" t="s">
        <v>641</v>
      </c>
      <c r="D689" s="20" t="s">
        <v>642</v>
      </c>
      <c r="E689" s="20" t="s">
        <v>65</v>
      </c>
      <c r="F689" s="21" t="s">
        <v>69</v>
      </c>
      <c r="G689" t="s">
        <v>803</v>
      </c>
    </row>
    <row r="690" spans="1:7" x14ac:dyDescent="0.3">
      <c r="A690" s="18" t="s">
        <v>485</v>
      </c>
      <c r="B690" s="19">
        <v>45038</v>
      </c>
      <c r="C690" s="20" t="s">
        <v>601</v>
      </c>
      <c r="D690" s="20" t="s">
        <v>643</v>
      </c>
      <c r="E690" s="20" t="s">
        <v>151</v>
      </c>
      <c r="F690" s="21" t="s">
        <v>74</v>
      </c>
      <c r="G690" t="s">
        <v>803</v>
      </c>
    </row>
    <row r="691" spans="1:7" x14ac:dyDescent="0.3">
      <c r="A691" s="18" t="s">
        <v>485</v>
      </c>
      <c r="B691" s="19">
        <v>45038</v>
      </c>
      <c r="C691" s="20" t="s">
        <v>200</v>
      </c>
      <c r="D691" s="20" t="s">
        <v>644</v>
      </c>
      <c r="E691" s="20" t="s">
        <v>65</v>
      </c>
      <c r="F691" s="21" t="s">
        <v>69</v>
      </c>
      <c r="G691" t="s">
        <v>803</v>
      </c>
    </row>
    <row r="692" spans="1:7" x14ac:dyDescent="0.3">
      <c r="A692" s="18" t="s">
        <v>485</v>
      </c>
      <c r="B692" s="19">
        <v>45038</v>
      </c>
      <c r="C692" s="20" t="s">
        <v>644</v>
      </c>
      <c r="D692" s="20" t="s">
        <v>639</v>
      </c>
      <c r="E692" s="20" t="s">
        <v>65</v>
      </c>
      <c r="F692" s="21" t="s">
        <v>71</v>
      </c>
      <c r="G692" t="s">
        <v>803</v>
      </c>
    </row>
    <row r="693" spans="1:7" x14ac:dyDescent="0.3">
      <c r="A693" s="18" t="s">
        <v>485</v>
      </c>
      <c r="B693" s="19">
        <v>45038</v>
      </c>
      <c r="C693" s="20" t="s">
        <v>639</v>
      </c>
      <c r="D693" s="20" t="s">
        <v>101</v>
      </c>
      <c r="E693" s="20" t="s">
        <v>140</v>
      </c>
      <c r="F693" s="21" t="s">
        <v>74</v>
      </c>
      <c r="G693" t="s">
        <v>803</v>
      </c>
    </row>
    <row r="694" spans="1:7" x14ac:dyDescent="0.3">
      <c r="A694" s="18" t="s">
        <v>485</v>
      </c>
      <c r="B694" s="19">
        <v>45038</v>
      </c>
      <c r="C694" s="20" t="s">
        <v>101</v>
      </c>
      <c r="D694" s="20" t="s">
        <v>180</v>
      </c>
      <c r="E694" s="20" t="s">
        <v>87</v>
      </c>
      <c r="F694" s="21" t="s">
        <v>248</v>
      </c>
      <c r="G694" t="s">
        <v>803</v>
      </c>
    </row>
    <row r="695" spans="1:7" x14ac:dyDescent="0.3">
      <c r="A695" s="18" t="s">
        <v>485</v>
      </c>
      <c r="B695" s="19">
        <v>45039</v>
      </c>
      <c r="C695" s="20" t="s">
        <v>495</v>
      </c>
      <c r="D695" s="20" t="s">
        <v>645</v>
      </c>
      <c r="E695" s="20" t="s">
        <v>228</v>
      </c>
      <c r="F695" s="21" t="s">
        <v>74</v>
      </c>
      <c r="G695" t="s">
        <v>802</v>
      </c>
    </row>
    <row r="696" spans="1:7" x14ac:dyDescent="0.3">
      <c r="A696" s="18" t="s">
        <v>485</v>
      </c>
      <c r="B696" s="19">
        <v>45039</v>
      </c>
      <c r="C696" s="20" t="s">
        <v>646</v>
      </c>
      <c r="D696" s="20" t="s">
        <v>474</v>
      </c>
      <c r="E696" s="20" t="s">
        <v>425</v>
      </c>
      <c r="F696" s="21" t="s">
        <v>105</v>
      </c>
      <c r="G696" t="s">
        <v>802</v>
      </c>
    </row>
    <row r="697" spans="1:7" x14ac:dyDescent="0.3">
      <c r="A697" s="18" t="s">
        <v>485</v>
      </c>
      <c r="B697" s="19">
        <v>45039</v>
      </c>
      <c r="C697" s="20" t="s">
        <v>356</v>
      </c>
      <c r="D697" s="20" t="s">
        <v>647</v>
      </c>
      <c r="E697" s="20" t="s">
        <v>292</v>
      </c>
      <c r="F697" s="21" t="s">
        <v>74</v>
      </c>
      <c r="G697" t="s">
        <v>802</v>
      </c>
    </row>
    <row r="698" spans="1:7" x14ac:dyDescent="0.3">
      <c r="A698" s="18" t="s">
        <v>485</v>
      </c>
      <c r="B698" s="19">
        <v>45039</v>
      </c>
      <c r="C698" s="20" t="s">
        <v>512</v>
      </c>
      <c r="D698" s="20" t="s">
        <v>648</v>
      </c>
      <c r="E698" s="20" t="s">
        <v>129</v>
      </c>
      <c r="F698" s="21" t="s">
        <v>105</v>
      </c>
      <c r="G698" t="s">
        <v>802</v>
      </c>
    </row>
    <row r="699" spans="1:7" x14ac:dyDescent="0.3">
      <c r="A699" s="18" t="s">
        <v>485</v>
      </c>
      <c r="B699" s="19">
        <v>45040</v>
      </c>
      <c r="C699" s="20" t="s">
        <v>649</v>
      </c>
      <c r="D699" s="20" t="s">
        <v>90</v>
      </c>
      <c r="E699" s="20" t="s">
        <v>151</v>
      </c>
      <c r="F699" s="21" t="s">
        <v>74</v>
      </c>
      <c r="G699" t="s">
        <v>797</v>
      </c>
    </row>
    <row r="700" spans="1:7" x14ac:dyDescent="0.3">
      <c r="A700" s="18" t="s">
        <v>485</v>
      </c>
      <c r="B700" s="19">
        <v>45040</v>
      </c>
      <c r="C700" s="20" t="s">
        <v>650</v>
      </c>
      <c r="D700" s="20" t="s">
        <v>651</v>
      </c>
      <c r="E700" s="20" t="s">
        <v>546</v>
      </c>
      <c r="F700" s="21" t="s">
        <v>74</v>
      </c>
      <c r="G700" t="s">
        <v>797</v>
      </c>
    </row>
    <row r="701" spans="1:7" x14ac:dyDescent="0.3">
      <c r="A701" s="18" t="s">
        <v>485</v>
      </c>
      <c r="B701" s="19">
        <v>45040</v>
      </c>
      <c r="C701" s="20" t="s">
        <v>652</v>
      </c>
      <c r="D701" s="20" t="s">
        <v>653</v>
      </c>
      <c r="E701" s="20" t="s">
        <v>151</v>
      </c>
      <c r="F701" s="21" t="s">
        <v>74</v>
      </c>
      <c r="G701" t="s">
        <v>797</v>
      </c>
    </row>
    <row r="702" spans="1:7" x14ac:dyDescent="0.3">
      <c r="A702" s="18" t="s">
        <v>485</v>
      </c>
      <c r="B702" s="19">
        <v>45040</v>
      </c>
      <c r="C702" s="20" t="s">
        <v>545</v>
      </c>
      <c r="D702" s="20" t="s">
        <v>654</v>
      </c>
      <c r="E702" s="20" t="s">
        <v>442</v>
      </c>
      <c r="F702" s="21" t="s">
        <v>105</v>
      </c>
      <c r="G702" t="s">
        <v>797</v>
      </c>
    </row>
    <row r="703" spans="1:7" x14ac:dyDescent="0.3">
      <c r="A703" s="18" t="s">
        <v>485</v>
      </c>
      <c r="B703" s="19">
        <v>45041</v>
      </c>
      <c r="C703" s="20" t="s">
        <v>209</v>
      </c>
      <c r="D703" s="20" t="s">
        <v>655</v>
      </c>
      <c r="E703" s="20" t="s">
        <v>452</v>
      </c>
      <c r="F703" s="21" t="s">
        <v>74</v>
      </c>
      <c r="G703" t="s">
        <v>798</v>
      </c>
    </row>
    <row r="704" spans="1:7" x14ac:dyDescent="0.3">
      <c r="A704" s="18" t="s">
        <v>485</v>
      </c>
      <c r="B704" s="19">
        <v>45041</v>
      </c>
      <c r="C704" s="20" t="s">
        <v>656</v>
      </c>
      <c r="D704" s="20" t="s">
        <v>657</v>
      </c>
      <c r="E704" s="20" t="s">
        <v>97</v>
      </c>
      <c r="F704" s="21" t="s">
        <v>69</v>
      </c>
      <c r="G704" t="s">
        <v>798</v>
      </c>
    </row>
    <row r="705" spans="1:7" x14ac:dyDescent="0.3">
      <c r="A705" s="18" t="s">
        <v>485</v>
      </c>
      <c r="B705" s="19">
        <v>45041</v>
      </c>
      <c r="C705" s="20" t="s">
        <v>657</v>
      </c>
      <c r="D705" s="20" t="s">
        <v>658</v>
      </c>
      <c r="E705" s="20" t="s">
        <v>97</v>
      </c>
      <c r="F705" s="21" t="s">
        <v>71</v>
      </c>
      <c r="G705" t="s">
        <v>798</v>
      </c>
    </row>
    <row r="706" spans="1:7" x14ac:dyDescent="0.3">
      <c r="A706" s="18" t="s">
        <v>485</v>
      </c>
      <c r="B706" s="19">
        <v>45041</v>
      </c>
      <c r="C706" s="20" t="s">
        <v>658</v>
      </c>
      <c r="D706" s="20" t="s">
        <v>245</v>
      </c>
      <c r="E706" s="20" t="s">
        <v>491</v>
      </c>
      <c r="F706" s="21" t="s">
        <v>105</v>
      </c>
      <c r="G706" t="s">
        <v>798</v>
      </c>
    </row>
    <row r="707" spans="1:7" x14ac:dyDescent="0.3">
      <c r="A707" s="18" t="s">
        <v>485</v>
      </c>
      <c r="B707" s="19">
        <v>45041</v>
      </c>
      <c r="C707" s="20" t="s">
        <v>245</v>
      </c>
      <c r="D707" s="20" t="s">
        <v>341</v>
      </c>
      <c r="E707" s="20" t="s">
        <v>140</v>
      </c>
      <c r="F707" s="21" t="s">
        <v>89</v>
      </c>
      <c r="G707" t="s">
        <v>798</v>
      </c>
    </row>
    <row r="708" spans="1:7" x14ac:dyDescent="0.3">
      <c r="A708" s="18" t="s">
        <v>485</v>
      </c>
      <c r="B708" s="19">
        <v>45041</v>
      </c>
      <c r="C708" s="20" t="s">
        <v>458</v>
      </c>
      <c r="D708" s="20" t="s">
        <v>394</v>
      </c>
      <c r="E708" s="20" t="s">
        <v>149</v>
      </c>
      <c r="F708" s="21" t="s">
        <v>74</v>
      </c>
      <c r="G708" t="s">
        <v>798</v>
      </c>
    </row>
    <row r="709" spans="1:7" x14ac:dyDescent="0.3">
      <c r="A709" s="18" t="s">
        <v>485</v>
      </c>
      <c r="B709" s="19">
        <v>45041</v>
      </c>
      <c r="C709" s="20" t="s">
        <v>659</v>
      </c>
      <c r="D709" s="20" t="s">
        <v>660</v>
      </c>
      <c r="E709" s="20" t="s">
        <v>73</v>
      </c>
      <c r="F709" s="21" t="s">
        <v>150</v>
      </c>
      <c r="G709" t="s">
        <v>798</v>
      </c>
    </row>
    <row r="710" spans="1:7" x14ac:dyDescent="0.3">
      <c r="A710" s="18" t="s">
        <v>485</v>
      </c>
      <c r="B710" s="19">
        <v>45041</v>
      </c>
      <c r="C710" s="20" t="s">
        <v>328</v>
      </c>
      <c r="D710" s="20" t="s">
        <v>575</v>
      </c>
      <c r="E710" s="20" t="s">
        <v>156</v>
      </c>
      <c r="F710" s="21" t="s">
        <v>661</v>
      </c>
      <c r="G710" t="s">
        <v>798</v>
      </c>
    </row>
    <row r="711" spans="1:7" x14ac:dyDescent="0.3">
      <c r="A711" s="18" t="s">
        <v>485</v>
      </c>
      <c r="B711" s="19">
        <v>45042</v>
      </c>
      <c r="C711" s="20" t="s">
        <v>662</v>
      </c>
      <c r="D711" s="20" t="s">
        <v>580</v>
      </c>
      <c r="E711" s="20" t="s">
        <v>355</v>
      </c>
      <c r="F711" s="21" t="s">
        <v>74</v>
      </c>
      <c r="G711" t="s">
        <v>799</v>
      </c>
    </row>
    <row r="712" spans="1:7" x14ac:dyDescent="0.3">
      <c r="A712" s="18" t="s">
        <v>485</v>
      </c>
      <c r="B712" s="19">
        <v>45042</v>
      </c>
      <c r="C712" s="20" t="s">
        <v>663</v>
      </c>
      <c r="D712" s="20" t="s">
        <v>261</v>
      </c>
      <c r="E712" s="20" t="s">
        <v>451</v>
      </c>
      <c r="F712" s="21" t="s">
        <v>105</v>
      </c>
      <c r="G712" t="s">
        <v>799</v>
      </c>
    </row>
    <row r="713" spans="1:7" x14ac:dyDescent="0.3">
      <c r="A713" s="18" t="s">
        <v>485</v>
      </c>
      <c r="B713" s="19">
        <v>45042</v>
      </c>
      <c r="C713" s="20" t="s">
        <v>261</v>
      </c>
      <c r="D713" s="20" t="s">
        <v>340</v>
      </c>
      <c r="E713" s="20" t="s">
        <v>664</v>
      </c>
      <c r="F713" s="21" t="s">
        <v>89</v>
      </c>
      <c r="G713" t="s">
        <v>799</v>
      </c>
    </row>
    <row r="714" spans="1:7" x14ac:dyDescent="0.3">
      <c r="A714" s="18" t="s">
        <v>485</v>
      </c>
      <c r="B714" s="19">
        <v>45042</v>
      </c>
      <c r="C714" s="20" t="s">
        <v>665</v>
      </c>
      <c r="D714" s="20" t="s">
        <v>666</v>
      </c>
      <c r="E714" s="20" t="s">
        <v>355</v>
      </c>
      <c r="F714" s="21" t="s">
        <v>74</v>
      </c>
      <c r="G714" t="s">
        <v>799</v>
      </c>
    </row>
    <row r="715" spans="1:7" x14ac:dyDescent="0.3">
      <c r="A715" s="18" t="s">
        <v>485</v>
      </c>
      <c r="B715" s="19">
        <v>45042</v>
      </c>
      <c r="C715" s="20" t="s">
        <v>587</v>
      </c>
      <c r="D715" s="20" t="s">
        <v>251</v>
      </c>
      <c r="E715" s="20" t="s">
        <v>588</v>
      </c>
      <c r="F715" s="21" t="s">
        <v>253</v>
      </c>
      <c r="G715" t="s">
        <v>799</v>
      </c>
    </row>
    <row r="716" spans="1:7" x14ac:dyDescent="0.3">
      <c r="A716" s="18" t="s">
        <v>485</v>
      </c>
      <c r="B716" s="19">
        <v>45042</v>
      </c>
      <c r="C716" s="20" t="s">
        <v>250</v>
      </c>
      <c r="D716" s="20" t="s">
        <v>284</v>
      </c>
      <c r="E716" s="20" t="s">
        <v>667</v>
      </c>
      <c r="F716" s="21" t="s">
        <v>253</v>
      </c>
      <c r="G716" t="s">
        <v>799</v>
      </c>
    </row>
    <row r="717" spans="1:7" x14ac:dyDescent="0.3">
      <c r="A717" s="18" t="s">
        <v>485</v>
      </c>
      <c r="B717" s="19">
        <v>45043</v>
      </c>
      <c r="C717" s="20" t="s">
        <v>668</v>
      </c>
      <c r="D717" s="20" t="s">
        <v>462</v>
      </c>
      <c r="E717" s="20" t="s">
        <v>546</v>
      </c>
      <c r="F717" s="21" t="s">
        <v>74</v>
      </c>
      <c r="G717" t="s">
        <v>800</v>
      </c>
    </row>
    <row r="718" spans="1:7" x14ac:dyDescent="0.3">
      <c r="A718" s="18" t="s">
        <v>485</v>
      </c>
      <c r="B718" s="19">
        <v>45043</v>
      </c>
      <c r="C718" s="20" t="s">
        <v>587</v>
      </c>
      <c r="D718" s="20" t="s">
        <v>251</v>
      </c>
      <c r="E718" s="20" t="s">
        <v>588</v>
      </c>
      <c r="F718" s="21" t="s">
        <v>253</v>
      </c>
      <c r="G718" t="s">
        <v>800</v>
      </c>
    </row>
    <row r="719" spans="1:7" x14ac:dyDescent="0.3">
      <c r="A719" s="18" t="s">
        <v>485</v>
      </c>
      <c r="B719" s="19">
        <v>45043</v>
      </c>
      <c r="C719" s="20" t="s">
        <v>669</v>
      </c>
      <c r="D719" s="20" t="s">
        <v>670</v>
      </c>
      <c r="E719" s="20" t="s">
        <v>667</v>
      </c>
      <c r="F719" s="21" t="s">
        <v>253</v>
      </c>
      <c r="G719" t="s">
        <v>800</v>
      </c>
    </row>
    <row r="720" spans="1:7" x14ac:dyDescent="0.3">
      <c r="A720" s="18" t="s">
        <v>485</v>
      </c>
      <c r="B720" s="19">
        <v>45044</v>
      </c>
      <c r="C720" s="20" t="s">
        <v>671</v>
      </c>
      <c r="D720" s="20" t="s">
        <v>672</v>
      </c>
      <c r="E720" s="20" t="s">
        <v>442</v>
      </c>
      <c r="F720" s="21" t="s">
        <v>105</v>
      </c>
      <c r="G720" t="s">
        <v>801</v>
      </c>
    </row>
    <row r="721" spans="1:7" x14ac:dyDescent="0.3">
      <c r="A721" s="18" t="s">
        <v>485</v>
      </c>
      <c r="B721" s="19">
        <v>45044</v>
      </c>
      <c r="C721" s="20" t="s">
        <v>673</v>
      </c>
      <c r="D721" s="20" t="s">
        <v>674</v>
      </c>
      <c r="E721" s="20" t="s">
        <v>133</v>
      </c>
      <c r="F721" s="21" t="s">
        <v>74</v>
      </c>
      <c r="G721" t="s">
        <v>801</v>
      </c>
    </row>
    <row r="722" spans="1:7" x14ac:dyDescent="0.3">
      <c r="A722" s="18" t="s">
        <v>485</v>
      </c>
      <c r="B722" s="19">
        <v>45044</v>
      </c>
      <c r="C722" s="20" t="s">
        <v>237</v>
      </c>
      <c r="D722" s="20" t="s">
        <v>238</v>
      </c>
      <c r="E722" s="20" t="s">
        <v>65</v>
      </c>
      <c r="F722" s="21" t="s">
        <v>69</v>
      </c>
      <c r="G722" t="s">
        <v>801</v>
      </c>
    </row>
    <row r="723" spans="1:7" x14ac:dyDescent="0.3">
      <c r="A723" s="18" t="s">
        <v>485</v>
      </c>
      <c r="B723" s="19">
        <v>45044</v>
      </c>
      <c r="C723" s="20" t="s">
        <v>675</v>
      </c>
      <c r="D723" s="20" t="s">
        <v>620</v>
      </c>
      <c r="E723" s="20" t="s">
        <v>113</v>
      </c>
      <c r="F723" s="21" t="s">
        <v>105</v>
      </c>
      <c r="G723" t="s">
        <v>801</v>
      </c>
    </row>
    <row r="724" spans="1:7" x14ac:dyDescent="0.3">
      <c r="A724" s="18" t="s">
        <v>485</v>
      </c>
      <c r="B724" s="19">
        <v>45045</v>
      </c>
      <c r="C724" s="20" t="s">
        <v>568</v>
      </c>
      <c r="D724" s="20" t="s">
        <v>68</v>
      </c>
      <c r="E724" s="20" t="s">
        <v>176</v>
      </c>
      <c r="F724" s="21" t="s">
        <v>74</v>
      </c>
      <c r="G724" t="s">
        <v>803</v>
      </c>
    </row>
    <row r="725" spans="1:7" x14ac:dyDescent="0.3">
      <c r="A725" s="18" t="s">
        <v>485</v>
      </c>
      <c r="B725" s="19">
        <v>45045</v>
      </c>
      <c r="C725" s="20" t="s">
        <v>650</v>
      </c>
      <c r="D725" s="20" t="s">
        <v>651</v>
      </c>
      <c r="E725" s="20" t="s">
        <v>546</v>
      </c>
      <c r="F725" s="21" t="s">
        <v>105</v>
      </c>
      <c r="G725" t="s">
        <v>803</v>
      </c>
    </row>
    <row r="726" spans="1:7" x14ac:dyDescent="0.3">
      <c r="A726" s="18" t="s">
        <v>485</v>
      </c>
      <c r="B726" s="19">
        <v>45045</v>
      </c>
      <c r="C726" s="20" t="s">
        <v>283</v>
      </c>
      <c r="D726" s="20" t="s">
        <v>676</v>
      </c>
      <c r="E726" s="20" t="s">
        <v>122</v>
      </c>
      <c r="F726" s="21" t="s">
        <v>74</v>
      </c>
      <c r="G726" t="s">
        <v>803</v>
      </c>
    </row>
    <row r="727" spans="1:7" x14ac:dyDescent="0.3">
      <c r="A727" s="18" t="s">
        <v>485</v>
      </c>
      <c r="B727" s="19">
        <v>45045</v>
      </c>
      <c r="C727" s="20" t="s">
        <v>236</v>
      </c>
      <c r="D727" s="20" t="s">
        <v>677</v>
      </c>
      <c r="E727" s="20" t="s">
        <v>264</v>
      </c>
      <c r="F727" s="21" t="s">
        <v>105</v>
      </c>
      <c r="G727" t="s">
        <v>803</v>
      </c>
    </row>
    <row r="728" spans="1:7" x14ac:dyDescent="0.3">
      <c r="A728" s="18" t="s">
        <v>485</v>
      </c>
      <c r="B728" s="19">
        <v>45046</v>
      </c>
      <c r="C728" s="20" t="s">
        <v>580</v>
      </c>
      <c r="D728" s="20" t="s">
        <v>678</v>
      </c>
      <c r="E728" s="20" t="s">
        <v>87</v>
      </c>
      <c r="F728" s="21" t="s">
        <v>74</v>
      </c>
      <c r="G728" t="s">
        <v>802</v>
      </c>
    </row>
    <row r="729" spans="1:7" x14ac:dyDescent="0.3">
      <c r="A729" s="18" t="s">
        <v>485</v>
      </c>
      <c r="B729" s="19">
        <v>45046</v>
      </c>
      <c r="C729" s="20" t="s">
        <v>465</v>
      </c>
      <c r="D729" s="20" t="s">
        <v>433</v>
      </c>
      <c r="E729" s="20" t="s">
        <v>451</v>
      </c>
      <c r="F729" s="21" t="s">
        <v>105</v>
      </c>
      <c r="G729" t="s">
        <v>802</v>
      </c>
    </row>
    <row r="730" spans="1:7" x14ac:dyDescent="0.3">
      <c r="A730" s="18" t="s">
        <v>485</v>
      </c>
      <c r="B730" s="19">
        <v>45046</v>
      </c>
      <c r="C730" s="20" t="s">
        <v>679</v>
      </c>
      <c r="D730" s="20" t="s">
        <v>680</v>
      </c>
      <c r="E730" s="20" t="s">
        <v>76</v>
      </c>
      <c r="F730" s="21" t="s">
        <v>74</v>
      </c>
      <c r="G730" t="s">
        <v>802</v>
      </c>
    </row>
    <row r="731" spans="1:7" x14ac:dyDescent="0.3">
      <c r="A731" s="18" t="s">
        <v>485</v>
      </c>
      <c r="B731" s="19">
        <v>45046</v>
      </c>
      <c r="C731" s="20" t="s">
        <v>681</v>
      </c>
      <c r="D731" s="20" t="s">
        <v>110</v>
      </c>
      <c r="E731" s="20" t="s">
        <v>425</v>
      </c>
      <c r="F731" s="21" t="s">
        <v>105</v>
      </c>
      <c r="G731" t="s">
        <v>802</v>
      </c>
    </row>
    <row r="732" spans="1:7" x14ac:dyDescent="0.3">
      <c r="A732" s="18" t="s">
        <v>485</v>
      </c>
      <c r="B732" s="19">
        <v>45046</v>
      </c>
      <c r="C732" s="20" t="s">
        <v>179</v>
      </c>
      <c r="D732" s="20" t="s">
        <v>682</v>
      </c>
      <c r="E732" s="20" t="s">
        <v>503</v>
      </c>
      <c r="F732" s="21" t="s">
        <v>105</v>
      </c>
      <c r="G732" t="s">
        <v>802</v>
      </c>
    </row>
    <row r="733" spans="1:7" x14ac:dyDescent="0.3">
      <c r="A733" s="18" t="s">
        <v>56</v>
      </c>
      <c r="B733" s="19">
        <v>45017</v>
      </c>
      <c r="C733" s="20">
        <v>0.16666666666666699</v>
      </c>
      <c r="D733" s="20">
        <v>0.179861111111111</v>
      </c>
      <c r="E733" s="20">
        <v>1.31944444444445E-2</v>
      </c>
      <c r="F733" s="21" t="s">
        <v>52</v>
      </c>
      <c r="G733" t="s">
        <v>803</v>
      </c>
    </row>
    <row r="734" spans="1:7" x14ac:dyDescent="0.3">
      <c r="A734" s="18" t="s">
        <v>56</v>
      </c>
      <c r="B734" s="19">
        <v>45017</v>
      </c>
      <c r="C734" s="20">
        <v>0.36944444444444402</v>
      </c>
      <c r="D734" s="20">
        <v>0.49097222222222198</v>
      </c>
      <c r="E734" s="20">
        <v>0.121527777777778</v>
      </c>
      <c r="F734" s="21" t="s">
        <v>35</v>
      </c>
      <c r="G734" t="s">
        <v>803</v>
      </c>
    </row>
    <row r="735" spans="1:7" x14ac:dyDescent="0.3">
      <c r="A735" s="18" t="s">
        <v>56</v>
      </c>
      <c r="B735" s="19">
        <v>45017</v>
      </c>
      <c r="C735" s="20">
        <v>0.66597222222222197</v>
      </c>
      <c r="D735" s="20">
        <v>0.73194444444444395</v>
      </c>
      <c r="E735" s="20">
        <v>6.5972222222222196E-2</v>
      </c>
      <c r="F735" s="21" t="s">
        <v>35</v>
      </c>
      <c r="G735" t="s">
        <v>803</v>
      </c>
    </row>
    <row r="736" spans="1:7" x14ac:dyDescent="0.3">
      <c r="A736" s="18" t="s">
        <v>56</v>
      </c>
      <c r="B736" s="19">
        <v>45017</v>
      </c>
      <c r="C736" s="20">
        <v>0.73194444444444395</v>
      </c>
      <c r="D736" s="20">
        <v>0.73750000000000004</v>
      </c>
      <c r="E736" s="20">
        <v>5.5555555555555402E-3</v>
      </c>
      <c r="F736" s="21" t="s">
        <v>52</v>
      </c>
      <c r="G736" t="s">
        <v>803</v>
      </c>
    </row>
    <row r="737" spans="1:7" x14ac:dyDescent="0.3">
      <c r="A737" s="18" t="s">
        <v>56</v>
      </c>
      <c r="B737" s="19">
        <v>45018</v>
      </c>
      <c r="C737" s="20">
        <v>0.21736111111111101</v>
      </c>
      <c r="D737" s="20">
        <v>0.241666666666667</v>
      </c>
      <c r="E737" s="20">
        <v>2.4305555555555601E-2</v>
      </c>
      <c r="F737" s="21" t="s">
        <v>52</v>
      </c>
      <c r="G737" t="s">
        <v>802</v>
      </c>
    </row>
    <row r="738" spans="1:7" x14ac:dyDescent="0.3">
      <c r="A738" s="18" t="s">
        <v>56</v>
      </c>
      <c r="B738" s="19">
        <v>45018</v>
      </c>
      <c r="C738" s="20">
        <v>0.46527777777777801</v>
      </c>
      <c r="D738" s="20">
        <v>0.5625</v>
      </c>
      <c r="E738" s="20">
        <v>9.7222222222222293E-2</v>
      </c>
      <c r="F738" s="21" t="s">
        <v>35</v>
      </c>
      <c r="G738" t="s">
        <v>802</v>
      </c>
    </row>
    <row r="739" spans="1:7" x14ac:dyDescent="0.3">
      <c r="A739" s="18" t="s">
        <v>56</v>
      </c>
      <c r="B739" s="19">
        <v>45018</v>
      </c>
      <c r="C739" s="20">
        <v>0.5625</v>
      </c>
      <c r="D739" s="20">
        <v>0.56458333333333299</v>
      </c>
      <c r="E739" s="20">
        <v>2.0833333333333298E-3</v>
      </c>
      <c r="F739" s="21" t="s">
        <v>35</v>
      </c>
      <c r="G739" t="s">
        <v>802</v>
      </c>
    </row>
    <row r="740" spans="1:7" x14ac:dyDescent="0.3">
      <c r="A740" s="18" t="s">
        <v>56</v>
      </c>
      <c r="B740" s="19">
        <v>45018</v>
      </c>
      <c r="C740" s="20">
        <v>0.57638888888888895</v>
      </c>
      <c r="D740" s="20">
        <v>0.57847222222222205</v>
      </c>
      <c r="E740" s="20">
        <v>2.0833333333332101E-3</v>
      </c>
      <c r="F740" s="21" t="s">
        <v>57</v>
      </c>
      <c r="G740" t="s">
        <v>802</v>
      </c>
    </row>
    <row r="741" spans="1:7" x14ac:dyDescent="0.3">
      <c r="A741" s="18" t="s">
        <v>56</v>
      </c>
      <c r="B741" s="19">
        <v>45018</v>
      </c>
      <c r="C741" s="20">
        <v>0.73819444444444404</v>
      </c>
      <c r="D741" s="20">
        <v>0.74097222222222203</v>
      </c>
      <c r="E741" s="20">
        <v>2.7777777777778798E-3</v>
      </c>
      <c r="F741" s="21" t="s">
        <v>35</v>
      </c>
      <c r="G741" t="s">
        <v>802</v>
      </c>
    </row>
    <row r="742" spans="1:7" x14ac:dyDescent="0.3">
      <c r="A742" s="18" t="s">
        <v>56</v>
      </c>
      <c r="B742" s="19">
        <v>45018</v>
      </c>
      <c r="C742" s="20">
        <v>0.78263888888888899</v>
      </c>
      <c r="D742" s="20">
        <v>0.8125</v>
      </c>
      <c r="E742" s="20">
        <v>2.9861111111111002E-2</v>
      </c>
      <c r="F742" s="21" t="s">
        <v>35</v>
      </c>
      <c r="G742" t="s">
        <v>802</v>
      </c>
    </row>
    <row r="743" spans="1:7" x14ac:dyDescent="0.3">
      <c r="A743" s="18" t="s">
        <v>56</v>
      </c>
      <c r="B743" s="19">
        <v>45018</v>
      </c>
      <c r="C743" s="20">
        <v>0.8125</v>
      </c>
      <c r="D743" s="20">
        <v>0.82083333333333297</v>
      </c>
      <c r="E743" s="20">
        <v>8.3333333333333003E-3</v>
      </c>
      <c r="F743" s="21" t="s">
        <v>35</v>
      </c>
      <c r="G743" t="s">
        <v>802</v>
      </c>
    </row>
    <row r="744" spans="1:7" x14ac:dyDescent="0.3">
      <c r="A744" s="18" t="s">
        <v>56</v>
      </c>
      <c r="B744" s="19">
        <v>45018</v>
      </c>
      <c r="C744" s="20">
        <v>0.82152777777777797</v>
      </c>
      <c r="D744" s="20">
        <v>0.82361111111111096</v>
      </c>
      <c r="E744" s="20">
        <v>2.0833333333333298E-3</v>
      </c>
      <c r="F744" s="21" t="s">
        <v>35</v>
      </c>
      <c r="G744" t="s">
        <v>802</v>
      </c>
    </row>
    <row r="745" spans="1:7" x14ac:dyDescent="0.3">
      <c r="A745" s="18" t="s">
        <v>56</v>
      </c>
      <c r="B745" s="19">
        <v>45018</v>
      </c>
      <c r="C745" s="20">
        <v>0.905555555555556</v>
      </c>
      <c r="D745" s="20">
        <v>0.93402777777777801</v>
      </c>
      <c r="E745" s="20">
        <v>2.8472222222222201E-2</v>
      </c>
      <c r="F745" s="21" t="s">
        <v>52</v>
      </c>
      <c r="G745" t="s">
        <v>802</v>
      </c>
    </row>
    <row r="746" spans="1:7" x14ac:dyDescent="0.3">
      <c r="A746" s="18" t="s">
        <v>56</v>
      </c>
      <c r="B746" s="19">
        <v>45019</v>
      </c>
      <c r="C746" s="20">
        <v>0.15416666666666701</v>
      </c>
      <c r="D746" s="20">
        <v>0.17361111111111099</v>
      </c>
      <c r="E746" s="20">
        <v>1.94444444444445E-2</v>
      </c>
      <c r="F746" s="21" t="s">
        <v>52</v>
      </c>
      <c r="G746" t="s">
        <v>797</v>
      </c>
    </row>
    <row r="747" spans="1:7" x14ac:dyDescent="0.3">
      <c r="A747" s="18" t="s">
        <v>56</v>
      </c>
      <c r="B747" s="19">
        <v>45019</v>
      </c>
      <c r="C747" s="20">
        <v>0.38888888888888901</v>
      </c>
      <c r="D747" s="20">
        <v>0.55347222222222203</v>
      </c>
      <c r="E747" s="20">
        <v>0.164583333333333</v>
      </c>
      <c r="F747" s="21" t="s">
        <v>49</v>
      </c>
      <c r="G747" t="s">
        <v>797</v>
      </c>
    </row>
    <row r="748" spans="1:7" x14ac:dyDescent="0.3">
      <c r="A748" s="18" t="s">
        <v>56</v>
      </c>
      <c r="B748" s="19">
        <v>45019</v>
      </c>
      <c r="C748" s="20">
        <v>0.77777777777777801</v>
      </c>
      <c r="D748" s="20">
        <v>0.79097222222222197</v>
      </c>
      <c r="E748" s="20">
        <v>1.31944444444445E-2</v>
      </c>
      <c r="F748" s="21" t="s">
        <v>52</v>
      </c>
      <c r="G748" t="s">
        <v>797</v>
      </c>
    </row>
    <row r="749" spans="1:7" x14ac:dyDescent="0.3">
      <c r="A749" s="18" t="s">
        <v>56</v>
      </c>
      <c r="B749" s="19">
        <v>45020</v>
      </c>
      <c r="C749" s="20">
        <v>0.83958333333333302</v>
      </c>
      <c r="D749" s="20">
        <v>0.875694444444444</v>
      </c>
      <c r="E749" s="20">
        <v>3.6111111111111198E-2</v>
      </c>
      <c r="F749" s="21" t="s">
        <v>47</v>
      </c>
      <c r="G749" t="s">
        <v>798</v>
      </c>
    </row>
    <row r="750" spans="1:7" x14ac:dyDescent="0.3">
      <c r="A750" s="18" t="s">
        <v>56</v>
      </c>
      <c r="B750" s="19">
        <v>45021</v>
      </c>
      <c r="C750" s="20">
        <v>0.47638888888888897</v>
      </c>
      <c r="D750" s="20">
        <v>0.5625</v>
      </c>
      <c r="E750" s="20">
        <v>8.6111111111111097E-2</v>
      </c>
      <c r="F750" s="21" t="s">
        <v>36</v>
      </c>
      <c r="G750" t="s">
        <v>799</v>
      </c>
    </row>
    <row r="751" spans="1:7" x14ac:dyDescent="0.3">
      <c r="A751" s="18" t="s">
        <v>56</v>
      </c>
      <c r="B751" s="19">
        <v>45021</v>
      </c>
      <c r="C751" s="20">
        <v>0.5625</v>
      </c>
      <c r="D751" s="20">
        <v>0.71180555555555503</v>
      </c>
      <c r="E751" s="20">
        <v>0.149305555555555</v>
      </c>
      <c r="F751" s="21" t="s">
        <v>36</v>
      </c>
      <c r="G751" t="s">
        <v>799</v>
      </c>
    </row>
    <row r="752" spans="1:7" x14ac:dyDescent="0.3">
      <c r="A752" s="18" t="s">
        <v>56</v>
      </c>
      <c r="B752" s="19">
        <v>45021</v>
      </c>
      <c r="C752" s="20">
        <v>0.72986111111111096</v>
      </c>
      <c r="D752" s="20">
        <v>0.77569444444444402</v>
      </c>
      <c r="E752" s="20">
        <v>4.5833333333333399E-2</v>
      </c>
      <c r="F752" s="21" t="s">
        <v>36</v>
      </c>
      <c r="G752" t="s">
        <v>799</v>
      </c>
    </row>
    <row r="753" spans="1:7" x14ac:dyDescent="0.3">
      <c r="A753" s="18" t="s">
        <v>56</v>
      </c>
      <c r="B753" s="19">
        <v>45021</v>
      </c>
      <c r="C753" s="20">
        <v>0.78611111111111098</v>
      </c>
      <c r="D753" s="20">
        <v>0.80902777777777801</v>
      </c>
      <c r="E753" s="20">
        <v>2.29166666666667E-2</v>
      </c>
      <c r="F753" s="21" t="s">
        <v>35</v>
      </c>
      <c r="G753" t="s">
        <v>799</v>
      </c>
    </row>
    <row r="754" spans="1:7" x14ac:dyDescent="0.3">
      <c r="A754" s="18" t="s">
        <v>56</v>
      </c>
      <c r="B754" s="19">
        <v>45021</v>
      </c>
      <c r="C754" s="20">
        <v>0.874305555555556</v>
      </c>
      <c r="D754" s="20">
        <v>0.88888888888888895</v>
      </c>
      <c r="E754" s="20">
        <v>1.4583333333333301E-2</v>
      </c>
      <c r="F754" s="21" t="s">
        <v>35</v>
      </c>
      <c r="G754" t="s">
        <v>799</v>
      </c>
    </row>
    <row r="755" spans="1:7" x14ac:dyDescent="0.3">
      <c r="A755" s="18" t="s">
        <v>56</v>
      </c>
      <c r="B755" s="19">
        <v>45022</v>
      </c>
      <c r="C755" s="20">
        <v>6.25E-2</v>
      </c>
      <c r="D755" s="20">
        <v>0.202083333333333</v>
      </c>
      <c r="E755" s="20">
        <v>0.139583333333333</v>
      </c>
      <c r="F755" s="21" t="s">
        <v>47</v>
      </c>
      <c r="G755" t="s">
        <v>800</v>
      </c>
    </row>
    <row r="756" spans="1:7" x14ac:dyDescent="0.3">
      <c r="A756" s="18" t="s">
        <v>56</v>
      </c>
      <c r="B756" s="19">
        <v>45022</v>
      </c>
      <c r="C756" s="20">
        <v>0.20069444444444401</v>
      </c>
      <c r="D756" s="20">
        <v>0.202777777777778</v>
      </c>
      <c r="E756" s="20">
        <v>2.0833333333333801E-3</v>
      </c>
      <c r="F756" s="21" t="s">
        <v>35</v>
      </c>
      <c r="G756" t="s">
        <v>800</v>
      </c>
    </row>
    <row r="757" spans="1:7" x14ac:dyDescent="0.3">
      <c r="A757" s="18" t="s">
        <v>56</v>
      </c>
      <c r="B757" s="19">
        <v>45022</v>
      </c>
      <c r="C757" s="20">
        <v>0.47916666666666702</v>
      </c>
      <c r="D757" s="20">
        <v>0.48749999999999999</v>
      </c>
      <c r="E757" s="20">
        <v>8.3333333333333003E-3</v>
      </c>
      <c r="F757" s="21" t="s">
        <v>47</v>
      </c>
      <c r="G757" t="s">
        <v>800</v>
      </c>
    </row>
    <row r="758" spans="1:7" x14ac:dyDescent="0.3">
      <c r="A758" s="18" t="s">
        <v>56</v>
      </c>
      <c r="B758" s="19">
        <v>45022</v>
      </c>
      <c r="C758" s="20">
        <v>0.51597222222222205</v>
      </c>
      <c r="D758" s="20">
        <v>0.53749999999999998</v>
      </c>
      <c r="E758" s="20">
        <v>2.1527777777777798E-2</v>
      </c>
      <c r="G758" t="s">
        <v>800</v>
      </c>
    </row>
    <row r="759" spans="1:7" x14ac:dyDescent="0.3">
      <c r="A759" s="18" t="s">
        <v>56</v>
      </c>
      <c r="B759" s="19">
        <v>45022</v>
      </c>
      <c r="C759" s="20">
        <v>0.54791666666666705</v>
      </c>
      <c r="D759" s="20">
        <v>0.55138888888888904</v>
      </c>
      <c r="E759" s="20">
        <v>3.4722222222221002E-3</v>
      </c>
      <c r="F759" s="21" t="s">
        <v>35</v>
      </c>
      <c r="G759" t="s">
        <v>800</v>
      </c>
    </row>
    <row r="760" spans="1:7" x14ac:dyDescent="0.3">
      <c r="A760" s="18" t="s">
        <v>56</v>
      </c>
      <c r="B760" s="19">
        <v>45022</v>
      </c>
      <c r="C760" s="20">
        <v>0.66180555555555598</v>
      </c>
      <c r="D760" s="20">
        <v>0.8125</v>
      </c>
      <c r="E760" s="20">
        <v>0.15069444444444399</v>
      </c>
      <c r="F760" s="21" t="s">
        <v>41</v>
      </c>
      <c r="G760" t="s">
        <v>800</v>
      </c>
    </row>
    <row r="761" spans="1:7" x14ac:dyDescent="0.3">
      <c r="A761" s="18" t="s">
        <v>56</v>
      </c>
      <c r="B761" s="19">
        <v>45022</v>
      </c>
      <c r="C761" s="20">
        <v>0.8125</v>
      </c>
      <c r="D761" s="20">
        <v>0.875</v>
      </c>
      <c r="E761" s="20">
        <v>6.25E-2</v>
      </c>
      <c r="F761" s="21" t="s">
        <v>32</v>
      </c>
      <c r="G761" t="s">
        <v>800</v>
      </c>
    </row>
    <row r="762" spans="1:7" x14ac:dyDescent="0.3">
      <c r="A762" s="18" t="s">
        <v>56</v>
      </c>
      <c r="B762" s="19">
        <v>45023</v>
      </c>
      <c r="C762" s="20">
        <v>0.36875000000000002</v>
      </c>
      <c r="D762" s="20">
        <v>0.389583333333333</v>
      </c>
      <c r="E762" s="20">
        <v>2.0833333333333402E-2</v>
      </c>
      <c r="F762" s="21" t="s">
        <v>52</v>
      </c>
      <c r="G762" t="s">
        <v>801</v>
      </c>
    </row>
    <row r="763" spans="1:7" x14ac:dyDescent="0.3">
      <c r="A763" s="18" t="s">
        <v>56</v>
      </c>
      <c r="B763" s="19">
        <v>45023</v>
      </c>
      <c r="C763" s="20">
        <v>0.969444444444444</v>
      </c>
      <c r="D763" s="20">
        <v>0.99027777777777803</v>
      </c>
      <c r="E763" s="20">
        <v>2.0833333333333301E-2</v>
      </c>
      <c r="F763" s="21" t="s">
        <v>51</v>
      </c>
      <c r="G763" t="s">
        <v>801</v>
      </c>
    </row>
    <row r="764" spans="1:7" x14ac:dyDescent="0.3">
      <c r="A764" s="18" t="s">
        <v>56</v>
      </c>
      <c r="B764" s="19">
        <v>45023</v>
      </c>
      <c r="C764" s="20">
        <v>4.9305555555555602E-2</v>
      </c>
      <c r="D764" s="20">
        <v>6.25E-2</v>
      </c>
      <c r="E764" s="20">
        <v>1.3194444444444399E-2</v>
      </c>
      <c r="F764" s="21" t="s">
        <v>49</v>
      </c>
      <c r="G764" t="s">
        <v>801</v>
      </c>
    </row>
    <row r="765" spans="1:7" x14ac:dyDescent="0.3">
      <c r="A765" s="18" t="s">
        <v>56</v>
      </c>
      <c r="B765" s="19">
        <v>45024</v>
      </c>
      <c r="C765" s="20">
        <v>6.25E-2</v>
      </c>
      <c r="D765" s="20">
        <v>0.13472222222222199</v>
      </c>
      <c r="E765" s="20">
        <v>7.2222222222222202E-2</v>
      </c>
      <c r="F765" s="21" t="s">
        <v>49</v>
      </c>
      <c r="G765" t="s">
        <v>803</v>
      </c>
    </row>
    <row r="766" spans="1:7" x14ac:dyDescent="0.3">
      <c r="A766" s="18" t="s">
        <v>56</v>
      </c>
      <c r="B766" s="19">
        <v>45024</v>
      </c>
      <c r="C766" s="20">
        <v>0.140972222222222</v>
      </c>
      <c r="D766" s="20">
        <v>0.203472222222222</v>
      </c>
      <c r="E766" s="20">
        <v>6.25E-2</v>
      </c>
      <c r="F766" s="21" t="s">
        <v>49</v>
      </c>
      <c r="G766" t="s">
        <v>803</v>
      </c>
    </row>
    <row r="767" spans="1:7" x14ac:dyDescent="0.3">
      <c r="A767" s="18" t="s">
        <v>56</v>
      </c>
      <c r="B767" s="19">
        <v>45024</v>
      </c>
      <c r="C767" s="20">
        <v>0.43125000000000002</v>
      </c>
      <c r="D767" s="20">
        <v>0.43888888888888899</v>
      </c>
      <c r="E767" s="20">
        <v>7.6388888888889199E-3</v>
      </c>
      <c r="F767" s="21" t="s">
        <v>47</v>
      </c>
      <c r="G767" t="s">
        <v>803</v>
      </c>
    </row>
    <row r="768" spans="1:7" x14ac:dyDescent="0.3">
      <c r="A768" s="18" t="s">
        <v>56</v>
      </c>
      <c r="B768" s="19">
        <v>45024</v>
      </c>
      <c r="C768" s="20">
        <v>0.62638888888888899</v>
      </c>
      <c r="D768" s="20">
        <v>0.63402777777777797</v>
      </c>
      <c r="E768" s="20">
        <v>7.63888888888886E-3</v>
      </c>
      <c r="F768" s="21" t="s">
        <v>51</v>
      </c>
      <c r="G768" t="s">
        <v>803</v>
      </c>
    </row>
    <row r="769" spans="1:7" x14ac:dyDescent="0.3">
      <c r="A769" s="18" t="s">
        <v>56</v>
      </c>
      <c r="B769" s="19">
        <v>45025</v>
      </c>
      <c r="C769" s="20">
        <v>0.109722222222222</v>
      </c>
      <c r="D769" s="20">
        <v>0.122222222222222</v>
      </c>
      <c r="E769" s="20">
        <v>1.2500000000000001E-2</v>
      </c>
      <c r="F769" s="21" t="s">
        <v>35</v>
      </c>
      <c r="G769" t="s">
        <v>802</v>
      </c>
    </row>
    <row r="770" spans="1:7" x14ac:dyDescent="0.3">
      <c r="A770" s="18" t="s">
        <v>56</v>
      </c>
      <c r="B770" s="19">
        <v>45025</v>
      </c>
      <c r="C770" s="20">
        <v>0.58194444444444404</v>
      </c>
      <c r="D770" s="20">
        <v>0.66527777777777797</v>
      </c>
      <c r="E770" s="20">
        <v>8.3333333333333301E-2</v>
      </c>
      <c r="F770" s="21" t="s">
        <v>48</v>
      </c>
      <c r="G770" t="s">
        <v>802</v>
      </c>
    </row>
    <row r="771" spans="1:7" x14ac:dyDescent="0.3">
      <c r="A771" s="18" t="s">
        <v>56</v>
      </c>
      <c r="B771" s="19">
        <v>45025</v>
      </c>
      <c r="C771" s="20">
        <v>0.67916666666666703</v>
      </c>
      <c r="D771" s="20">
        <v>0.68958333333333299</v>
      </c>
      <c r="E771" s="20">
        <v>1.04166666666666E-2</v>
      </c>
      <c r="F771" s="21" t="s">
        <v>51</v>
      </c>
      <c r="G771" t="s">
        <v>802</v>
      </c>
    </row>
    <row r="772" spans="1:7" x14ac:dyDescent="0.3">
      <c r="A772" s="18" t="s">
        <v>56</v>
      </c>
      <c r="B772" s="19">
        <v>45026</v>
      </c>
      <c r="C772" s="20">
        <v>0.21458333333333299</v>
      </c>
      <c r="D772" s="20">
        <v>0.21736111111111101</v>
      </c>
      <c r="E772" s="20">
        <v>2.7777777777777701E-3</v>
      </c>
      <c r="F772" s="21" t="s">
        <v>36</v>
      </c>
      <c r="G772" t="s">
        <v>797</v>
      </c>
    </row>
    <row r="773" spans="1:7" x14ac:dyDescent="0.3">
      <c r="A773" s="18" t="s">
        <v>56</v>
      </c>
      <c r="B773" s="19">
        <v>45026</v>
      </c>
      <c r="C773" s="20">
        <v>0.23888888888888901</v>
      </c>
      <c r="D773" s="20">
        <v>0.240972222222222</v>
      </c>
      <c r="E773" s="20">
        <v>2.0833333333333298E-3</v>
      </c>
      <c r="F773" s="21" t="s">
        <v>36</v>
      </c>
      <c r="G773" t="s">
        <v>797</v>
      </c>
    </row>
    <row r="774" spans="1:7" x14ac:dyDescent="0.3">
      <c r="A774" s="18" t="s">
        <v>56</v>
      </c>
      <c r="B774" s="19">
        <v>45026</v>
      </c>
      <c r="C774" s="20">
        <v>0.359722222222222</v>
      </c>
      <c r="D774" s="20">
        <v>0.37291666666666701</v>
      </c>
      <c r="E774" s="20">
        <v>1.3194444444444399E-2</v>
      </c>
      <c r="F774" s="21" t="s">
        <v>51</v>
      </c>
      <c r="G774" t="s">
        <v>797</v>
      </c>
    </row>
    <row r="775" spans="1:7" x14ac:dyDescent="0.3">
      <c r="A775" s="18" t="s">
        <v>56</v>
      </c>
      <c r="B775" s="19">
        <v>45026</v>
      </c>
      <c r="C775" s="20">
        <v>0.74861111111111101</v>
      </c>
      <c r="D775" s="20">
        <v>0.8125</v>
      </c>
      <c r="E775" s="20">
        <v>6.3888888888888995E-2</v>
      </c>
      <c r="F775" s="21" t="s">
        <v>32</v>
      </c>
      <c r="G775" t="s">
        <v>797</v>
      </c>
    </row>
    <row r="776" spans="1:7" x14ac:dyDescent="0.3">
      <c r="A776" s="18" t="s">
        <v>56</v>
      </c>
      <c r="B776" s="19">
        <v>45026</v>
      </c>
      <c r="C776" s="20">
        <v>0.8125</v>
      </c>
      <c r="D776" s="20">
        <v>0.875694444444444</v>
      </c>
      <c r="E776" s="20">
        <v>6.31944444444444E-2</v>
      </c>
      <c r="F776" s="21" t="s">
        <v>32</v>
      </c>
      <c r="G776" t="s">
        <v>797</v>
      </c>
    </row>
    <row r="777" spans="1:7" x14ac:dyDescent="0.3">
      <c r="A777" s="18" t="s">
        <v>56</v>
      </c>
      <c r="B777" s="19">
        <v>45026</v>
      </c>
      <c r="C777" s="20">
        <v>0.875694444444444</v>
      </c>
      <c r="D777" s="20">
        <v>0.92013888888888895</v>
      </c>
      <c r="E777" s="20">
        <v>4.4444444444444398E-2</v>
      </c>
      <c r="F777" s="21" t="s">
        <v>43</v>
      </c>
      <c r="G777" t="s">
        <v>797</v>
      </c>
    </row>
    <row r="778" spans="1:7" x14ac:dyDescent="0.3">
      <c r="A778" s="18" t="s">
        <v>56</v>
      </c>
      <c r="B778" s="19">
        <v>45027</v>
      </c>
      <c r="C778" s="20">
        <v>0.13750000000000001</v>
      </c>
      <c r="D778" s="20">
        <v>0.18541666666666701</v>
      </c>
      <c r="E778" s="20">
        <v>4.7916666666666698E-2</v>
      </c>
      <c r="F778" s="21" t="s">
        <v>45</v>
      </c>
      <c r="G778" t="s">
        <v>798</v>
      </c>
    </row>
    <row r="779" spans="1:7" x14ac:dyDescent="0.3">
      <c r="A779" s="18" t="s">
        <v>56</v>
      </c>
      <c r="B779" s="19">
        <v>45027</v>
      </c>
      <c r="C779" s="20">
        <v>0.29861111111111099</v>
      </c>
      <c r="D779" s="20">
        <v>0.30625000000000002</v>
      </c>
      <c r="E779" s="20">
        <v>7.63888888888886E-3</v>
      </c>
      <c r="F779" s="21" t="s">
        <v>47</v>
      </c>
      <c r="G779" t="s">
        <v>798</v>
      </c>
    </row>
    <row r="780" spans="1:7" x14ac:dyDescent="0.3">
      <c r="A780" s="18" t="s">
        <v>56</v>
      </c>
      <c r="B780" s="19">
        <v>45027</v>
      </c>
      <c r="C780" s="20">
        <v>0.74861111111111101</v>
      </c>
      <c r="D780" s="20">
        <v>0.8125</v>
      </c>
      <c r="E780" s="20">
        <v>6.3888888888888995E-2</v>
      </c>
      <c r="F780" s="21" t="s">
        <v>32</v>
      </c>
      <c r="G780" t="s">
        <v>798</v>
      </c>
    </row>
    <row r="781" spans="1:7" x14ac:dyDescent="0.3">
      <c r="A781" s="18" t="s">
        <v>56</v>
      </c>
      <c r="B781" s="19">
        <v>45027</v>
      </c>
      <c r="C781" s="20">
        <v>0.8125</v>
      </c>
      <c r="D781" s="20">
        <v>0.875694444444444</v>
      </c>
      <c r="E781" s="20">
        <v>6.31944444444444E-2</v>
      </c>
      <c r="F781" s="21" t="s">
        <v>32</v>
      </c>
      <c r="G781" t="s">
        <v>798</v>
      </c>
    </row>
    <row r="782" spans="1:7" x14ac:dyDescent="0.3">
      <c r="A782" s="18" t="s">
        <v>56</v>
      </c>
      <c r="B782" s="19">
        <v>45027</v>
      </c>
      <c r="C782" s="20">
        <v>0.875694444444444</v>
      </c>
      <c r="D782" s="20">
        <v>0.92986111111111103</v>
      </c>
      <c r="E782" s="20">
        <v>5.4166666666666703E-2</v>
      </c>
      <c r="F782" s="21" t="s">
        <v>33</v>
      </c>
      <c r="G782" t="s">
        <v>798</v>
      </c>
    </row>
    <row r="783" spans="1:7" x14ac:dyDescent="0.3">
      <c r="A783" s="18" t="s">
        <v>56</v>
      </c>
      <c r="B783" s="19">
        <v>45027</v>
      </c>
      <c r="C783" s="20">
        <v>0.938194444444444</v>
      </c>
      <c r="D783" s="20">
        <v>0.94027777777777799</v>
      </c>
      <c r="E783" s="20">
        <v>2.0833333333333298E-3</v>
      </c>
      <c r="F783" s="21" t="s">
        <v>43</v>
      </c>
      <c r="G783" t="s">
        <v>798</v>
      </c>
    </row>
    <row r="784" spans="1:7" x14ac:dyDescent="0.3">
      <c r="A784" s="18" t="s">
        <v>56</v>
      </c>
      <c r="B784" s="19">
        <v>45028</v>
      </c>
      <c r="C784" s="20">
        <v>0.56388888888888899</v>
      </c>
      <c r="D784" s="20">
        <v>0.58055555555555605</v>
      </c>
      <c r="E784" s="20">
        <v>1.6666666666666701E-2</v>
      </c>
      <c r="F784" s="21" t="s">
        <v>47</v>
      </c>
      <c r="G784" t="s">
        <v>799</v>
      </c>
    </row>
    <row r="785" spans="1:7" x14ac:dyDescent="0.3">
      <c r="A785" s="18" t="s">
        <v>56</v>
      </c>
      <c r="B785" s="19">
        <v>45028</v>
      </c>
      <c r="C785" s="20">
        <v>0.58611111111111103</v>
      </c>
      <c r="D785" s="20">
        <v>0.60972222222222205</v>
      </c>
      <c r="E785" s="20">
        <v>2.3611111111110999E-2</v>
      </c>
      <c r="F785" s="21" t="s">
        <v>47</v>
      </c>
      <c r="G785" t="s">
        <v>799</v>
      </c>
    </row>
    <row r="786" spans="1:7" x14ac:dyDescent="0.3">
      <c r="A786" s="18" t="s">
        <v>56</v>
      </c>
      <c r="B786" s="19">
        <v>45028</v>
      </c>
      <c r="C786" s="20">
        <v>0.72847222222222197</v>
      </c>
      <c r="D786" s="20">
        <v>0.73541666666666705</v>
      </c>
      <c r="E786" s="20">
        <v>6.9444444444443096E-3</v>
      </c>
      <c r="F786" s="21" t="s">
        <v>58</v>
      </c>
      <c r="G786" t="s">
        <v>799</v>
      </c>
    </row>
    <row r="787" spans="1:7" x14ac:dyDescent="0.3">
      <c r="A787" s="18" t="s">
        <v>56</v>
      </c>
      <c r="B787" s="19">
        <v>45028</v>
      </c>
      <c r="C787" s="20">
        <v>0.8125</v>
      </c>
      <c r="D787" s="20">
        <v>0.81805555555555598</v>
      </c>
      <c r="E787" s="20">
        <v>5.5555555555555402E-3</v>
      </c>
      <c r="F787" s="21" t="s">
        <v>32</v>
      </c>
      <c r="G787" t="s">
        <v>799</v>
      </c>
    </row>
    <row r="788" spans="1:7" x14ac:dyDescent="0.3">
      <c r="A788" s="18" t="s">
        <v>56</v>
      </c>
      <c r="B788" s="19">
        <v>45028</v>
      </c>
      <c r="C788" s="20">
        <v>0.87291666666666701</v>
      </c>
      <c r="D788" s="20">
        <v>0.87777777777777799</v>
      </c>
      <c r="E788" s="20">
        <v>4.8611111111110904E-3</v>
      </c>
      <c r="F788" s="21" t="s">
        <v>51</v>
      </c>
      <c r="G788" t="s">
        <v>799</v>
      </c>
    </row>
    <row r="789" spans="1:7" x14ac:dyDescent="0.3">
      <c r="A789" s="18" t="s">
        <v>56</v>
      </c>
      <c r="B789" s="19">
        <v>45029</v>
      </c>
      <c r="C789" s="20">
        <v>0.67361111111111105</v>
      </c>
      <c r="D789" s="20">
        <v>0.68055555555555503</v>
      </c>
      <c r="E789" s="20">
        <v>6.9444444444443096E-3</v>
      </c>
      <c r="F789" s="21" t="s">
        <v>37</v>
      </c>
      <c r="G789" t="s">
        <v>800</v>
      </c>
    </row>
    <row r="790" spans="1:7" x14ac:dyDescent="0.3">
      <c r="A790" s="18" t="s">
        <v>56</v>
      </c>
      <c r="B790" s="19">
        <v>45029</v>
      </c>
      <c r="C790" s="20">
        <v>0.74861111111111101</v>
      </c>
      <c r="D790" s="20">
        <v>0.8125</v>
      </c>
      <c r="E790" s="20">
        <v>6.3888888888888995E-2</v>
      </c>
      <c r="F790" s="21" t="s">
        <v>32</v>
      </c>
      <c r="G790" t="s">
        <v>800</v>
      </c>
    </row>
    <row r="791" spans="1:7" x14ac:dyDescent="0.3">
      <c r="A791" s="18" t="s">
        <v>56</v>
      </c>
      <c r="B791" s="19">
        <v>45029</v>
      </c>
      <c r="C791" s="20">
        <v>0.8125</v>
      </c>
      <c r="D791" s="20">
        <v>0.875694444444444</v>
      </c>
      <c r="E791" s="20">
        <v>6.31944444444444E-2</v>
      </c>
      <c r="F791" s="21" t="s">
        <v>32</v>
      </c>
      <c r="G791" t="s">
        <v>800</v>
      </c>
    </row>
    <row r="792" spans="1:7" x14ac:dyDescent="0.3">
      <c r="A792" s="18" t="s">
        <v>56</v>
      </c>
      <c r="B792" s="19">
        <v>45029</v>
      </c>
      <c r="C792" s="20">
        <v>0.875694444444444</v>
      </c>
      <c r="D792" s="20">
        <v>0.89791666666666703</v>
      </c>
      <c r="E792" s="20">
        <v>2.2222222222222299E-2</v>
      </c>
      <c r="F792" s="21" t="s">
        <v>47</v>
      </c>
      <c r="G792" t="s">
        <v>800</v>
      </c>
    </row>
    <row r="793" spans="1:7" x14ac:dyDescent="0.3">
      <c r="A793" s="18" t="s">
        <v>56</v>
      </c>
      <c r="B793" s="19">
        <v>45030</v>
      </c>
      <c r="C793" s="20">
        <v>0.37986111111111098</v>
      </c>
      <c r="D793" s="20">
        <v>0.39374999999999999</v>
      </c>
      <c r="E793" s="20">
        <v>1.38888888888888E-2</v>
      </c>
      <c r="F793" s="21" t="s">
        <v>57</v>
      </c>
      <c r="G793" t="s">
        <v>801</v>
      </c>
    </row>
    <row r="794" spans="1:7" x14ac:dyDescent="0.3">
      <c r="A794" s="18" t="s">
        <v>56</v>
      </c>
      <c r="B794" s="19">
        <v>45030</v>
      </c>
      <c r="C794" s="20">
        <v>0.74861111111111101</v>
      </c>
      <c r="D794" s="20">
        <v>0.8125</v>
      </c>
      <c r="E794" s="20">
        <v>6.3888888888888995E-2</v>
      </c>
      <c r="F794" s="21" t="s">
        <v>32</v>
      </c>
      <c r="G794" t="s">
        <v>801</v>
      </c>
    </row>
    <row r="795" spans="1:7" x14ac:dyDescent="0.3">
      <c r="A795" s="18" t="s">
        <v>56</v>
      </c>
      <c r="B795" s="19">
        <v>45030</v>
      </c>
      <c r="C795" s="20">
        <v>0.8125</v>
      </c>
      <c r="D795" s="20">
        <v>0.88055555555555598</v>
      </c>
      <c r="E795" s="20">
        <v>6.8055555555555494E-2</v>
      </c>
      <c r="F795" s="21" t="s">
        <v>32</v>
      </c>
      <c r="G795" t="s">
        <v>801</v>
      </c>
    </row>
    <row r="796" spans="1:7" x14ac:dyDescent="0.3">
      <c r="A796" s="18" t="s">
        <v>56</v>
      </c>
      <c r="B796" s="19">
        <v>45031</v>
      </c>
      <c r="C796" s="20">
        <v>0.40625</v>
      </c>
      <c r="D796" s="20">
        <v>0.41736111111111102</v>
      </c>
      <c r="E796" s="20">
        <v>1.1111111111111099E-2</v>
      </c>
      <c r="F796" s="21" t="s">
        <v>51</v>
      </c>
      <c r="G796" t="s">
        <v>803</v>
      </c>
    </row>
    <row r="797" spans="1:7" x14ac:dyDescent="0.3">
      <c r="A797" s="18" t="s">
        <v>56</v>
      </c>
      <c r="B797" s="19">
        <v>45031</v>
      </c>
      <c r="C797" s="20">
        <v>0.68055555555555503</v>
      </c>
      <c r="D797" s="20">
        <v>0.69027777777777799</v>
      </c>
      <c r="E797" s="20">
        <v>9.7222222222223004E-3</v>
      </c>
      <c r="F797" s="21" t="s">
        <v>57</v>
      </c>
      <c r="G797" t="s">
        <v>803</v>
      </c>
    </row>
    <row r="798" spans="1:7" x14ac:dyDescent="0.3">
      <c r="A798" s="18" t="s">
        <v>56</v>
      </c>
      <c r="B798" s="19">
        <v>45031</v>
      </c>
      <c r="C798" s="20">
        <v>0.77083333333333304</v>
      </c>
      <c r="D798" s="20">
        <v>0.77638888888888902</v>
      </c>
      <c r="E798" s="20">
        <v>5.5555555555555402E-3</v>
      </c>
      <c r="F798" s="21" t="s">
        <v>47</v>
      </c>
      <c r="G798" t="s">
        <v>803</v>
      </c>
    </row>
    <row r="799" spans="1:7" x14ac:dyDescent="0.3">
      <c r="A799" s="18" t="s">
        <v>56</v>
      </c>
      <c r="B799" s="19">
        <v>45031</v>
      </c>
      <c r="C799" s="20">
        <v>0.87152777777777801</v>
      </c>
      <c r="D799" s="20">
        <v>0.95</v>
      </c>
      <c r="E799" s="20">
        <v>7.8472222222222304E-2</v>
      </c>
      <c r="F799" s="21" t="s">
        <v>40</v>
      </c>
      <c r="G799" t="s">
        <v>803</v>
      </c>
    </row>
    <row r="800" spans="1:7" x14ac:dyDescent="0.3">
      <c r="A800" s="18" t="s">
        <v>56</v>
      </c>
      <c r="B800" s="19">
        <v>45031</v>
      </c>
      <c r="C800" s="20">
        <v>0.99166666666666703</v>
      </c>
      <c r="D800" s="20">
        <v>0.99791666666666701</v>
      </c>
      <c r="E800" s="20">
        <v>6.2499999999999804E-3</v>
      </c>
      <c r="F800" s="21" t="s">
        <v>47</v>
      </c>
      <c r="G800" t="s">
        <v>803</v>
      </c>
    </row>
    <row r="801" spans="1:7" x14ac:dyDescent="0.3">
      <c r="A801" s="18" t="s">
        <v>56</v>
      </c>
      <c r="B801" s="19">
        <v>45033</v>
      </c>
      <c r="C801" s="20">
        <v>0.133333333333333</v>
      </c>
      <c r="D801" s="20">
        <v>0.13750000000000001</v>
      </c>
      <c r="E801" s="20">
        <v>4.1666666666666501E-3</v>
      </c>
      <c r="F801" s="21" t="s">
        <v>51</v>
      </c>
      <c r="G801" t="s">
        <v>797</v>
      </c>
    </row>
    <row r="802" spans="1:7" x14ac:dyDescent="0.3">
      <c r="A802" s="18" t="s">
        <v>56</v>
      </c>
      <c r="B802" s="19">
        <v>45033</v>
      </c>
      <c r="C802" s="20">
        <v>0.141666666666667</v>
      </c>
      <c r="D802" s="20">
        <v>0.14374999999999999</v>
      </c>
      <c r="E802" s="20">
        <v>2.0833333333333498E-3</v>
      </c>
      <c r="F802" s="21" t="s">
        <v>51</v>
      </c>
      <c r="G802" t="s">
        <v>797</v>
      </c>
    </row>
    <row r="803" spans="1:7" x14ac:dyDescent="0.3">
      <c r="A803" s="18" t="s">
        <v>56</v>
      </c>
      <c r="B803" s="19">
        <v>45033</v>
      </c>
      <c r="C803" s="20">
        <v>0.172222222222222</v>
      </c>
      <c r="D803" s="20">
        <v>0.17569444444444399</v>
      </c>
      <c r="E803" s="20">
        <v>3.4722222222222099E-3</v>
      </c>
      <c r="F803" s="21" t="s">
        <v>51</v>
      </c>
      <c r="G803" t="s">
        <v>797</v>
      </c>
    </row>
    <row r="804" spans="1:7" x14ac:dyDescent="0.3">
      <c r="A804" s="18" t="s">
        <v>56</v>
      </c>
      <c r="B804" s="19">
        <v>45033</v>
      </c>
      <c r="C804" s="20">
        <v>0.18194444444444399</v>
      </c>
      <c r="D804" s="20">
        <v>0.18611111111111101</v>
      </c>
      <c r="E804" s="20">
        <v>4.1666666666666796E-3</v>
      </c>
      <c r="F804" s="21" t="s">
        <v>51</v>
      </c>
      <c r="G804" t="s">
        <v>797</v>
      </c>
    </row>
    <row r="805" spans="1:7" x14ac:dyDescent="0.3">
      <c r="A805" s="18" t="s">
        <v>56</v>
      </c>
      <c r="B805" s="19">
        <v>45033</v>
      </c>
      <c r="C805" s="20">
        <v>0.3125</v>
      </c>
      <c r="D805" s="20">
        <v>0.44930555555555601</v>
      </c>
      <c r="E805" s="20">
        <v>0.13680555555555601</v>
      </c>
      <c r="F805" s="21" t="s">
        <v>40</v>
      </c>
      <c r="G805" t="s">
        <v>797</v>
      </c>
    </row>
    <row r="806" spans="1:7" x14ac:dyDescent="0.3">
      <c r="A806" s="18" t="s">
        <v>56</v>
      </c>
      <c r="B806" s="19">
        <v>45033</v>
      </c>
      <c r="C806" s="20">
        <v>0.74861111111111101</v>
      </c>
      <c r="D806" s="20">
        <v>0.8125</v>
      </c>
      <c r="E806" s="20">
        <v>6.3888888888888995E-2</v>
      </c>
      <c r="F806" s="21" t="s">
        <v>32</v>
      </c>
      <c r="G806" t="s">
        <v>797</v>
      </c>
    </row>
    <row r="807" spans="1:7" x14ac:dyDescent="0.3">
      <c r="A807" s="18" t="s">
        <v>56</v>
      </c>
      <c r="B807" s="19">
        <v>45033</v>
      </c>
      <c r="C807" s="20">
        <v>0.8125</v>
      </c>
      <c r="D807" s="20">
        <v>0.875694444444444</v>
      </c>
      <c r="E807" s="20">
        <v>6.31944444444444E-2</v>
      </c>
      <c r="F807" s="21" t="s">
        <v>32</v>
      </c>
      <c r="G807" t="s">
        <v>797</v>
      </c>
    </row>
    <row r="808" spans="1:7" x14ac:dyDescent="0.3">
      <c r="A808" s="18" t="s">
        <v>56</v>
      </c>
      <c r="B808" s="19">
        <v>45034</v>
      </c>
      <c r="C808" s="20">
        <v>0.109027777777778</v>
      </c>
      <c r="D808" s="20">
        <v>0.114583333333333</v>
      </c>
      <c r="E808" s="20">
        <v>5.5555555555555497E-3</v>
      </c>
      <c r="F808" s="21" t="s">
        <v>51</v>
      </c>
      <c r="G808" t="s">
        <v>798</v>
      </c>
    </row>
    <row r="809" spans="1:7" x14ac:dyDescent="0.3">
      <c r="A809" s="18" t="s">
        <v>56</v>
      </c>
      <c r="B809" s="19">
        <v>45034</v>
      </c>
      <c r="C809" s="20">
        <v>0.227083333333333</v>
      </c>
      <c r="D809" s="20">
        <v>0.240972222222222</v>
      </c>
      <c r="E809" s="20">
        <v>1.38888888888889E-2</v>
      </c>
      <c r="F809" s="21" t="s">
        <v>48</v>
      </c>
      <c r="G809" t="s">
        <v>798</v>
      </c>
    </row>
    <row r="810" spans="1:7" x14ac:dyDescent="0.3">
      <c r="A810" s="18" t="s">
        <v>56</v>
      </c>
      <c r="B810" s="19">
        <v>45034</v>
      </c>
      <c r="C810" s="20">
        <v>0.47222222222222199</v>
      </c>
      <c r="D810" s="20">
        <v>0.49583333333333302</v>
      </c>
      <c r="E810" s="20">
        <v>2.36111111111111E-2</v>
      </c>
      <c r="F810" s="21" t="s">
        <v>51</v>
      </c>
      <c r="G810" t="s">
        <v>798</v>
      </c>
    </row>
    <row r="811" spans="1:7" x14ac:dyDescent="0.3">
      <c r="A811" s="18" t="s">
        <v>56</v>
      </c>
      <c r="B811" s="19">
        <v>45034</v>
      </c>
      <c r="C811" s="20">
        <v>0.58333333333333304</v>
      </c>
      <c r="D811" s="20">
        <v>0.58888888888888902</v>
      </c>
      <c r="E811" s="20">
        <v>5.5555555555555402E-3</v>
      </c>
      <c r="F811" s="21" t="s">
        <v>47</v>
      </c>
      <c r="G811" t="s">
        <v>798</v>
      </c>
    </row>
    <row r="812" spans="1:7" x14ac:dyDescent="0.3">
      <c r="A812" s="18" t="s">
        <v>56</v>
      </c>
      <c r="B812" s="19">
        <v>45034</v>
      </c>
      <c r="C812" s="20">
        <v>0.74861111111111101</v>
      </c>
      <c r="D812" s="20">
        <v>0.8125</v>
      </c>
      <c r="E812" s="20">
        <v>6.3888888888888995E-2</v>
      </c>
      <c r="F812" s="21" t="s">
        <v>32</v>
      </c>
      <c r="G812" t="s">
        <v>798</v>
      </c>
    </row>
    <row r="813" spans="1:7" x14ac:dyDescent="0.3">
      <c r="A813" s="18" t="s">
        <v>56</v>
      </c>
      <c r="B813" s="19">
        <v>45034</v>
      </c>
      <c r="C813" s="20">
        <v>0.8125</v>
      </c>
      <c r="D813" s="20">
        <v>0.87847222222222199</v>
      </c>
      <c r="E813" s="20">
        <v>6.5972222222222196E-2</v>
      </c>
      <c r="F813" s="21" t="s">
        <v>32</v>
      </c>
      <c r="G813" t="s">
        <v>798</v>
      </c>
    </row>
    <row r="814" spans="1:7" x14ac:dyDescent="0.3">
      <c r="A814" s="18" t="s">
        <v>56</v>
      </c>
      <c r="B814" s="19">
        <v>45035</v>
      </c>
      <c r="C814" s="20">
        <v>6.25E-2</v>
      </c>
      <c r="D814" s="20">
        <v>8.3333333333333301E-2</v>
      </c>
      <c r="E814" s="20">
        <v>2.0833333333333301E-2</v>
      </c>
      <c r="F814" s="21" t="s">
        <v>38</v>
      </c>
      <c r="G814" t="s">
        <v>799</v>
      </c>
    </row>
    <row r="815" spans="1:7" x14ac:dyDescent="0.3">
      <c r="A815" s="18" t="s">
        <v>56</v>
      </c>
      <c r="B815" s="19">
        <v>45035</v>
      </c>
      <c r="C815" s="20">
        <v>0.74861111111111101</v>
      </c>
      <c r="D815" s="20">
        <v>0.8125</v>
      </c>
      <c r="E815" s="20">
        <v>6.3888888888888995E-2</v>
      </c>
      <c r="F815" s="21" t="s">
        <v>32</v>
      </c>
      <c r="G815" t="s">
        <v>799</v>
      </c>
    </row>
    <row r="816" spans="1:7" x14ac:dyDescent="0.3">
      <c r="A816" s="18" t="s">
        <v>56</v>
      </c>
      <c r="B816" s="19">
        <v>45035</v>
      </c>
      <c r="C816" s="20">
        <v>0.8125</v>
      </c>
      <c r="D816" s="20">
        <v>0.88194444444444398</v>
      </c>
      <c r="E816" s="20">
        <v>6.9444444444444503E-2</v>
      </c>
      <c r="F816" s="21" t="s">
        <v>32</v>
      </c>
      <c r="G816" t="s">
        <v>799</v>
      </c>
    </row>
    <row r="817" spans="1:7" x14ac:dyDescent="0.3">
      <c r="A817" s="18" t="s">
        <v>56</v>
      </c>
      <c r="B817" s="19">
        <v>45036</v>
      </c>
      <c r="C817" s="20">
        <v>0.32291666666666702</v>
      </c>
      <c r="D817" s="20">
        <v>0.328472222222222</v>
      </c>
      <c r="E817" s="20">
        <v>5.5555555555555402E-3</v>
      </c>
      <c r="F817" s="21" t="s">
        <v>51</v>
      </c>
      <c r="G817" t="s">
        <v>800</v>
      </c>
    </row>
    <row r="818" spans="1:7" x14ac:dyDescent="0.3">
      <c r="A818" s="18" t="s">
        <v>56</v>
      </c>
      <c r="B818" s="19">
        <v>45036</v>
      </c>
      <c r="C818" s="20">
        <v>0.41388888888888897</v>
      </c>
      <c r="D818" s="20">
        <v>0.42569444444444399</v>
      </c>
      <c r="E818" s="20">
        <v>1.18055555555555E-2</v>
      </c>
      <c r="G818" t="s">
        <v>800</v>
      </c>
    </row>
    <row r="819" spans="1:7" x14ac:dyDescent="0.3">
      <c r="A819" s="18" t="s">
        <v>56</v>
      </c>
      <c r="B819" s="19">
        <v>45036</v>
      </c>
      <c r="C819" s="20">
        <v>0.74861111111111101</v>
      </c>
      <c r="D819" s="20">
        <v>0.8125</v>
      </c>
      <c r="E819" s="20">
        <v>6.3888888888888995E-2</v>
      </c>
      <c r="F819" s="21" t="s">
        <v>32</v>
      </c>
      <c r="G819" t="s">
        <v>800</v>
      </c>
    </row>
    <row r="820" spans="1:7" x14ac:dyDescent="0.3">
      <c r="A820" s="18" t="s">
        <v>56</v>
      </c>
      <c r="B820" s="19">
        <v>45036</v>
      </c>
      <c r="C820" s="20">
        <v>0.8125</v>
      </c>
      <c r="D820" s="20">
        <v>0.87916666666666698</v>
      </c>
      <c r="E820" s="20">
        <v>6.6666666666666805E-2</v>
      </c>
      <c r="F820" s="21" t="s">
        <v>32</v>
      </c>
      <c r="G820" t="s">
        <v>800</v>
      </c>
    </row>
    <row r="821" spans="1:7" x14ac:dyDescent="0.3">
      <c r="A821" s="18" t="s">
        <v>56</v>
      </c>
      <c r="B821" s="19">
        <v>45036</v>
      </c>
      <c r="C821" s="20">
        <v>0.90277777777777801</v>
      </c>
      <c r="D821" s="20">
        <v>0.906944444444444</v>
      </c>
      <c r="E821" s="20">
        <v>4.1666666666666501E-3</v>
      </c>
      <c r="F821" s="21" t="s">
        <v>51</v>
      </c>
      <c r="G821" t="s">
        <v>800</v>
      </c>
    </row>
    <row r="822" spans="1:7" x14ac:dyDescent="0.3">
      <c r="A822" s="18" t="s">
        <v>56</v>
      </c>
      <c r="B822" s="19">
        <v>45037</v>
      </c>
      <c r="C822" s="20">
        <v>0.36805555555555602</v>
      </c>
      <c r="D822" s="20">
        <v>0.44166666666666698</v>
      </c>
      <c r="E822" s="20">
        <v>7.3611111111111099E-2</v>
      </c>
      <c r="F822" s="21" t="s">
        <v>52</v>
      </c>
      <c r="G822" t="s">
        <v>801</v>
      </c>
    </row>
    <row r="823" spans="1:7" x14ac:dyDescent="0.3">
      <c r="A823" s="18" t="s">
        <v>56</v>
      </c>
      <c r="B823" s="19">
        <v>45037</v>
      </c>
      <c r="C823" s="20">
        <v>0.59861111111111098</v>
      </c>
      <c r="D823" s="20">
        <v>0.71250000000000002</v>
      </c>
      <c r="E823" s="20">
        <v>0.113888888888889</v>
      </c>
      <c r="F823" s="21" t="s">
        <v>40</v>
      </c>
      <c r="G823" t="s">
        <v>801</v>
      </c>
    </row>
    <row r="824" spans="1:7" x14ac:dyDescent="0.3">
      <c r="A824" s="18" t="s">
        <v>56</v>
      </c>
      <c r="B824" s="19">
        <v>45037</v>
      </c>
      <c r="C824" s="20">
        <v>0.98472222222222205</v>
      </c>
      <c r="D824" s="20">
        <v>0.99166666666666703</v>
      </c>
      <c r="E824" s="20">
        <v>6.9444444444445299E-3</v>
      </c>
      <c r="F824" s="21" t="s">
        <v>47</v>
      </c>
      <c r="G824" t="s">
        <v>801</v>
      </c>
    </row>
    <row r="825" spans="1:7" x14ac:dyDescent="0.3">
      <c r="A825" s="18" t="s">
        <v>56</v>
      </c>
      <c r="B825" s="19">
        <v>45037</v>
      </c>
      <c r="C825" s="20">
        <v>0.99305555555555503</v>
      </c>
      <c r="D825" s="20">
        <v>0.99583333333333302</v>
      </c>
      <c r="E825" s="20">
        <v>2.7777777777777701E-3</v>
      </c>
      <c r="F825" s="21" t="s">
        <v>47</v>
      </c>
      <c r="G825" t="s">
        <v>801</v>
      </c>
    </row>
    <row r="826" spans="1:7" x14ac:dyDescent="0.3">
      <c r="A826" s="18" t="s">
        <v>56</v>
      </c>
      <c r="B826" s="19">
        <v>45037</v>
      </c>
      <c r="C826" s="20">
        <v>0</v>
      </c>
      <c r="D826" s="20">
        <v>6.25E-2</v>
      </c>
      <c r="E826" s="20">
        <v>6.25E-2</v>
      </c>
      <c r="F826" s="21" t="s">
        <v>47</v>
      </c>
      <c r="G826" t="s">
        <v>801</v>
      </c>
    </row>
    <row r="827" spans="1:7" x14ac:dyDescent="0.3">
      <c r="A827" s="18" t="s">
        <v>56</v>
      </c>
      <c r="B827" s="19">
        <v>45038</v>
      </c>
      <c r="C827" s="20">
        <v>6.25E-2</v>
      </c>
      <c r="D827" s="20">
        <v>0.10625</v>
      </c>
      <c r="E827" s="20">
        <v>4.3749999999999997E-2</v>
      </c>
      <c r="F827" s="21" t="s">
        <v>47</v>
      </c>
      <c r="G827" t="s">
        <v>803</v>
      </c>
    </row>
    <row r="828" spans="1:7" x14ac:dyDescent="0.3">
      <c r="A828" s="18" t="s">
        <v>56</v>
      </c>
      <c r="B828" s="19">
        <v>45038</v>
      </c>
      <c r="C828" s="20">
        <v>0.113888888888889</v>
      </c>
      <c r="D828" s="20">
        <v>0.116666666666667</v>
      </c>
      <c r="E828" s="20">
        <v>2.7777777777777701E-3</v>
      </c>
      <c r="F828" s="21" t="s">
        <v>47</v>
      </c>
      <c r="G828" t="s">
        <v>803</v>
      </c>
    </row>
    <row r="829" spans="1:7" x14ac:dyDescent="0.3">
      <c r="A829" s="18" t="s">
        <v>56</v>
      </c>
      <c r="B829" s="19">
        <v>45038</v>
      </c>
      <c r="C829" s="20">
        <v>0.45833333333333298</v>
      </c>
      <c r="D829" s="20">
        <v>0.46041666666666697</v>
      </c>
      <c r="E829" s="20">
        <v>2.0833333333333801E-3</v>
      </c>
      <c r="F829" s="21" t="s">
        <v>59</v>
      </c>
      <c r="G829" t="s">
        <v>803</v>
      </c>
    </row>
    <row r="830" spans="1:7" x14ac:dyDescent="0.3">
      <c r="A830" s="18" t="s">
        <v>56</v>
      </c>
      <c r="B830" s="19">
        <v>45039</v>
      </c>
      <c r="C830" s="20">
        <v>0.20624999999999999</v>
      </c>
      <c r="D830" s="20">
        <v>0.209722222222222</v>
      </c>
      <c r="E830" s="20">
        <v>3.4722222222222099E-3</v>
      </c>
      <c r="F830" s="21" t="s">
        <v>51</v>
      </c>
      <c r="G830" t="s">
        <v>802</v>
      </c>
    </row>
    <row r="831" spans="1:7" x14ac:dyDescent="0.3">
      <c r="A831" s="18" t="s">
        <v>56</v>
      </c>
      <c r="B831" s="19">
        <v>45039</v>
      </c>
      <c r="C831" s="20">
        <v>0.26944444444444399</v>
      </c>
      <c r="D831" s="20">
        <v>0.27361111111111103</v>
      </c>
      <c r="E831" s="20">
        <v>4.1666666666666501E-3</v>
      </c>
      <c r="F831" s="21" t="s">
        <v>51</v>
      </c>
      <c r="G831" t="s">
        <v>802</v>
      </c>
    </row>
    <row r="832" spans="1:7" x14ac:dyDescent="0.3">
      <c r="A832" s="18" t="s">
        <v>56</v>
      </c>
      <c r="B832" s="19">
        <v>45039</v>
      </c>
      <c r="C832" s="20">
        <v>0.38680555555555601</v>
      </c>
      <c r="D832" s="20">
        <v>0.39513888888888898</v>
      </c>
      <c r="E832" s="20">
        <v>8.3333333333333003E-3</v>
      </c>
      <c r="F832" s="21" t="s">
        <v>47</v>
      </c>
      <c r="G832" t="s">
        <v>802</v>
      </c>
    </row>
    <row r="833" spans="1:7" x14ac:dyDescent="0.3">
      <c r="A833" s="18" t="s">
        <v>56</v>
      </c>
      <c r="B833" s="19">
        <v>45039</v>
      </c>
      <c r="C833" s="20">
        <v>0.41041666666666698</v>
      </c>
      <c r="D833" s="20">
        <v>0.41666666666666702</v>
      </c>
      <c r="E833" s="20">
        <v>6.2500000000000298E-3</v>
      </c>
      <c r="G833" t="s">
        <v>802</v>
      </c>
    </row>
    <row r="834" spans="1:7" x14ac:dyDescent="0.3">
      <c r="A834" s="18" t="s">
        <v>56</v>
      </c>
      <c r="B834" s="19">
        <v>45039</v>
      </c>
      <c r="C834" s="20">
        <v>0.70625000000000004</v>
      </c>
      <c r="D834" s="20">
        <v>0.77152777777777803</v>
      </c>
      <c r="E834" s="20">
        <v>6.5277777777777796E-2</v>
      </c>
      <c r="F834" s="21" t="s">
        <v>40</v>
      </c>
      <c r="G834" t="s">
        <v>802</v>
      </c>
    </row>
    <row r="835" spans="1:7" x14ac:dyDescent="0.3">
      <c r="A835" s="18" t="s">
        <v>56</v>
      </c>
      <c r="B835" s="19">
        <v>45039</v>
      </c>
      <c r="C835" s="20">
        <v>0.81527777777777799</v>
      </c>
      <c r="D835" s="20">
        <v>0.81874999999999998</v>
      </c>
      <c r="E835" s="20">
        <v>3.4722222222222099E-3</v>
      </c>
      <c r="F835" s="21" t="s">
        <v>35</v>
      </c>
      <c r="G835" t="s">
        <v>802</v>
      </c>
    </row>
    <row r="836" spans="1:7" x14ac:dyDescent="0.3">
      <c r="A836" s="18" t="s">
        <v>56</v>
      </c>
      <c r="B836" s="19">
        <v>45040</v>
      </c>
      <c r="C836" s="20">
        <v>0.62013888888888902</v>
      </c>
      <c r="D836" s="20">
        <v>0.624305555555556</v>
      </c>
      <c r="E836" s="20">
        <v>4.1666666666666501E-3</v>
      </c>
      <c r="F836" s="21" t="s">
        <v>51</v>
      </c>
      <c r="G836" t="s">
        <v>797</v>
      </c>
    </row>
    <row r="837" spans="1:7" x14ac:dyDescent="0.3">
      <c r="A837" s="18" t="s">
        <v>56</v>
      </c>
      <c r="B837" s="19">
        <v>45040</v>
      </c>
      <c r="C837" s="20">
        <v>0.8125</v>
      </c>
      <c r="D837" s="20">
        <v>0.88263888888888897</v>
      </c>
      <c r="E837" s="20">
        <v>7.0138888888888903E-2</v>
      </c>
      <c r="F837" s="21" t="s">
        <v>32</v>
      </c>
      <c r="G837" t="s">
        <v>797</v>
      </c>
    </row>
    <row r="838" spans="1:7" x14ac:dyDescent="0.3">
      <c r="A838" s="18" t="s">
        <v>56</v>
      </c>
      <c r="B838" s="19">
        <v>45040</v>
      </c>
      <c r="C838" s="20">
        <v>0.88472222222222197</v>
      </c>
      <c r="D838" s="20">
        <v>6.25E-2</v>
      </c>
      <c r="E838" s="20">
        <v>0.17777777777777801</v>
      </c>
      <c r="F838" s="21" t="s">
        <v>47</v>
      </c>
      <c r="G838" t="s">
        <v>797</v>
      </c>
    </row>
    <row r="839" spans="1:7" x14ac:dyDescent="0.3">
      <c r="A839" s="18" t="s">
        <v>56</v>
      </c>
      <c r="B839" s="19">
        <v>45041</v>
      </c>
      <c r="C839" s="20">
        <v>6.25E-2</v>
      </c>
      <c r="D839" s="20">
        <v>0.3125</v>
      </c>
      <c r="E839" s="20">
        <v>0.25</v>
      </c>
      <c r="F839" s="21" t="s">
        <v>47</v>
      </c>
      <c r="G839" t="s">
        <v>798</v>
      </c>
    </row>
    <row r="840" spans="1:7" x14ac:dyDescent="0.3">
      <c r="A840" s="18" t="s">
        <v>56</v>
      </c>
      <c r="B840" s="19">
        <v>45041</v>
      </c>
      <c r="C840" s="20">
        <v>0.3125</v>
      </c>
      <c r="D840" s="20">
        <v>0.5625</v>
      </c>
      <c r="E840" s="20">
        <v>0.25</v>
      </c>
      <c r="F840" s="21" t="s">
        <v>47</v>
      </c>
      <c r="G840" t="s">
        <v>798</v>
      </c>
    </row>
    <row r="841" spans="1:7" x14ac:dyDescent="0.3">
      <c r="A841" s="18" t="s">
        <v>56</v>
      </c>
      <c r="B841" s="19">
        <v>45041</v>
      </c>
      <c r="C841" s="20">
        <v>0.5625</v>
      </c>
      <c r="D841" s="20">
        <v>0.76527777777777795</v>
      </c>
      <c r="E841" s="20">
        <v>0.202777777777778</v>
      </c>
      <c r="F841" s="21" t="s">
        <v>47</v>
      </c>
      <c r="G841" t="s">
        <v>798</v>
      </c>
    </row>
    <row r="842" spans="1:7" x14ac:dyDescent="0.3">
      <c r="A842" s="18" t="s">
        <v>56</v>
      </c>
      <c r="B842" s="19">
        <v>45041</v>
      </c>
      <c r="C842" s="20">
        <v>0.76527777777777795</v>
      </c>
      <c r="D842" s="20">
        <v>0.77638888888888902</v>
      </c>
      <c r="E842" s="20">
        <v>1.1111111111111099E-2</v>
      </c>
      <c r="F842" s="21" t="s">
        <v>35</v>
      </c>
      <c r="G842" t="s">
        <v>798</v>
      </c>
    </row>
    <row r="843" spans="1:7" x14ac:dyDescent="0.3">
      <c r="A843" s="18" t="s">
        <v>56</v>
      </c>
      <c r="B843" s="19">
        <v>45042</v>
      </c>
      <c r="C843" s="20">
        <v>0.29513888888888901</v>
      </c>
      <c r="D843" s="20">
        <v>0.3125</v>
      </c>
      <c r="E843" s="20">
        <v>1.7361111111111101E-2</v>
      </c>
      <c r="F843" s="21" t="s">
        <v>60</v>
      </c>
      <c r="G843" t="s">
        <v>799</v>
      </c>
    </row>
    <row r="844" spans="1:7" x14ac:dyDescent="0.3">
      <c r="A844" s="18" t="s">
        <v>56</v>
      </c>
      <c r="B844" s="19">
        <v>45042</v>
      </c>
      <c r="C844" s="20">
        <v>0.41666666666666702</v>
      </c>
      <c r="D844" s="20">
        <v>0.42986111111111103</v>
      </c>
      <c r="E844" s="20">
        <v>1.3194444444444399E-2</v>
      </c>
      <c r="F844" s="21" t="s">
        <v>35</v>
      </c>
      <c r="G844" t="s">
        <v>799</v>
      </c>
    </row>
    <row r="845" spans="1:7" x14ac:dyDescent="0.3">
      <c r="A845" s="18" t="s">
        <v>56</v>
      </c>
      <c r="B845" s="19">
        <v>45042</v>
      </c>
      <c r="C845" s="20">
        <v>0.65347222222222201</v>
      </c>
      <c r="D845" s="20">
        <v>0.65763888888888899</v>
      </c>
      <c r="E845" s="20">
        <v>4.1666666666666501E-3</v>
      </c>
      <c r="F845" s="21" t="s">
        <v>51</v>
      </c>
      <c r="G845" t="s">
        <v>799</v>
      </c>
    </row>
    <row r="846" spans="1:7" x14ac:dyDescent="0.3">
      <c r="A846" s="18" t="s">
        <v>56</v>
      </c>
      <c r="B846" s="19">
        <v>45042</v>
      </c>
      <c r="C846" s="20">
        <v>0.65972222222222199</v>
      </c>
      <c r="D846" s="20">
        <v>0.66180555555555598</v>
      </c>
      <c r="E846" s="20">
        <v>2.0833333333333298E-3</v>
      </c>
      <c r="F846" s="21" t="s">
        <v>51</v>
      </c>
      <c r="G846" t="s">
        <v>799</v>
      </c>
    </row>
    <row r="847" spans="1:7" x14ac:dyDescent="0.3">
      <c r="A847" s="18" t="s">
        <v>56</v>
      </c>
      <c r="B847" s="19">
        <v>45042</v>
      </c>
      <c r="C847" s="20">
        <v>0.67638888888888904</v>
      </c>
      <c r="D847" s="20">
        <v>0.68541666666666701</v>
      </c>
      <c r="E847" s="20">
        <v>9.0277777777777492E-3</v>
      </c>
      <c r="F847" s="21" t="s">
        <v>35</v>
      </c>
      <c r="G847" t="s">
        <v>799</v>
      </c>
    </row>
    <row r="848" spans="1:7" x14ac:dyDescent="0.3">
      <c r="A848" s="18" t="s">
        <v>56</v>
      </c>
      <c r="B848" s="19">
        <v>45042</v>
      </c>
      <c r="C848" s="20">
        <v>0.74861111111111101</v>
      </c>
      <c r="D848" s="20">
        <v>0.8125</v>
      </c>
      <c r="E848" s="20">
        <v>6.3888888888888995E-2</v>
      </c>
      <c r="F848" s="21" t="s">
        <v>32</v>
      </c>
      <c r="G848" t="s">
        <v>799</v>
      </c>
    </row>
    <row r="849" spans="1:7" x14ac:dyDescent="0.3">
      <c r="A849" s="18" t="s">
        <v>56</v>
      </c>
      <c r="B849" s="19">
        <v>45042</v>
      </c>
      <c r="C849" s="20">
        <v>0.8125</v>
      </c>
      <c r="D849" s="20">
        <v>0.87916666666666698</v>
      </c>
      <c r="E849" s="20">
        <v>6.6666666666666805E-2</v>
      </c>
      <c r="F849" s="21" t="s">
        <v>32</v>
      </c>
      <c r="G849" t="s">
        <v>799</v>
      </c>
    </row>
    <row r="850" spans="1:7" x14ac:dyDescent="0.3">
      <c r="A850" s="18" t="s">
        <v>56</v>
      </c>
      <c r="B850" s="19">
        <v>45042</v>
      </c>
      <c r="C850" s="20">
        <v>0.93611111111111101</v>
      </c>
      <c r="D850" s="20">
        <v>0.93958333333333299</v>
      </c>
      <c r="E850" s="20">
        <v>3.47222222222232E-3</v>
      </c>
      <c r="F850" s="21" t="s">
        <v>35</v>
      </c>
      <c r="G850" t="s">
        <v>799</v>
      </c>
    </row>
    <row r="851" spans="1:7" x14ac:dyDescent="0.3">
      <c r="A851" s="18" t="s">
        <v>56</v>
      </c>
      <c r="B851" s="19">
        <v>45043</v>
      </c>
      <c r="C851" s="20">
        <v>0.15486111111111101</v>
      </c>
      <c r="D851" s="20">
        <v>0.22847222222222199</v>
      </c>
      <c r="E851" s="20">
        <v>7.3611111111111099E-2</v>
      </c>
      <c r="F851" s="21" t="s">
        <v>49</v>
      </c>
      <c r="G851" t="s">
        <v>800</v>
      </c>
    </row>
    <row r="852" spans="1:7" x14ac:dyDescent="0.3">
      <c r="A852" s="18" t="s">
        <v>56</v>
      </c>
      <c r="B852" s="19">
        <v>45043</v>
      </c>
      <c r="C852" s="20">
        <v>0.31527777777777799</v>
      </c>
      <c r="D852" s="20">
        <v>0.5625</v>
      </c>
      <c r="E852" s="20">
        <v>0.24722222222222201</v>
      </c>
      <c r="F852" s="21" t="s">
        <v>47</v>
      </c>
      <c r="G852" t="s">
        <v>800</v>
      </c>
    </row>
    <row r="853" spans="1:7" x14ac:dyDescent="0.3">
      <c r="A853" s="18" t="s">
        <v>56</v>
      </c>
      <c r="B853" s="19">
        <v>45043</v>
      </c>
      <c r="C853" s="20">
        <v>0.5625</v>
      </c>
      <c r="D853" s="20">
        <v>0.66041666666666698</v>
      </c>
      <c r="E853" s="20">
        <v>9.7916666666666596E-2</v>
      </c>
      <c r="F853" s="21" t="s">
        <v>47</v>
      </c>
      <c r="G853" t="s">
        <v>800</v>
      </c>
    </row>
    <row r="854" spans="1:7" x14ac:dyDescent="0.3">
      <c r="A854" s="18" t="s">
        <v>56</v>
      </c>
      <c r="B854" s="19">
        <v>45043</v>
      </c>
      <c r="C854" s="20">
        <v>0.75347222222222199</v>
      </c>
      <c r="D854" s="20">
        <v>0.75486111111111098</v>
      </c>
      <c r="E854" s="20">
        <v>1.3888888888888801E-3</v>
      </c>
      <c r="F854" s="21" t="s">
        <v>61</v>
      </c>
      <c r="G854" t="s">
        <v>800</v>
      </c>
    </row>
    <row r="855" spans="1:7" x14ac:dyDescent="0.3">
      <c r="A855" s="18" t="s">
        <v>56</v>
      </c>
      <c r="B855" s="19">
        <v>45043</v>
      </c>
      <c r="C855" s="20">
        <v>0.76249999999999996</v>
      </c>
      <c r="D855" s="20">
        <v>0.78749999999999998</v>
      </c>
      <c r="E855" s="20">
        <v>2.4999999999999901E-2</v>
      </c>
      <c r="F855" s="21" t="s">
        <v>47</v>
      </c>
      <c r="G855" t="s">
        <v>800</v>
      </c>
    </row>
    <row r="856" spans="1:7" x14ac:dyDescent="0.3">
      <c r="A856" s="18" t="s">
        <v>56</v>
      </c>
      <c r="B856" s="19">
        <v>45043</v>
      </c>
      <c r="C856" s="20">
        <v>0.88888888888888895</v>
      </c>
      <c r="D856" s="20">
        <v>0.89027777777777795</v>
      </c>
      <c r="E856" s="20">
        <v>1.388888888889E-3</v>
      </c>
      <c r="F856" s="21" t="s">
        <v>35</v>
      </c>
      <c r="G856" t="s">
        <v>800</v>
      </c>
    </row>
    <row r="857" spans="1:7" x14ac:dyDescent="0.3">
      <c r="A857" s="18" t="s">
        <v>56</v>
      </c>
      <c r="B857" s="19">
        <v>45043</v>
      </c>
      <c r="C857" s="20">
        <v>0.93263888888888902</v>
      </c>
      <c r="D857" s="20">
        <v>0.94305555555555598</v>
      </c>
      <c r="E857" s="20">
        <v>1.04166666666666E-2</v>
      </c>
      <c r="F857" s="21" t="s">
        <v>45</v>
      </c>
      <c r="G857" t="s">
        <v>800</v>
      </c>
    </row>
    <row r="858" spans="1:7" x14ac:dyDescent="0.3">
      <c r="A858" s="18" t="s">
        <v>56</v>
      </c>
      <c r="B858" s="19">
        <v>45044</v>
      </c>
      <c r="C858" s="20">
        <v>8.4722222222222199E-2</v>
      </c>
      <c r="D858" s="20">
        <v>0.3125</v>
      </c>
      <c r="E858" s="20">
        <v>0.227777777777778</v>
      </c>
      <c r="F858" s="21" t="s">
        <v>47</v>
      </c>
      <c r="G858" t="s">
        <v>801</v>
      </c>
    </row>
    <row r="859" spans="1:7" x14ac:dyDescent="0.3">
      <c r="A859" s="18" t="s">
        <v>56</v>
      </c>
      <c r="B859" s="19">
        <v>45044</v>
      </c>
      <c r="C859" s="20">
        <v>0.3125</v>
      </c>
      <c r="D859" s="20">
        <v>0.5625</v>
      </c>
      <c r="E859" s="20">
        <v>0.25</v>
      </c>
      <c r="F859" s="21" t="s">
        <v>47</v>
      </c>
      <c r="G859" t="s">
        <v>801</v>
      </c>
    </row>
    <row r="860" spans="1:7" x14ac:dyDescent="0.3">
      <c r="A860" s="18" t="s">
        <v>56</v>
      </c>
      <c r="B860" s="19">
        <v>45044</v>
      </c>
      <c r="C860" s="20">
        <v>0.5625</v>
      </c>
      <c r="D860" s="20">
        <v>0.67361111111111105</v>
      </c>
      <c r="E860" s="20">
        <v>0.11111111111111099</v>
      </c>
      <c r="F860" s="21" t="s">
        <v>47</v>
      </c>
      <c r="G860" t="s">
        <v>801</v>
      </c>
    </row>
    <row r="861" spans="1:7" x14ac:dyDescent="0.3">
      <c r="A861" s="18" t="s">
        <v>56</v>
      </c>
      <c r="B861" s="19">
        <v>45044</v>
      </c>
      <c r="C861" s="20">
        <v>0.74861111111111101</v>
      </c>
      <c r="D861" s="20">
        <v>0.76944444444444404</v>
      </c>
      <c r="E861" s="20">
        <v>2.0833333333333402E-2</v>
      </c>
      <c r="F861" s="21" t="s">
        <v>35</v>
      </c>
      <c r="G861" t="s">
        <v>801</v>
      </c>
    </row>
    <row r="862" spans="1:7" x14ac:dyDescent="0.3">
      <c r="A862" s="18" t="s">
        <v>56</v>
      </c>
      <c r="B862" s="19">
        <v>45044</v>
      </c>
      <c r="C862" s="20">
        <v>0.76944444444444404</v>
      </c>
      <c r="D862" s="20">
        <v>0.87152777777777801</v>
      </c>
      <c r="E862" s="20">
        <v>0.102083333333333</v>
      </c>
      <c r="F862" s="21" t="s">
        <v>35</v>
      </c>
      <c r="G862" t="s">
        <v>801</v>
      </c>
    </row>
    <row r="863" spans="1:7" x14ac:dyDescent="0.3">
      <c r="A863" s="18" t="s">
        <v>56</v>
      </c>
      <c r="B863" s="19">
        <v>45044</v>
      </c>
      <c r="C863" s="20">
        <v>0.87152777777777801</v>
      </c>
      <c r="D863" s="20">
        <v>0.875694444444444</v>
      </c>
      <c r="E863" s="20">
        <v>4.1666666666666501E-3</v>
      </c>
      <c r="F863" s="21" t="s">
        <v>32</v>
      </c>
      <c r="G863" t="s">
        <v>801</v>
      </c>
    </row>
    <row r="864" spans="1:7" x14ac:dyDescent="0.3">
      <c r="A864" s="18" t="s">
        <v>56</v>
      </c>
      <c r="B864" s="19">
        <v>45044</v>
      </c>
      <c r="C864" s="20">
        <v>1.1111111111111099E-2</v>
      </c>
      <c r="D864" s="20">
        <v>1.6666666666666701E-2</v>
      </c>
      <c r="E864" s="20">
        <v>5.5555555555555497E-3</v>
      </c>
      <c r="F864" s="21" t="s">
        <v>35</v>
      </c>
      <c r="G864" t="s">
        <v>801</v>
      </c>
    </row>
    <row r="865" spans="1:7" x14ac:dyDescent="0.3">
      <c r="A865" s="18" t="s">
        <v>56</v>
      </c>
      <c r="B865" s="19">
        <v>45044</v>
      </c>
      <c r="C865" s="20">
        <v>4.8611111111111098E-2</v>
      </c>
      <c r="D865" s="20">
        <v>6.25E-2</v>
      </c>
      <c r="E865" s="20">
        <v>1.38888888888889E-2</v>
      </c>
      <c r="F865" s="21" t="s">
        <v>52</v>
      </c>
      <c r="G865" t="s">
        <v>801</v>
      </c>
    </row>
    <row r="866" spans="1:7" x14ac:dyDescent="0.3">
      <c r="A866" s="18" t="s">
        <v>56</v>
      </c>
      <c r="B866" s="19">
        <v>45045</v>
      </c>
      <c r="C866" s="20">
        <v>6.25E-2</v>
      </c>
      <c r="D866" s="20">
        <v>6.3888888888888898E-2</v>
      </c>
      <c r="E866" s="20">
        <v>1.3888888888888801E-3</v>
      </c>
      <c r="F866" s="21" t="s">
        <v>52</v>
      </c>
      <c r="G866" t="s">
        <v>803</v>
      </c>
    </row>
    <row r="867" spans="1:7" x14ac:dyDescent="0.3">
      <c r="A867" s="18" t="s">
        <v>56</v>
      </c>
      <c r="B867" s="19">
        <v>45045</v>
      </c>
      <c r="C867" s="20">
        <v>0.108333333333333</v>
      </c>
      <c r="D867" s="20">
        <v>0.15347222222222201</v>
      </c>
      <c r="E867" s="20">
        <v>4.5138888888888902E-2</v>
      </c>
      <c r="F867" s="21" t="s">
        <v>58</v>
      </c>
      <c r="G867" t="s">
        <v>803</v>
      </c>
    </row>
    <row r="868" spans="1:7" x14ac:dyDescent="0.3">
      <c r="A868" s="18" t="s">
        <v>56</v>
      </c>
      <c r="B868" s="19">
        <v>45046</v>
      </c>
      <c r="C868" s="20">
        <v>0.118055555555556</v>
      </c>
      <c r="D868" s="20">
        <v>0.13819444444444401</v>
      </c>
      <c r="E868" s="20">
        <v>2.0138888888888901E-2</v>
      </c>
      <c r="F868" s="21" t="s">
        <v>41</v>
      </c>
      <c r="G868" t="s">
        <v>802</v>
      </c>
    </row>
    <row r="869" spans="1:7" x14ac:dyDescent="0.3">
      <c r="A869" s="18" t="s">
        <v>56</v>
      </c>
      <c r="B869" s="19">
        <v>45046</v>
      </c>
      <c r="C869" s="20">
        <v>0.27430555555555503</v>
      </c>
      <c r="D869" s="20">
        <v>0.297222222222222</v>
      </c>
      <c r="E869" s="20">
        <v>2.29166666666667E-2</v>
      </c>
      <c r="F869" s="21" t="s">
        <v>41</v>
      </c>
      <c r="G869" t="s">
        <v>802</v>
      </c>
    </row>
    <row r="870" spans="1:7" x14ac:dyDescent="0.3">
      <c r="A870" s="18" t="s">
        <v>56</v>
      </c>
      <c r="B870" s="19">
        <v>45046</v>
      </c>
      <c r="C870" s="20">
        <v>0.40972222222222199</v>
      </c>
      <c r="D870" s="20">
        <v>0.41388888888888897</v>
      </c>
      <c r="E870" s="20">
        <v>4.1666666666666501E-3</v>
      </c>
      <c r="F870" s="21" t="s">
        <v>35</v>
      </c>
      <c r="G870" t="s">
        <v>802</v>
      </c>
    </row>
    <row r="871" spans="1:7" x14ac:dyDescent="0.3">
      <c r="A871" s="18" t="s">
        <v>56</v>
      </c>
      <c r="B871" s="19">
        <v>45046</v>
      </c>
      <c r="C871" s="20">
        <v>0.41666666666666702</v>
      </c>
      <c r="D871" s="20">
        <v>0.421527777777778</v>
      </c>
      <c r="E871" s="20">
        <v>4.8611111111110904E-3</v>
      </c>
      <c r="G871" t="s">
        <v>802</v>
      </c>
    </row>
    <row r="872" spans="1:7" x14ac:dyDescent="0.3">
      <c r="A872" s="18" t="s">
        <v>56</v>
      </c>
      <c r="B872" s="19">
        <v>45046</v>
      </c>
      <c r="C872" s="20">
        <v>0.44513888888888897</v>
      </c>
      <c r="D872" s="20">
        <v>0.52708333333333302</v>
      </c>
      <c r="E872" s="20">
        <v>8.1944444444444403E-2</v>
      </c>
      <c r="F872" s="21" t="s">
        <v>34</v>
      </c>
      <c r="G872" t="s">
        <v>802</v>
      </c>
    </row>
    <row r="873" spans="1:7" x14ac:dyDescent="0.3">
      <c r="A873" s="18" t="s">
        <v>56</v>
      </c>
      <c r="B873" s="19">
        <v>45046</v>
      </c>
      <c r="C873" s="20">
        <v>4.72222222222222E-2</v>
      </c>
      <c r="D873" s="20">
        <v>5.0694444444444403E-2</v>
      </c>
      <c r="E873" s="20">
        <v>3.4722222222222298E-3</v>
      </c>
      <c r="F873" s="21" t="s">
        <v>51</v>
      </c>
      <c r="G873" t="s">
        <v>802</v>
      </c>
    </row>
    <row r="874" spans="1:7" x14ac:dyDescent="0.3">
      <c r="A874" s="18" t="s">
        <v>56</v>
      </c>
      <c r="B874" s="19">
        <v>45046</v>
      </c>
      <c r="C874" s="20">
        <v>5.9722222222222197E-2</v>
      </c>
      <c r="D874" s="20">
        <v>6.25E-2</v>
      </c>
      <c r="E874" s="20">
        <v>2.7777777777777701E-3</v>
      </c>
      <c r="F874" s="21" t="s">
        <v>51</v>
      </c>
      <c r="G874" t="s">
        <v>802</v>
      </c>
    </row>
    <row r="875" spans="1:7" x14ac:dyDescent="0.3">
      <c r="A875" s="18" t="s">
        <v>683</v>
      </c>
      <c r="B875" s="19">
        <v>45017</v>
      </c>
      <c r="C875" s="20">
        <v>0.12777777777777799</v>
      </c>
      <c r="D875" s="20">
        <v>0.13055555555555601</v>
      </c>
      <c r="E875" s="20">
        <v>2.7777777777777701E-3</v>
      </c>
      <c r="F875" s="21" t="s">
        <v>684</v>
      </c>
      <c r="G875" t="s">
        <v>803</v>
      </c>
    </row>
    <row r="876" spans="1:7" x14ac:dyDescent="0.3">
      <c r="A876" s="18" t="s">
        <v>683</v>
      </c>
      <c r="B876" s="19">
        <v>45018</v>
      </c>
      <c r="C876" s="20">
        <v>0.12777777777777799</v>
      </c>
      <c r="D876" s="20">
        <v>0.13055555555555601</v>
      </c>
      <c r="E876" s="20">
        <v>2.7777777777777701E-3</v>
      </c>
      <c r="F876" s="21" t="s">
        <v>684</v>
      </c>
      <c r="G876" t="s">
        <v>802</v>
      </c>
    </row>
    <row r="877" spans="1:7" x14ac:dyDescent="0.3">
      <c r="A877" s="18" t="s">
        <v>683</v>
      </c>
      <c r="B877" s="19">
        <v>45019</v>
      </c>
      <c r="C877" s="20">
        <v>0.74756944444444395</v>
      </c>
      <c r="D877" s="20">
        <v>0.8125</v>
      </c>
      <c r="E877" s="20">
        <v>6.4930555555555602E-2</v>
      </c>
      <c r="F877" s="21" t="s">
        <v>685</v>
      </c>
      <c r="G877" t="s">
        <v>797</v>
      </c>
    </row>
    <row r="878" spans="1:7" x14ac:dyDescent="0.3">
      <c r="A878" s="18" t="s">
        <v>683</v>
      </c>
      <c r="B878" s="19">
        <v>45019</v>
      </c>
      <c r="C878" s="20">
        <v>0.8125</v>
      </c>
      <c r="D878" s="20">
        <v>0.87708333333333299</v>
      </c>
      <c r="E878" s="20">
        <v>6.4583333333333298E-2</v>
      </c>
      <c r="F878" s="21" t="s">
        <v>685</v>
      </c>
      <c r="G878" t="s">
        <v>797</v>
      </c>
    </row>
    <row r="879" spans="1:7" x14ac:dyDescent="0.3">
      <c r="A879" s="18" t="s">
        <v>683</v>
      </c>
      <c r="B879" s="19">
        <v>45020</v>
      </c>
      <c r="C879" s="20">
        <v>6.25E-2</v>
      </c>
      <c r="D879" s="20">
        <v>0.24583333333333299</v>
      </c>
      <c r="E879" s="20">
        <v>0.18333333333333299</v>
      </c>
      <c r="F879" s="21" t="s">
        <v>686</v>
      </c>
      <c r="G879" t="s">
        <v>798</v>
      </c>
    </row>
    <row r="880" spans="1:7" x14ac:dyDescent="0.3">
      <c r="A880" s="18" t="s">
        <v>683</v>
      </c>
      <c r="B880" s="19">
        <v>45020</v>
      </c>
      <c r="C880" s="20">
        <v>0.57152777777777797</v>
      </c>
      <c r="D880" s="20">
        <v>0.75</v>
      </c>
      <c r="E880" s="20">
        <v>0.178472222222222</v>
      </c>
      <c r="F880" s="21" t="s">
        <v>687</v>
      </c>
      <c r="G880" t="s">
        <v>798</v>
      </c>
    </row>
    <row r="881" spans="1:7" x14ac:dyDescent="0.3">
      <c r="A881" s="18" t="s">
        <v>683</v>
      </c>
      <c r="B881" s="19">
        <v>45020</v>
      </c>
      <c r="C881" s="20">
        <v>0.75</v>
      </c>
      <c r="D881" s="20">
        <v>0.8125</v>
      </c>
      <c r="E881" s="20">
        <v>6.25E-2</v>
      </c>
      <c r="F881" s="21" t="s">
        <v>685</v>
      </c>
      <c r="G881" t="s">
        <v>798</v>
      </c>
    </row>
    <row r="882" spans="1:7" x14ac:dyDescent="0.3">
      <c r="A882" s="18" t="s">
        <v>683</v>
      </c>
      <c r="B882" s="19">
        <v>45020</v>
      </c>
      <c r="C882" s="20">
        <v>0.8125</v>
      </c>
      <c r="D882" s="20">
        <v>0.875</v>
      </c>
      <c r="E882" s="20">
        <v>6.25E-2</v>
      </c>
      <c r="F882" s="21" t="s">
        <v>685</v>
      </c>
      <c r="G882" t="s">
        <v>798</v>
      </c>
    </row>
    <row r="883" spans="1:7" x14ac:dyDescent="0.3">
      <c r="A883" s="18" t="s">
        <v>683</v>
      </c>
      <c r="B883" s="19">
        <v>45020</v>
      </c>
      <c r="C883" s="20">
        <v>0.875</v>
      </c>
      <c r="D883" s="20">
        <v>6.25E-2</v>
      </c>
      <c r="E883" s="20">
        <v>0.1875</v>
      </c>
      <c r="F883" s="21" t="s">
        <v>688</v>
      </c>
      <c r="G883" t="s">
        <v>798</v>
      </c>
    </row>
    <row r="884" spans="1:7" x14ac:dyDescent="0.3">
      <c r="A884" s="18" t="s">
        <v>683</v>
      </c>
      <c r="B884" s="19">
        <v>45021</v>
      </c>
      <c r="C884" s="20">
        <v>6.25E-2</v>
      </c>
      <c r="D884" s="20">
        <v>0.24583333333333299</v>
      </c>
      <c r="E884" s="20">
        <v>0.18333333333333299</v>
      </c>
      <c r="F884" s="21" t="s">
        <v>686</v>
      </c>
      <c r="G884" t="s">
        <v>799</v>
      </c>
    </row>
    <row r="885" spans="1:7" x14ac:dyDescent="0.3">
      <c r="A885" s="18" t="s">
        <v>683</v>
      </c>
      <c r="B885" s="19">
        <v>45021</v>
      </c>
      <c r="C885" s="20">
        <v>0.68472222222222201</v>
      </c>
      <c r="D885" s="20">
        <v>0.75</v>
      </c>
      <c r="E885" s="20">
        <v>6.5277777777777796E-2</v>
      </c>
      <c r="F885" s="21" t="s">
        <v>689</v>
      </c>
      <c r="G885" t="s">
        <v>799</v>
      </c>
    </row>
    <row r="886" spans="1:7" x14ac:dyDescent="0.3">
      <c r="A886" s="18" t="s">
        <v>683</v>
      </c>
      <c r="B886" s="19">
        <v>45021</v>
      </c>
      <c r="C886" s="20">
        <v>0.75</v>
      </c>
      <c r="D886" s="20">
        <v>0.8125</v>
      </c>
      <c r="E886" s="20">
        <v>6.25E-2</v>
      </c>
      <c r="F886" s="21" t="s">
        <v>685</v>
      </c>
      <c r="G886" t="s">
        <v>799</v>
      </c>
    </row>
    <row r="887" spans="1:7" x14ac:dyDescent="0.3">
      <c r="A887" s="18" t="s">
        <v>683</v>
      </c>
      <c r="B887" s="19">
        <v>45021</v>
      </c>
      <c r="C887" s="20">
        <v>0.8125</v>
      </c>
      <c r="D887" s="20">
        <v>0.88263888888888897</v>
      </c>
      <c r="E887" s="20">
        <v>7.0138888888888903E-2</v>
      </c>
      <c r="F887" s="21" t="s">
        <v>685</v>
      </c>
      <c r="G887" t="s">
        <v>799</v>
      </c>
    </row>
    <row r="888" spans="1:7" x14ac:dyDescent="0.3">
      <c r="A888" s="18" t="s">
        <v>683</v>
      </c>
      <c r="B888" s="19">
        <v>45022</v>
      </c>
      <c r="C888" s="20">
        <v>0.74861111111111101</v>
      </c>
      <c r="D888" s="20">
        <v>0.8125</v>
      </c>
      <c r="E888" s="20">
        <v>6.3888888888888995E-2</v>
      </c>
      <c r="F888" s="21" t="s">
        <v>685</v>
      </c>
      <c r="G888" t="s">
        <v>800</v>
      </c>
    </row>
    <row r="889" spans="1:7" x14ac:dyDescent="0.3">
      <c r="A889" s="18" t="s">
        <v>683</v>
      </c>
      <c r="B889" s="19">
        <v>45022</v>
      </c>
      <c r="C889" s="20">
        <v>0.8125</v>
      </c>
      <c r="D889" s="20">
        <v>0.88194444444444398</v>
      </c>
      <c r="E889" s="20">
        <v>6.9444444444444503E-2</v>
      </c>
      <c r="F889" s="21" t="s">
        <v>685</v>
      </c>
      <c r="G889" t="s">
        <v>800</v>
      </c>
    </row>
    <row r="890" spans="1:7" x14ac:dyDescent="0.3">
      <c r="A890" s="18" t="s">
        <v>683</v>
      </c>
      <c r="B890" s="19">
        <v>45023</v>
      </c>
      <c r="C890" s="20">
        <v>0.41666666666666702</v>
      </c>
      <c r="D890" s="20">
        <v>0.420833333333333</v>
      </c>
      <c r="E890" s="20">
        <v>4.1666666666666501E-3</v>
      </c>
      <c r="F890" s="21" t="s">
        <v>690</v>
      </c>
      <c r="G890" t="s">
        <v>801</v>
      </c>
    </row>
    <row r="891" spans="1:7" x14ac:dyDescent="0.3">
      <c r="A891" s="18" t="s">
        <v>683</v>
      </c>
      <c r="B891" s="19">
        <v>45024</v>
      </c>
      <c r="C891" s="20">
        <v>0.37847222222222199</v>
      </c>
      <c r="D891" s="20">
        <v>0.38402777777777802</v>
      </c>
      <c r="E891" s="20">
        <v>5.5555555555555402E-3</v>
      </c>
      <c r="F891" s="21" t="s">
        <v>691</v>
      </c>
      <c r="G891" t="s">
        <v>803</v>
      </c>
    </row>
    <row r="892" spans="1:7" x14ac:dyDescent="0.3">
      <c r="A892" s="18" t="s">
        <v>683</v>
      </c>
      <c r="B892" s="19">
        <v>45026</v>
      </c>
      <c r="C892" s="20">
        <v>0.74722222222222201</v>
      </c>
      <c r="D892" s="20">
        <v>0.8125</v>
      </c>
      <c r="E892" s="20">
        <v>6.5277777777777796E-2</v>
      </c>
      <c r="F892" s="21" t="s">
        <v>685</v>
      </c>
      <c r="G892" t="s">
        <v>797</v>
      </c>
    </row>
    <row r="893" spans="1:7" x14ac:dyDescent="0.3">
      <c r="A893" s="18" t="s">
        <v>683</v>
      </c>
      <c r="B893" s="19">
        <v>45026</v>
      </c>
      <c r="C893" s="20">
        <v>0.79374999999999996</v>
      </c>
      <c r="D893" s="20">
        <v>0.875694444444444</v>
      </c>
      <c r="E893" s="20">
        <v>8.1944444444444403E-2</v>
      </c>
      <c r="F893" s="21" t="s">
        <v>685</v>
      </c>
      <c r="G893" t="s">
        <v>797</v>
      </c>
    </row>
    <row r="894" spans="1:7" x14ac:dyDescent="0.3">
      <c r="A894" s="18" t="s">
        <v>683</v>
      </c>
      <c r="B894" s="19">
        <v>45027</v>
      </c>
      <c r="C894" s="20">
        <v>0.46041666666666697</v>
      </c>
      <c r="D894" s="20">
        <v>0.46250000000000002</v>
      </c>
      <c r="E894" s="20">
        <v>2.08333333333327E-3</v>
      </c>
      <c r="F894" s="21" t="s">
        <v>692</v>
      </c>
      <c r="G894" t="s">
        <v>798</v>
      </c>
    </row>
    <row r="895" spans="1:7" x14ac:dyDescent="0.3">
      <c r="A895" s="18" t="s">
        <v>683</v>
      </c>
      <c r="B895" s="19">
        <v>45027</v>
      </c>
      <c r="C895" s="20">
        <v>0.74722222222222201</v>
      </c>
      <c r="D895" s="20">
        <v>0.8125</v>
      </c>
      <c r="E895" s="20">
        <v>6.5277777777777796E-2</v>
      </c>
      <c r="F895" s="21" t="s">
        <v>685</v>
      </c>
      <c r="G895" t="s">
        <v>798</v>
      </c>
    </row>
    <row r="896" spans="1:7" x14ac:dyDescent="0.3">
      <c r="A896" s="18" t="s">
        <v>683</v>
      </c>
      <c r="B896" s="19">
        <v>45027</v>
      </c>
      <c r="C896" s="20">
        <v>0.8125</v>
      </c>
      <c r="D896" s="20">
        <v>0.87708333333333299</v>
      </c>
      <c r="E896" s="20">
        <v>6.4583333333333298E-2</v>
      </c>
      <c r="F896" s="21" t="s">
        <v>685</v>
      </c>
      <c r="G896" t="s">
        <v>798</v>
      </c>
    </row>
    <row r="897" spans="1:7" x14ac:dyDescent="0.3">
      <c r="A897" s="18" t="s">
        <v>683</v>
      </c>
      <c r="B897" s="19">
        <v>45028</v>
      </c>
      <c r="C897" s="20">
        <v>0.74791666666666701</v>
      </c>
      <c r="D897" s="20">
        <v>0.8125</v>
      </c>
      <c r="E897" s="20">
        <v>6.4583333333333298E-2</v>
      </c>
      <c r="F897" s="21" t="s">
        <v>685</v>
      </c>
      <c r="G897" t="s">
        <v>799</v>
      </c>
    </row>
    <row r="898" spans="1:7" x14ac:dyDescent="0.3">
      <c r="A898" s="18" t="s">
        <v>683</v>
      </c>
      <c r="B898" s="19">
        <v>45028</v>
      </c>
      <c r="C898" s="20">
        <v>0.8125</v>
      </c>
      <c r="D898" s="20">
        <v>0.875</v>
      </c>
      <c r="E898" s="20">
        <v>6.25E-2</v>
      </c>
      <c r="F898" s="21" t="s">
        <v>685</v>
      </c>
      <c r="G898" t="s">
        <v>799</v>
      </c>
    </row>
    <row r="899" spans="1:7" x14ac:dyDescent="0.3">
      <c r="A899" s="18" t="s">
        <v>683</v>
      </c>
      <c r="B899" s="19">
        <v>45028</v>
      </c>
      <c r="C899" s="20">
        <v>0.875</v>
      </c>
      <c r="D899" s="20">
        <v>0.88958333333333295</v>
      </c>
      <c r="E899" s="20">
        <v>1.4583333333333399E-2</v>
      </c>
      <c r="F899" s="21" t="s">
        <v>693</v>
      </c>
      <c r="G899" t="s">
        <v>799</v>
      </c>
    </row>
    <row r="900" spans="1:7" x14ac:dyDescent="0.3">
      <c r="A900" s="18" t="s">
        <v>683</v>
      </c>
      <c r="B900" s="19">
        <v>45029</v>
      </c>
      <c r="C900" s="20">
        <v>0.74861111111111101</v>
      </c>
      <c r="D900" s="20">
        <v>0.8125</v>
      </c>
      <c r="E900" s="20">
        <v>6.3888888888888995E-2</v>
      </c>
      <c r="F900" s="21" t="s">
        <v>685</v>
      </c>
      <c r="G900" t="s">
        <v>800</v>
      </c>
    </row>
    <row r="901" spans="1:7" x14ac:dyDescent="0.3">
      <c r="A901" s="18" t="s">
        <v>683</v>
      </c>
      <c r="B901" s="19">
        <v>45029</v>
      </c>
      <c r="C901" s="20">
        <v>0.8125</v>
      </c>
      <c r="D901" s="20">
        <v>0.875</v>
      </c>
      <c r="E901" s="20">
        <v>6.25E-2</v>
      </c>
      <c r="F901" s="21" t="s">
        <v>685</v>
      </c>
      <c r="G901" t="s">
        <v>800</v>
      </c>
    </row>
    <row r="902" spans="1:7" x14ac:dyDescent="0.3">
      <c r="A902" s="18" t="s">
        <v>683</v>
      </c>
      <c r="B902" s="19">
        <v>45030</v>
      </c>
      <c r="C902" s="20">
        <v>0.74791666666666701</v>
      </c>
      <c r="D902" s="20">
        <v>0.8125</v>
      </c>
      <c r="E902" s="20">
        <v>6.4583333333333298E-2</v>
      </c>
      <c r="F902" s="21" t="s">
        <v>685</v>
      </c>
      <c r="G902" t="s">
        <v>801</v>
      </c>
    </row>
    <row r="903" spans="1:7" x14ac:dyDescent="0.3">
      <c r="A903" s="18" t="s">
        <v>683</v>
      </c>
      <c r="B903" s="19">
        <v>45030</v>
      </c>
      <c r="C903" s="20">
        <v>0.8125</v>
      </c>
      <c r="D903" s="20">
        <v>0.875</v>
      </c>
      <c r="E903" s="20">
        <v>6.25E-2</v>
      </c>
      <c r="F903" s="21" t="s">
        <v>685</v>
      </c>
      <c r="G903" t="s">
        <v>801</v>
      </c>
    </row>
    <row r="904" spans="1:7" x14ac:dyDescent="0.3">
      <c r="A904" s="18" t="s">
        <v>683</v>
      </c>
      <c r="B904" s="19">
        <v>45032</v>
      </c>
      <c r="C904" s="20">
        <v>0.99236111111111103</v>
      </c>
      <c r="D904" s="20">
        <v>0.99513888888888902</v>
      </c>
      <c r="E904" s="20">
        <v>2.7777777777777701E-3</v>
      </c>
      <c r="F904" s="21" t="s">
        <v>694</v>
      </c>
      <c r="G904" t="s">
        <v>802</v>
      </c>
    </row>
    <row r="905" spans="1:7" x14ac:dyDescent="0.3">
      <c r="A905" s="18" t="s">
        <v>683</v>
      </c>
      <c r="B905" s="19">
        <v>45033</v>
      </c>
      <c r="C905" s="20">
        <v>0.47847222222222202</v>
      </c>
      <c r="D905" s="20">
        <v>0.48055555555555601</v>
      </c>
      <c r="E905" s="20">
        <v>2.0833333333333801E-3</v>
      </c>
      <c r="F905" s="21" t="s">
        <v>695</v>
      </c>
      <c r="G905" t="s">
        <v>797</v>
      </c>
    </row>
    <row r="906" spans="1:7" x14ac:dyDescent="0.3">
      <c r="A906" s="18" t="s">
        <v>683</v>
      </c>
      <c r="B906" s="19">
        <v>45033</v>
      </c>
      <c r="C906" s="20">
        <v>0.484027777777778</v>
      </c>
      <c r="D906" s="20">
        <v>0.48819444444444399</v>
      </c>
      <c r="E906" s="20">
        <v>4.1666666666666501E-3</v>
      </c>
      <c r="F906" s="21" t="s">
        <v>695</v>
      </c>
      <c r="G906" t="s">
        <v>797</v>
      </c>
    </row>
    <row r="907" spans="1:7" x14ac:dyDescent="0.3">
      <c r="A907" s="18" t="s">
        <v>683</v>
      </c>
      <c r="B907" s="19">
        <v>45033</v>
      </c>
      <c r="C907" s="20">
        <v>0.49027777777777798</v>
      </c>
      <c r="D907" s="20">
        <v>0.50208333333333299</v>
      </c>
      <c r="E907" s="20">
        <v>1.18055555555555E-2</v>
      </c>
      <c r="F907" s="21" t="s">
        <v>695</v>
      </c>
      <c r="G907" t="s">
        <v>797</v>
      </c>
    </row>
    <row r="908" spans="1:7" x14ac:dyDescent="0.3">
      <c r="A908" s="18" t="s">
        <v>683</v>
      </c>
      <c r="B908" s="19">
        <v>45033</v>
      </c>
      <c r="C908" s="20">
        <v>0.50208333333333299</v>
      </c>
      <c r="D908" s="20">
        <v>0.50833333333333297</v>
      </c>
      <c r="E908" s="20">
        <v>6.2499999999999804E-3</v>
      </c>
      <c r="F908" s="21" t="s">
        <v>695</v>
      </c>
      <c r="G908" t="s">
        <v>797</v>
      </c>
    </row>
    <row r="909" spans="1:7" x14ac:dyDescent="0.3">
      <c r="A909" s="18" t="s">
        <v>683</v>
      </c>
      <c r="B909" s="19">
        <v>45033</v>
      </c>
      <c r="C909" s="20">
        <v>0.51805555555555605</v>
      </c>
      <c r="D909" s="20">
        <v>0.52083333333333304</v>
      </c>
      <c r="E909" s="20">
        <v>2.7777777777777701E-3</v>
      </c>
      <c r="F909" s="21" t="s">
        <v>695</v>
      </c>
      <c r="G909" t="s">
        <v>797</v>
      </c>
    </row>
    <row r="910" spans="1:7" x14ac:dyDescent="0.3">
      <c r="A910" s="18" t="s">
        <v>683</v>
      </c>
      <c r="B910" s="19">
        <v>45033</v>
      </c>
      <c r="C910" s="20">
        <v>0.74722222222222201</v>
      </c>
      <c r="D910" s="20">
        <v>0.8125</v>
      </c>
      <c r="E910" s="20">
        <v>6.5277777777777796E-2</v>
      </c>
      <c r="F910" s="21" t="s">
        <v>685</v>
      </c>
      <c r="G910" t="s">
        <v>797</v>
      </c>
    </row>
    <row r="911" spans="1:7" x14ac:dyDescent="0.3">
      <c r="A911" s="18" t="s">
        <v>683</v>
      </c>
      <c r="B911" s="19">
        <v>45033</v>
      </c>
      <c r="C911" s="20">
        <v>0.8125</v>
      </c>
      <c r="D911" s="20">
        <v>0.87638888888888899</v>
      </c>
      <c r="E911" s="20">
        <v>6.3888888888888995E-2</v>
      </c>
      <c r="F911" s="21" t="s">
        <v>685</v>
      </c>
      <c r="G911" t="s">
        <v>797</v>
      </c>
    </row>
    <row r="912" spans="1:7" x14ac:dyDescent="0.3">
      <c r="A912" s="18" t="s">
        <v>683</v>
      </c>
      <c r="B912" s="19">
        <v>45033</v>
      </c>
      <c r="C912" s="20">
        <v>4.4444444444444398E-2</v>
      </c>
      <c r="D912" s="20">
        <v>4.7916666666666698E-2</v>
      </c>
      <c r="E912" s="20">
        <v>3.4722222222222199E-3</v>
      </c>
      <c r="F912" s="21" t="s">
        <v>691</v>
      </c>
      <c r="G912" t="s">
        <v>797</v>
      </c>
    </row>
    <row r="913" spans="1:7" x14ac:dyDescent="0.3">
      <c r="A913" s="18" t="s">
        <v>683</v>
      </c>
      <c r="B913" s="19">
        <v>45034</v>
      </c>
      <c r="C913" s="20">
        <v>0.11874999999999999</v>
      </c>
      <c r="D913" s="20">
        <v>0.120833333333333</v>
      </c>
      <c r="E913" s="20">
        <v>2.0833333333333298E-3</v>
      </c>
      <c r="F913" s="21" t="s">
        <v>695</v>
      </c>
      <c r="G913" t="s">
        <v>798</v>
      </c>
    </row>
    <row r="914" spans="1:7" x14ac:dyDescent="0.3">
      <c r="A914" s="18" t="s">
        <v>683</v>
      </c>
      <c r="B914" s="19">
        <v>45034</v>
      </c>
      <c r="C914" s="20">
        <v>0.47847222222222202</v>
      </c>
      <c r="D914" s="20">
        <v>0.48055555555555601</v>
      </c>
      <c r="E914" s="20">
        <v>2.0833333333333801E-3</v>
      </c>
      <c r="F914" s="21" t="s">
        <v>695</v>
      </c>
      <c r="G914" t="s">
        <v>798</v>
      </c>
    </row>
    <row r="915" spans="1:7" x14ac:dyDescent="0.3">
      <c r="A915" s="18" t="s">
        <v>683</v>
      </c>
      <c r="B915" s="19">
        <v>45034</v>
      </c>
      <c r="C915" s="20">
        <v>0.484027777777778</v>
      </c>
      <c r="D915" s="20">
        <v>0.48819444444444399</v>
      </c>
      <c r="E915" s="20">
        <v>4.1666666666666501E-3</v>
      </c>
      <c r="F915" s="21" t="s">
        <v>695</v>
      </c>
      <c r="G915" t="s">
        <v>798</v>
      </c>
    </row>
    <row r="916" spans="1:7" x14ac:dyDescent="0.3">
      <c r="A916" s="18" t="s">
        <v>683</v>
      </c>
      <c r="B916" s="19">
        <v>45034</v>
      </c>
      <c r="C916" s="20">
        <v>0.49027777777777798</v>
      </c>
      <c r="D916" s="20">
        <v>0.50208333333333299</v>
      </c>
      <c r="E916" s="20">
        <v>1.18055555555555E-2</v>
      </c>
      <c r="F916" s="21" t="s">
        <v>695</v>
      </c>
      <c r="G916" t="s">
        <v>798</v>
      </c>
    </row>
    <row r="917" spans="1:7" x14ac:dyDescent="0.3">
      <c r="A917" s="18" t="s">
        <v>683</v>
      </c>
      <c r="B917" s="19">
        <v>45034</v>
      </c>
      <c r="C917" s="20">
        <v>0.50208333333333299</v>
      </c>
      <c r="D917" s="20">
        <v>0.50833333333333297</v>
      </c>
      <c r="E917" s="20">
        <v>6.2499999999999804E-3</v>
      </c>
      <c r="F917" s="21" t="s">
        <v>695</v>
      </c>
      <c r="G917" t="s">
        <v>798</v>
      </c>
    </row>
    <row r="918" spans="1:7" x14ac:dyDescent="0.3">
      <c r="A918" s="18" t="s">
        <v>683</v>
      </c>
      <c r="B918" s="19">
        <v>45034</v>
      </c>
      <c r="C918" s="20">
        <v>0.51805555555555605</v>
      </c>
      <c r="D918" s="20">
        <v>0.52083333333333304</v>
      </c>
      <c r="E918" s="20">
        <v>2.7777777777777701E-3</v>
      </c>
      <c r="F918" s="21" t="s">
        <v>695</v>
      </c>
      <c r="G918" t="s">
        <v>798</v>
      </c>
    </row>
    <row r="919" spans="1:7" x14ac:dyDescent="0.3">
      <c r="A919" s="18" t="s">
        <v>683</v>
      </c>
      <c r="B919" s="19">
        <v>45034</v>
      </c>
      <c r="C919" s="20">
        <v>0.74652777777777801</v>
      </c>
      <c r="D919" s="20">
        <v>0.8125</v>
      </c>
      <c r="E919" s="20">
        <v>6.5972222222222196E-2</v>
      </c>
      <c r="F919" s="21" t="s">
        <v>685</v>
      </c>
      <c r="G919" t="s">
        <v>798</v>
      </c>
    </row>
    <row r="920" spans="1:7" x14ac:dyDescent="0.3">
      <c r="A920" s="18" t="s">
        <v>683</v>
      </c>
      <c r="B920" s="19">
        <v>45034</v>
      </c>
      <c r="C920" s="20">
        <v>0.8125</v>
      </c>
      <c r="D920" s="20">
        <v>0.87708333333333299</v>
      </c>
      <c r="E920" s="20">
        <v>6.4583333333333298E-2</v>
      </c>
      <c r="F920" s="21" t="s">
        <v>685</v>
      </c>
      <c r="G920" t="s">
        <v>798</v>
      </c>
    </row>
    <row r="921" spans="1:7" x14ac:dyDescent="0.3">
      <c r="A921" s="18" t="s">
        <v>683</v>
      </c>
      <c r="B921" s="19">
        <v>45035</v>
      </c>
      <c r="C921" s="20">
        <v>0.11874999999999999</v>
      </c>
      <c r="D921" s="20">
        <v>0.120833333333333</v>
      </c>
      <c r="E921" s="20">
        <v>2.0833333333333298E-3</v>
      </c>
      <c r="F921" s="21" t="s">
        <v>695</v>
      </c>
      <c r="G921" t="s">
        <v>799</v>
      </c>
    </row>
    <row r="922" spans="1:7" x14ac:dyDescent="0.3">
      <c r="A922" s="18" t="s">
        <v>683</v>
      </c>
      <c r="B922" s="19">
        <v>45035</v>
      </c>
      <c r="C922" s="20">
        <v>0.74756944444444395</v>
      </c>
      <c r="D922" s="20">
        <v>0.8125</v>
      </c>
      <c r="E922" s="20">
        <v>6.4930555555555602E-2</v>
      </c>
      <c r="F922" s="21" t="s">
        <v>685</v>
      </c>
      <c r="G922" t="s">
        <v>799</v>
      </c>
    </row>
    <row r="923" spans="1:7" x14ac:dyDescent="0.3">
      <c r="A923" s="18" t="s">
        <v>683</v>
      </c>
      <c r="B923" s="19">
        <v>45035</v>
      </c>
      <c r="C923" s="20">
        <v>0.8125</v>
      </c>
      <c r="D923" s="20">
        <v>0.875694444444444</v>
      </c>
      <c r="E923" s="20">
        <v>6.31944444444444E-2</v>
      </c>
      <c r="F923" s="21" t="s">
        <v>685</v>
      </c>
      <c r="G923" t="s">
        <v>799</v>
      </c>
    </row>
    <row r="924" spans="1:7" x14ac:dyDescent="0.3">
      <c r="A924" s="18" t="s">
        <v>683</v>
      </c>
      <c r="B924" s="19">
        <v>45035</v>
      </c>
      <c r="C924" s="20">
        <v>0.97152777777777799</v>
      </c>
      <c r="D924" s="20">
        <v>0.97430555555555598</v>
      </c>
      <c r="E924" s="20">
        <v>2.7777777777777701E-3</v>
      </c>
      <c r="F924" s="21" t="s">
        <v>695</v>
      </c>
      <c r="G924" t="s">
        <v>799</v>
      </c>
    </row>
    <row r="925" spans="1:7" x14ac:dyDescent="0.3">
      <c r="A925" s="18" t="s">
        <v>683</v>
      </c>
      <c r="B925" s="19">
        <v>45036</v>
      </c>
      <c r="C925" s="20">
        <v>6.31944444444444E-2</v>
      </c>
      <c r="D925" s="20">
        <v>6.5972222222222196E-2</v>
      </c>
      <c r="E925" s="20">
        <v>2.7777777777777801E-3</v>
      </c>
      <c r="F925" s="21" t="s">
        <v>695</v>
      </c>
      <c r="G925" t="s">
        <v>800</v>
      </c>
    </row>
    <row r="926" spans="1:7" x14ac:dyDescent="0.3">
      <c r="A926" s="18" t="s">
        <v>683</v>
      </c>
      <c r="B926" s="19">
        <v>45036</v>
      </c>
      <c r="C926" s="20">
        <v>0.114583333333333</v>
      </c>
      <c r="D926" s="20">
        <v>0.116666666666667</v>
      </c>
      <c r="E926" s="20">
        <v>2.0833333333333298E-3</v>
      </c>
      <c r="F926" s="21" t="s">
        <v>695</v>
      </c>
      <c r="G926" t="s">
        <v>800</v>
      </c>
    </row>
    <row r="927" spans="1:7" x14ac:dyDescent="0.3">
      <c r="A927" s="18" t="s">
        <v>683</v>
      </c>
      <c r="B927" s="19">
        <v>45036</v>
      </c>
      <c r="C927" s="20">
        <v>0.15902777777777799</v>
      </c>
      <c r="D927" s="20">
        <v>0.16180555555555601</v>
      </c>
      <c r="E927" s="20">
        <v>2.7777777777778E-3</v>
      </c>
      <c r="F927" s="21" t="s">
        <v>695</v>
      </c>
      <c r="G927" t="s">
        <v>800</v>
      </c>
    </row>
    <row r="928" spans="1:7" x14ac:dyDescent="0.3">
      <c r="A928" s="18" t="s">
        <v>683</v>
      </c>
      <c r="B928" s="19">
        <v>45036</v>
      </c>
      <c r="C928" s="20">
        <v>0.20902777777777801</v>
      </c>
      <c r="D928" s="20">
        <v>0.21249999999999999</v>
      </c>
      <c r="E928" s="20">
        <v>3.4722222222222099E-3</v>
      </c>
      <c r="F928" s="21" t="s">
        <v>695</v>
      </c>
      <c r="G928" t="s">
        <v>800</v>
      </c>
    </row>
    <row r="929" spans="1:7" x14ac:dyDescent="0.3">
      <c r="A929" s="18" t="s">
        <v>683</v>
      </c>
      <c r="B929" s="19">
        <v>45036</v>
      </c>
      <c r="C929" s="20">
        <v>0.74861111111111101</v>
      </c>
      <c r="D929" s="20">
        <v>0.8125</v>
      </c>
      <c r="E929" s="20">
        <v>6.3888888888888995E-2</v>
      </c>
      <c r="F929" s="21" t="s">
        <v>685</v>
      </c>
      <c r="G929" t="s">
        <v>800</v>
      </c>
    </row>
    <row r="930" spans="1:7" x14ac:dyDescent="0.3">
      <c r="A930" s="18" t="s">
        <v>683</v>
      </c>
      <c r="B930" s="19">
        <v>45037</v>
      </c>
      <c r="C930" s="20">
        <v>6.31944444444444E-2</v>
      </c>
      <c r="D930" s="20">
        <v>6.5972222222222196E-2</v>
      </c>
      <c r="E930" s="20">
        <v>2.7777777777777801E-3</v>
      </c>
      <c r="F930" s="21" t="s">
        <v>695</v>
      </c>
      <c r="G930" t="s">
        <v>801</v>
      </c>
    </row>
    <row r="931" spans="1:7" x14ac:dyDescent="0.3">
      <c r="A931" s="18" t="s">
        <v>683</v>
      </c>
      <c r="B931" s="19">
        <v>45037</v>
      </c>
      <c r="C931" s="20">
        <v>0.114583333333333</v>
      </c>
      <c r="D931" s="20">
        <v>0.116666666666667</v>
      </c>
      <c r="E931" s="20">
        <v>2.0833333333333298E-3</v>
      </c>
      <c r="F931" s="21" t="s">
        <v>695</v>
      </c>
      <c r="G931" t="s">
        <v>801</v>
      </c>
    </row>
    <row r="932" spans="1:7" x14ac:dyDescent="0.3">
      <c r="A932" s="18" t="s">
        <v>683</v>
      </c>
      <c r="B932" s="19">
        <v>45037</v>
      </c>
      <c r="C932" s="20">
        <v>0.15902777777777799</v>
      </c>
      <c r="D932" s="20">
        <v>0.16180555555555601</v>
      </c>
      <c r="E932" s="20">
        <v>2.7777777777778E-3</v>
      </c>
      <c r="F932" s="21" t="s">
        <v>695</v>
      </c>
      <c r="G932" t="s">
        <v>801</v>
      </c>
    </row>
    <row r="933" spans="1:7" x14ac:dyDescent="0.3">
      <c r="A933" s="18" t="s">
        <v>683</v>
      </c>
      <c r="B933" s="19">
        <v>45037</v>
      </c>
      <c r="C933" s="20">
        <v>0.20902777777777801</v>
      </c>
      <c r="D933" s="20">
        <v>0.21249999999999999</v>
      </c>
      <c r="E933" s="20">
        <v>3.4722222222222099E-3</v>
      </c>
      <c r="F933" s="21" t="s">
        <v>695</v>
      </c>
      <c r="G933" t="s">
        <v>801</v>
      </c>
    </row>
    <row r="934" spans="1:7" x14ac:dyDescent="0.3">
      <c r="A934" s="18" t="s">
        <v>683</v>
      </c>
      <c r="B934" s="19">
        <v>45037</v>
      </c>
      <c r="C934" s="20">
        <v>0.28125</v>
      </c>
      <c r="D934" s="20">
        <v>0.28333333333333299</v>
      </c>
      <c r="E934" s="20">
        <v>2.0833333333333298E-3</v>
      </c>
      <c r="F934" s="21" t="s">
        <v>695</v>
      </c>
      <c r="G934" t="s">
        <v>801</v>
      </c>
    </row>
    <row r="935" spans="1:7" x14ac:dyDescent="0.3">
      <c r="A935" s="18" t="s">
        <v>683</v>
      </c>
      <c r="B935" s="19">
        <v>45038</v>
      </c>
      <c r="C935" s="20">
        <v>0.1125</v>
      </c>
      <c r="D935" s="20">
        <v>0.120833333333333</v>
      </c>
      <c r="E935" s="20">
        <v>8.3333333333333297E-3</v>
      </c>
      <c r="F935" s="21" t="s">
        <v>696</v>
      </c>
      <c r="G935" t="s">
        <v>803</v>
      </c>
    </row>
    <row r="936" spans="1:7" x14ac:dyDescent="0.3">
      <c r="A936" s="18" t="s">
        <v>683</v>
      </c>
      <c r="B936" s="19">
        <v>45039</v>
      </c>
      <c r="C936" s="20">
        <v>0.1125</v>
      </c>
      <c r="D936" s="20">
        <v>0.120833333333333</v>
      </c>
      <c r="E936" s="20">
        <v>8.3333333333333297E-3</v>
      </c>
      <c r="F936" s="21" t="s">
        <v>696</v>
      </c>
      <c r="G936" t="s">
        <v>802</v>
      </c>
    </row>
    <row r="937" spans="1:7" x14ac:dyDescent="0.3">
      <c r="A937" s="18" t="s">
        <v>683</v>
      </c>
      <c r="B937" s="19">
        <v>45040</v>
      </c>
      <c r="C937" s="20">
        <v>0.74791666666666701</v>
      </c>
      <c r="D937" s="20">
        <v>0.8125</v>
      </c>
      <c r="E937" s="20">
        <v>6.4583333333333298E-2</v>
      </c>
      <c r="F937" s="21" t="s">
        <v>685</v>
      </c>
      <c r="G937" t="s">
        <v>797</v>
      </c>
    </row>
    <row r="938" spans="1:7" x14ac:dyDescent="0.3">
      <c r="A938" s="18" t="s">
        <v>683</v>
      </c>
      <c r="B938" s="19">
        <v>45040</v>
      </c>
      <c r="C938" s="20">
        <v>0.8125</v>
      </c>
      <c r="D938" s="20">
        <v>0.87534722222222205</v>
      </c>
      <c r="E938" s="20">
        <v>6.2847222222222193E-2</v>
      </c>
      <c r="F938" s="21" t="s">
        <v>685</v>
      </c>
      <c r="G938" t="s">
        <v>797</v>
      </c>
    </row>
    <row r="939" spans="1:7" x14ac:dyDescent="0.3">
      <c r="A939" s="18" t="s">
        <v>683</v>
      </c>
      <c r="B939" s="19">
        <v>45041</v>
      </c>
      <c r="C939" s="20">
        <v>0.74722222222222201</v>
      </c>
      <c r="D939" s="20">
        <v>0.8125</v>
      </c>
      <c r="E939" s="20">
        <v>6.5277777777777796E-2</v>
      </c>
      <c r="F939" s="21" t="s">
        <v>685</v>
      </c>
      <c r="G939" t="s">
        <v>798</v>
      </c>
    </row>
    <row r="940" spans="1:7" x14ac:dyDescent="0.3">
      <c r="A940" s="18" t="s">
        <v>683</v>
      </c>
      <c r="B940" s="19">
        <v>45041</v>
      </c>
      <c r="C940" s="20">
        <v>0.8125</v>
      </c>
      <c r="D940" s="20">
        <v>0.875694444444444</v>
      </c>
      <c r="E940" s="20">
        <v>6.31944444444444E-2</v>
      </c>
      <c r="F940" s="21" t="s">
        <v>685</v>
      </c>
      <c r="G940" t="s">
        <v>798</v>
      </c>
    </row>
    <row r="941" spans="1:7" x14ac:dyDescent="0.3">
      <c r="A941" s="18" t="s">
        <v>683</v>
      </c>
      <c r="B941" s="19">
        <v>45042</v>
      </c>
      <c r="C941" s="20">
        <v>0.74722222222222201</v>
      </c>
      <c r="D941" s="20">
        <v>0.8125</v>
      </c>
      <c r="E941" s="20">
        <v>6.5277777777777796E-2</v>
      </c>
      <c r="F941" s="21" t="s">
        <v>685</v>
      </c>
      <c r="G941" t="s">
        <v>799</v>
      </c>
    </row>
    <row r="942" spans="1:7" x14ac:dyDescent="0.3">
      <c r="A942" s="18" t="s">
        <v>683</v>
      </c>
      <c r="B942" s="19">
        <v>45042</v>
      </c>
      <c r="C942" s="20">
        <v>0.8125</v>
      </c>
      <c r="D942" s="20">
        <v>0.875694444444444</v>
      </c>
      <c r="E942" s="20">
        <v>6.31944444444444E-2</v>
      </c>
      <c r="F942" s="21" t="s">
        <v>685</v>
      </c>
      <c r="G942" t="s">
        <v>799</v>
      </c>
    </row>
    <row r="943" spans="1:7" x14ac:dyDescent="0.3">
      <c r="A943" s="18" t="s">
        <v>683</v>
      </c>
      <c r="B943" s="19">
        <v>45043</v>
      </c>
      <c r="C943" s="20">
        <v>0.74791666666666701</v>
      </c>
      <c r="D943" s="20">
        <v>0.8125</v>
      </c>
      <c r="E943" s="20">
        <v>6.4583333333333298E-2</v>
      </c>
      <c r="F943" s="21" t="s">
        <v>685</v>
      </c>
      <c r="G943" t="s">
        <v>800</v>
      </c>
    </row>
    <row r="944" spans="1:7" x14ac:dyDescent="0.3">
      <c r="A944" s="18" t="s">
        <v>683</v>
      </c>
      <c r="B944" s="19">
        <v>45043</v>
      </c>
      <c r="C944" s="20">
        <v>0.8125</v>
      </c>
      <c r="D944" s="20">
        <v>0.87847222222222199</v>
      </c>
      <c r="E944" s="20">
        <v>6.5972222222222196E-2</v>
      </c>
      <c r="F944" s="21" t="s">
        <v>685</v>
      </c>
      <c r="G944" t="s">
        <v>800</v>
      </c>
    </row>
    <row r="945" spans="1:7" x14ac:dyDescent="0.3">
      <c r="A945" s="18" t="s">
        <v>683</v>
      </c>
      <c r="B945" s="19">
        <v>45044</v>
      </c>
      <c r="C945" s="20">
        <v>0.375694444444444</v>
      </c>
      <c r="D945" s="20">
        <v>0.37986111111111098</v>
      </c>
      <c r="E945" s="20">
        <v>4.1666666666666501E-3</v>
      </c>
      <c r="F945" s="21" t="s">
        <v>695</v>
      </c>
      <c r="G945" t="s">
        <v>801</v>
      </c>
    </row>
    <row r="946" spans="1:7" x14ac:dyDescent="0.3">
      <c r="A946" s="18" t="s">
        <v>683</v>
      </c>
      <c r="B946" s="19">
        <v>45044</v>
      </c>
      <c r="C946" s="20">
        <v>0.59097222222222201</v>
      </c>
      <c r="D946" s="20">
        <v>0.59861111111111098</v>
      </c>
      <c r="E946" s="20">
        <v>7.63888888888886E-3</v>
      </c>
      <c r="F946" s="21" t="s">
        <v>691</v>
      </c>
      <c r="G946" t="s">
        <v>801</v>
      </c>
    </row>
    <row r="947" spans="1:7" x14ac:dyDescent="0.3">
      <c r="A947" s="18" t="s">
        <v>683</v>
      </c>
      <c r="B947" s="19">
        <v>45044</v>
      </c>
      <c r="C947" s="20">
        <v>0.74722222222222201</v>
      </c>
      <c r="D947" s="20">
        <v>0.8125</v>
      </c>
      <c r="E947" s="20">
        <v>6.5277777777777796E-2</v>
      </c>
      <c r="F947" s="21" t="s">
        <v>685</v>
      </c>
      <c r="G947" t="s">
        <v>801</v>
      </c>
    </row>
    <row r="948" spans="1:7" x14ac:dyDescent="0.3">
      <c r="A948" s="18" t="s">
        <v>683</v>
      </c>
      <c r="B948" s="19">
        <v>45044</v>
      </c>
      <c r="C948" s="20">
        <v>0.8125</v>
      </c>
      <c r="D948" s="20">
        <v>0.875694444444444</v>
      </c>
      <c r="E948" s="20">
        <v>6.31944444444444E-2</v>
      </c>
      <c r="F948" s="21" t="s">
        <v>685</v>
      </c>
      <c r="G948" t="s">
        <v>801</v>
      </c>
    </row>
    <row r="949" spans="1:7" x14ac:dyDescent="0.3">
      <c r="A949" s="18" t="s">
        <v>683</v>
      </c>
      <c r="B949" s="19">
        <v>45045</v>
      </c>
      <c r="C949" s="20">
        <v>0.57847222222222205</v>
      </c>
      <c r="D949" s="20">
        <v>0.58194444444444404</v>
      </c>
      <c r="E949" s="20">
        <v>3.47222222222232E-3</v>
      </c>
      <c r="F949" s="21" t="s">
        <v>697</v>
      </c>
      <c r="G949" t="s">
        <v>803</v>
      </c>
    </row>
    <row r="950" spans="1:7" x14ac:dyDescent="0.3">
      <c r="A950" s="18" t="s">
        <v>683</v>
      </c>
      <c r="B950" s="19">
        <v>45045</v>
      </c>
      <c r="C950" s="20">
        <v>0.61666666666666703</v>
      </c>
      <c r="D950" s="20">
        <v>0.79444444444444395</v>
      </c>
      <c r="E950" s="20">
        <v>0.17777777777777801</v>
      </c>
      <c r="F950" s="21" t="s">
        <v>698</v>
      </c>
      <c r="G950" t="s">
        <v>803</v>
      </c>
    </row>
    <row r="951" spans="1:7" x14ac:dyDescent="0.3">
      <c r="A951" s="18" t="s">
        <v>683</v>
      </c>
      <c r="B951" s="19">
        <v>45045</v>
      </c>
      <c r="C951" s="20">
        <v>0.97638888888888897</v>
      </c>
      <c r="D951" s="20">
        <v>0.99305555555555503</v>
      </c>
      <c r="E951" s="20">
        <v>1.6666666666666601E-2</v>
      </c>
      <c r="F951" s="21" t="s">
        <v>699</v>
      </c>
      <c r="G951" t="s">
        <v>803</v>
      </c>
    </row>
    <row r="952" spans="1:7" x14ac:dyDescent="0.3">
      <c r="A952" s="18" t="s">
        <v>700</v>
      </c>
      <c r="B952" s="19">
        <v>45017</v>
      </c>
      <c r="C952" s="20">
        <v>0.178472222222222</v>
      </c>
      <c r="D952" s="20">
        <v>0.18333333333333299</v>
      </c>
      <c r="E952" s="20">
        <v>4.8611111111111199E-3</v>
      </c>
      <c r="F952" s="21" t="s">
        <v>701</v>
      </c>
      <c r="G952" t="s">
        <v>803</v>
      </c>
    </row>
    <row r="953" spans="1:7" x14ac:dyDescent="0.3">
      <c r="A953" s="18" t="s">
        <v>700</v>
      </c>
      <c r="B953" s="19">
        <v>45017</v>
      </c>
      <c r="C953" s="20">
        <v>0.195833333333333</v>
      </c>
      <c r="D953" s="20">
        <v>0.20486111111111099</v>
      </c>
      <c r="E953" s="20">
        <v>9.0277777777777995E-3</v>
      </c>
      <c r="F953" s="21" t="s">
        <v>701</v>
      </c>
      <c r="G953" t="s">
        <v>803</v>
      </c>
    </row>
    <row r="954" spans="1:7" x14ac:dyDescent="0.3">
      <c r="A954" s="18" t="s">
        <v>700</v>
      </c>
      <c r="B954" s="19">
        <v>45017</v>
      </c>
      <c r="C954" s="20">
        <v>0.52013888888888904</v>
      </c>
      <c r="D954" s="20">
        <v>0.52361111111111103</v>
      </c>
      <c r="E954" s="20">
        <v>3.47222222222232E-3</v>
      </c>
      <c r="F954" s="21" t="s">
        <v>702</v>
      </c>
      <c r="G954" t="s">
        <v>803</v>
      </c>
    </row>
    <row r="955" spans="1:7" x14ac:dyDescent="0.3">
      <c r="A955" s="18" t="s">
        <v>700</v>
      </c>
      <c r="B955" s="19">
        <v>45017</v>
      </c>
      <c r="C955" s="20">
        <v>0.625694444444444</v>
      </c>
      <c r="D955" s="20">
        <v>0.62916666666666698</v>
      </c>
      <c r="E955" s="20">
        <v>3.4722222222222099E-3</v>
      </c>
      <c r="F955" s="21" t="s">
        <v>688</v>
      </c>
      <c r="G955" t="s">
        <v>803</v>
      </c>
    </row>
    <row r="956" spans="1:7" x14ac:dyDescent="0.3">
      <c r="A956" s="18" t="s">
        <v>700</v>
      </c>
      <c r="B956" s="19">
        <v>45018</v>
      </c>
      <c r="C956" s="20">
        <v>0.84027777777777801</v>
      </c>
      <c r="D956" s="20">
        <v>0.86805555555555503</v>
      </c>
      <c r="E956" s="20">
        <v>2.77777777777777E-2</v>
      </c>
      <c r="F956" s="21" t="s">
        <v>703</v>
      </c>
      <c r="G956" t="s">
        <v>802</v>
      </c>
    </row>
    <row r="957" spans="1:7" x14ac:dyDescent="0.3">
      <c r="A957" s="18" t="s">
        <v>700</v>
      </c>
      <c r="B957" s="19">
        <v>45018</v>
      </c>
      <c r="C957" s="20">
        <v>0.84027777777777801</v>
      </c>
      <c r="D957" s="20">
        <v>0.88888888888888895</v>
      </c>
      <c r="E957" s="20">
        <v>4.8611111111111001E-2</v>
      </c>
      <c r="F957" s="21" t="s">
        <v>704</v>
      </c>
      <c r="G957" t="s">
        <v>802</v>
      </c>
    </row>
    <row r="958" spans="1:7" x14ac:dyDescent="0.3">
      <c r="A958" s="18" t="s">
        <v>700</v>
      </c>
      <c r="B958" s="19">
        <v>45019</v>
      </c>
      <c r="C958" s="20">
        <v>0.74791666666666701</v>
      </c>
      <c r="D958" s="20">
        <v>0.8125</v>
      </c>
      <c r="E958" s="20">
        <v>6.4583333333333298E-2</v>
      </c>
      <c r="F958" s="21" t="s">
        <v>685</v>
      </c>
      <c r="G958" t="s">
        <v>797</v>
      </c>
    </row>
    <row r="959" spans="1:7" x14ac:dyDescent="0.3">
      <c r="A959" s="18" t="s">
        <v>700</v>
      </c>
      <c r="B959" s="19">
        <v>45019</v>
      </c>
      <c r="C959" s="20">
        <v>0.8125</v>
      </c>
      <c r="D959" s="20">
        <v>0.875</v>
      </c>
      <c r="E959" s="20">
        <v>6.25E-2</v>
      </c>
      <c r="F959" s="21" t="s">
        <v>685</v>
      </c>
      <c r="G959" t="s">
        <v>797</v>
      </c>
    </row>
    <row r="960" spans="1:7" x14ac:dyDescent="0.3">
      <c r="A960" s="18" t="s">
        <v>700</v>
      </c>
      <c r="B960" s="19">
        <v>45019</v>
      </c>
      <c r="C960" s="20">
        <v>0.875</v>
      </c>
      <c r="D960" s="20">
        <v>0.89722222222222203</v>
      </c>
      <c r="E960" s="20">
        <v>2.2222222222222299E-2</v>
      </c>
      <c r="F960" s="21" t="s">
        <v>705</v>
      </c>
      <c r="G960" t="s">
        <v>797</v>
      </c>
    </row>
    <row r="961" spans="1:7" x14ac:dyDescent="0.3">
      <c r="A961" s="18" t="s">
        <v>700</v>
      </c>
      <c r="B961" s="19">
        <v>45020</v>
      </c>
      <c r="C961" s="20">
        <v>0.74861111111111101</v>
      </c>
      <c r="D961" s="20">
        <v>0.8125</v>
      </c>
      <c r="E961" s="20">
        <v>6.3888888888888995E-2</v>
      </c>
      <c r="F961" s="21" t="s">
        <v>685</v>
      </c>
      <c r="G961" t="s">
        <v>798</v>
      </c>
    </row>
    <row r="962" spans="1:7" x14ac:dyDescent="0.3">
      <c r="A962" s="18" t="s">
        <v>700</v>
      </c>
      <c r="B962" s="19">
        <v>45020</v>
      </c>
      <c r="C962" s="20">
        <v>0.8125</v>
      </c>
      <c r="D962" s="20">
        <v>0.87777777777777799</v>
      </c>
      <c r="E962" s="20">
        <v>6.5277777777777796E-2</v>
      </c>
      <c r="F962" s="21" t="s">
        <v>685</v>
      </c>
      <c r="G962" t="s">
        <v>798</v>
      </c>
    </row>
    <row r="963" spans="1:7" x14ac:dyDescent="0.3">
      <c r="A963" s="18" t="s">
        <v>700</v>
      </c>
      <c r="B963" s="19">
        <v>45022</v>
      </c>
      <c r="C963" s="20">
        <v>0.51736111111111105</v>
      </c>
      <c r="D963" s="20">
        <v>0.52083333333333304</v>
      </c>
      <c r="E963" s="20">
        <v>3.47222222222232E-3</v>
      </c>
      <c r="F963" s="21" t="s">
        <v>684</v>
      </c>
      <c r="G963" t="s">
        <v>800</v>
      </c>
    </row>
    <row r="964" spans="1:7" x14ac:dyDescent="0.3">
      <c r="A964" s="18" t="s">
        <v>700</v>
      </c>
      <c r="B964" s="19">
        <v>45022</v>
      </c>
      <c r="C964" s="20">
        <v>0.58263888888888904</v>
      </c>
      <c r="D964" s="20">
        <v>0.58472222222222203</v>
      </c>
      <c r="E964" s="20">
        <v>2.08333333333344E-3</v>
      </c>
      <c r="F964" s="21" t="s">
        <v>706</v>
      </c>
      <c r="G964" t="s">
        <v>800</v>
      </c>
    </row>
    <row r="965" spans="1:7" x14ac:dyDescent="0.3">
      <c r="A965" s="18" t="s">
        <v>700</v>
      </c>
      <c r="B965" s="19">
        <v>45022</v>
      </c>
      <c r="C965" s="20">
        <v>0.74861111111111101</v>
      </c>
      <c r="D965" s="20">
        <v>0.8125</v>
      </c>
      <c r="E965" s="20">
        <v>6.3888888888888995E-2</v>
      </c>
      <c r="F965" s="21" t="s">
        <v>685</v>
      </c>
      <c r="G965" t="s">
        <v>800</v>
      </c>
    </row>
    <row r="966" spans="1:7" x14ac:dyDescent="0.3">
      <c r="A966" s="18" t="s">
        <v>700</v>
      </c>
      <c r="B966" s="19">
        <v>45022</v>
      </c>
      <c r="C966" s="20">
        <v>0.8125</v>
      </c>
      <c r="D966" s="20">
        <v>0.88124999999999998</v>
      </c>
      <c r="E966" s="20">
        <v>6.8750000000000006E-2</v>
      </c>
      <c r="F966" s="21" t="s">
        <v>685</v>
      </c>
      <c r="G966" t="s">
        <v>800</v>
      </c>
    </row>
    <row r="967" spans="1:7" x14ac:dyDescent="0.3">
      <c r="A967" s="18" t="s">
        <v>700</v>
      </c>
      <c r="B967" s="19">
        <v>45023</v>
      </c>
      <c r="C967" s="20">
        <v>0.38888888888888901</v>
      </c>
      <c r="D967" s="20">
        <v>0.40138888888888902</v>
      </c>
      <c r="E967" s="20">
        <v>1.2500000000000001E-2</v>
      </c>
      <c r="F967" s="21" t="s">
        <v>707</v>
      </c>
      <c r="G967" t="s">
        <v>801</v>
      </c>
    </row>
    <row r="968" spans="1:7" x14ac:dyDescent="0.3">
      <c r="A968" s="18" t="s">
        <v>700</v>
      </c>
      <c r="B968" s="19">
        <v>45023</v>
      </c>
      <c r="C968" s="20">
        <v>0.8125</v>
      </c>
      <c r="D968" s="20">
        <v>0.81458333333333299</v>
      </c>
      <c r="E968" s="20">
        <v>2.0833333333333298E-3</v>
      </c>
      <c r="F968" s="21" t="s">
        <v>708</v>
      </c>
      <c r="G968" t="s">
        <v>801</v>
      </c>
    </row>
    <row r="969" spans="1:7" x14ac:dyDescent="0.3">
      <c r="A969" s="18" t="s">
        <v>700</v>
      </c>
      <c r="B969" s="19">
        <v>45024</v>
      </c>
      <c r="C969" s="20">
        <v>0.51041666666666696</v>
      </c>
      <c r="D969" s="20">
        <v>0.51319444444444395</v>
      </c>
      <c r="E969" s="20">
        <v>2.7777777777777701E-3</v>
      </c>
      <c r="F969" s="21" t="s">
        <v>707</v>
      </c>
      <c r="G969" t="s">
        <v>803</v>
      </c>
    </row>
    <row r="970" spans="1:7" x14ac:dyDescent="0.3">
      <c r="A970" s="18" t="s">
        <v>700</v>
      </c>
      <c r="B970" s="19">
        <v>45024</v>
      </c>
      <c r="C970" s="20">
        <v>0.86111111111111105</v>
      </c>
      <c r="D970" s="20">
        <v>0.87638888888888899</v>
      </c>
      <c r="E970" s="20">
        <v>1.52777777777778E-2</v>
      </c>
      <c r="F970" s="21" t="s">
        <v>691</v>
      </c>
      <c r="G970" t="s">
        <v>803</v>
      </c>
    </row>
    <row r="971" spans="1:7" x14ac:dyDescent="0.3">
      <c r="A971" s="18" t="s">
        <v>700</v>
      </c>
      <c r="B971" s="19">
        <v>45026</v>
      </c>
      <c r="C971" s="20">
        <v>0.74791666666666701</v>
      </c>
      <c r="D971" s="20">
        <v>0.8125</v>
      </c>
      <c r="E971" s="20">
        <v>6.4583333333333298E-2</v>
      </c>
      <c r="F971" s="21" t="s">
        <v>685</v>
      </c>
      <c r="G971" t="s">
        <v>797</v>
      </c>
    </row>
    <row r="972" spans="1:7" x14ac:dyDescent="0.3">
      <c r="A972" s="18" t="s">
        <v>700</v>
      </c>
      <c r="B972" s="19">
        <v>45026</v>
      </c>
      <c r="C972" s="20">
        <v>0.8125</v>
      </c>
      <c r="D972" s="20">
        <v>0.87638888888888899</v>
      </c>
      <c r="E972" s="20">
        <v>6.3888888888888995E-2</v>
      </c>
      <c r="F972" s="21" t="s">
        <v>685</v>
      </c>
      <c r="G972" t="s">
        <v>797</v>
      </c>
    </row>
    <row r="973" spans="1:7" x14ac:dyDescent="0.3">
      <c r="A973" s="18" t="s">
        <v>700</v>
      </c>
      <c r="B973" s="19">
        <v>45027</v>
      </c>
      <c r="C973" s="20">
        <v>0.75</v>
      </c>
      <c r="D973" s="20">
        <v>0.75138888888888899</v>
      </c>
      <c r="E973" s="20">
        <v>1.388888888889E-3</v>
      </c>
      <c r="F973" s="21" t="s">
        <v>709</v>
      </c>
      <c r="G973" t="s">
        <v>798</v>
      </c>
    </row>
    <row r="974" spans="1:7" x14ac:dyDescent="0.3">
      <c r="A974" s="18" t="s">
        <v>700</v>
      </c>
      <c r="B974" s="19">
        <v>45027</v>
      </c>
      <c r="C974" s="20">
        <v>0.75486111111111098</v>
      </c>
      <c r="D974" s="20">
        <v>0.75624999999999998</v>
      </c>
      <c r="E974" s="20">
        <v>1.3888888888888801E-3</v>
      </c>
      <c r="F974" s="21" t="s">
        <v>709</v>
      </c>
      <c r="G974" t="s">
        <v>798</v>
      </c>
    </row>
    <row r="975" spans="1:7" x14ac:dyDescent="0.3">
      <c r="A975" s="18" t="s">
        <v>700</v>
      </c>
      <c r="B975" s="19">
        <v>45028</v>
      </c>
      <c r="C975" s="20">
        <v>6.25E-2</v>
      </c>
      <c r="D975" s="20">
        <v>0.3125</v>
      </c>
      <c r="E975" s="20">
        <v>0.25</v>
      </c>
      <c r="F975" s="21" t="s">
        <v>710</v>
      </c>
      <c r="G975" t="s">
        <v>799</v>
      </c>
    </row>
    <row r="976" spans="1:7" x14ac:dyDescent="0.3">
      <c r="A976" s="18" t="s">
        <v>700</v>
      </c>
      <c r="B976" s="19">
        <v>45028</v>
      </c>
      <c r="C976" s="20">
        <v>0.3125</v>
      </c>
      <c r="D976" s="20">
        <v>0.5625</v>
      </c>
      <c r="E976" s="20">
        <v>0.25</v>
      </c>
      <c r="F976" s="21" t="s">
        <v>688</v>
      </c>
      <c r="G976" t="s">
        <v>799</v>
      </c>
    </row>
    <row r="977" spans="1:7" x14ac:dyDescent="0.3">
      <c r="A977" s="18" t="s">
        <v>700</v>
      </c>
      <c r="B977" s="19">
        <v>45028</v>
      </c>
      <c r="C977" s="20">
        <v>0.59236111111111101</v>
      </c>
      <c r="D977" s="20">
        <v>0.75</v>
      </c>
      <c r="E977" s="20">
        <v>0.15763888888888899</v>
      </c>
      <c r="F977" s="21" t="s">
        <v>711</v>
      </c>
      <c r="G977" t="s">
        <v>799</v>
      </c>
    </row>
    <row r="978" spans="1:7" x14ac:dyDescent="0.3">
      <c r="A978" s="18" t="s">
        <v>700</v>
      </c>
      <c r="B978" s="19">
        <v>45028</v>
      </c>
      <c r="C978" s="20">
        <v>0.75</v>
      </c>
      <c r="D978" s="20">
        <v>0.8125</v>
      </c>
      <c r="E978" s="20">
        <v>6.25E-2</v>
      </c>
      <c r="F978" s="21" t="s">
        <v>685</v>
      </c>
      <c r="G978" t="s">
        <v>799</v>
      </c>
    </row>
    <row r="979" spans="1:7" x14ac:dyDescent="0.3">
      <c r="A979" s="18" t="s">
        <v>700</v>
      </c>
      <c r="B979" s="19">
        <v>45028</v>
      </c>
      <c r="C979" s="20">
        <v>0.8125</v>
      </c>
      <c r="D979" s="20">
        <v>0.875</v>
      </c>
      <c r="E979" s="20">
        <v>6.25E-2</v>
      </c>
      <c r="F979" s="21" t="s">
        <v>685</v>
      </c>
      <c r="G979" t="s">
        <v>799</v>
      </c>
    </row>
    <row r="980" spans="1:7" x14ac:dyDescent="0.3">
      <c r="A980" s="18" t="s">
        <v>700</v>
      </c>
      <c r="B980" s="19">
        <v>45028</v>
      </c>
      <c r="C980" s="20">
        <v>0.875</v>
      </c>
      <c r="D980" s="20">
        <v>6.25E-2</v>
      </c>
      <c r="E980" s="20">
        <v>0.1875</v>
      </c>
      <c r="F980" s="21" t="s">
        <v>711</v>
      </c>
      <c r="G980" t="s">
        <v>799</v>
      </c>
    </row>
    <row r="981" spans="1:7" x14ac:dyDescent="0.3">
      <c r="A981" s="18" t="s">
        <v>700</v>
      </c>
      <c r="B981" s="19">
        <v>45029</v>
      </c>
      <c r="C981" s="20">
        <v>6.25E-2</v>
      </c>
      <c r="D981" s="20">
        <v>0.3125</v>
      </c>
      <c r="E981" s="20">
        <v>0.25</v>
      </c>
      <c r="F981" s="21" t="s">
        <v>710</v>
      </c>
      <c r="G981" t="s">
        <v>800</v>
      </c>
    </row>
    <row r="982" spans="1:7" x14ac:dyDescent="0.3">
      <c r="A982" s="18" t="s">
        <v>700</v>
      </c>
      <c r="B982" s="19">
        <v>45029</v>
      </c>
      <c r="C982" s="20">
        <v>0.3125</v>
      </c>
      <c r="D982" s="20">
        <v>0.5625</v>
      </c>
      <c r="E982" s="20">
        <v>0.25</v>
      </c>
      <c r="F982" s="21" t="s">
        <v>688</v>
      </c>
      <c r="G982" t="s">
        <v>800</v>
      </c>
    </row>
    <row r="983" spans="1:7" x14ac:dyDescent="0.3">
      <c r="A983" s="18" t="s">
        <v>700</v>
      </c>
      <c r="B983" s="19">
        <v>45029</v>
      </c>
      <c r="C983" s="20">
        <v>0.5625</v>
      </c>
      <c r="D983" s="20">
        <v>0.71597222222222201</v>
      </c>
      <c r="E983" s="20">
        <v>0.15347222222222201</v>
      </c>
      <c r="F983" s="21" t="s">
        <v>710</v>
      </c>
      <c r="G983" t="s">
        <v>800</v>
      </c>
    </row>
    <row r="984" spans="1:7" x14ac:dyDescent="0.3">
      <c r="A984" s="18" t="s">
        <v>700</v>
      </c>
      <c r="B984" s="19">
        <v>45029</v>
      </c>
      <c r="C984" s="20">
        <v>0.75694444444444398</v>
      </c>
      <c r="D984" s="20">
        <v>0.75833333333333297</v>
      </c>
      <c r="E984" s="20">
        <v>1.3888888888887699E-3</v>
      </c>
      <c r="F984" s="21" t="s">
        <v>709</v>
      </c>
      <c r="G984" t="s">
        <v>800</v>
      </c>
    </row>
    <row r="985" spans="1:7" x14ac:dyDescent="0.3">
      <c r="A985" s="18" t="s">
        <v>700</v>
      </c>
      <c r="B985" s="19">
        <v>45029</v>
      </c>
      <c r="C985" s="20">
        <v>0.87916666666666698</v>
      </c>
      <c r="D985" s="20">
        <v>0.88055555555555598</v>
      </c>
      <c r="E985" s="20">
        <v>1.3888888888887699E-3</v>
      </c>
      <c r="F985" s="21" t="s">
        <v>709</v>
      </c>
      <c r="G985" t="s">
        <v>800</v>
      </c>
    </row>
    <row r="986" spans="1:7" x14ac:dyDescent="0.3">
      <c r="A986" s="18" t="s">
        <v>700</v>
      </c>
      <c r="B986" s="19">
        <v>45030</v>
      </c>
      <c r="C986" s="20">
        <v>0.74652777777777801</v>
      </c>
      <c r="D986" s="20">
        <v>0.749305555555556</v>
      </c>
      <c r="E986" s="20">
        <v>2.7777777777777701E-3</v>
      </c>
      <c r="F986" s="21" t="s">
        <v>709</v>
      </c>
      <c r="G986" t="s">
        <v>801</v>
      </c>
    </row>
    <row r="987" spans="1:7" x14ac:dyDescent="0.3">
      <c r="A987" s="18" t="s">
        <v>700</v>
      </c>
      <c r="B987" s="19">
        <v>45030</v>
      </c>
      <c r="C987" s="20">
        <v>0.78680555555555598</v>
      </c>
      <c r="D987" s="20">
        <v>0.8125</v>
      </c>
      <c r="E987" s="20">
        <v>2.5694444444444499E-2</v>
      </c>
      <c r="F987" s="21" t="s">
        <v>685</v>
      </c>
      <c r="G987" t="s">
        <v>801</v>
      </c>
    </row>
    <row r="988" spans="1:7" x14ac:dyDescent="0.3">
      <c r="A988" s="18" t="s">
        <v>700</v>
      </c>
      <c r="B988" s="19">
        <v>45030</v>
      </c>
      <c r="C988" s="20">
        <v>0.8125</v>
      </c>
      <c r="D988" s="20">
        <v>0.875694444444444</v>
      </c>
      <c r="E988" s="20">
        <v>6.31944444444444E-2</v>
      </c>
      <c r="F988" s="21" t="s">
        <v>685</v>
      </c>
      <c r="G988" t="s">
        <v>801</v>
      </c>
    </row>
    <row r="989" spans="1:7" x14ac:dyDescent="0.3">
      <c r="A989" s="18" t="s">
        <v>700</v>
      </c>
      <c r="B989" s="19">
        <v>45031</v>
      </c>
      <c r="C989" s="20">
        <v>0.16111111111111101</v>
      </c>
      <c r="D989" s="20">
        <v>0.179166666666667</v>
      </c>
      <c r="E989" s="20">
        <v>1.8055555555555498E-2</v>
      </c>
      <c r="F989" s="21" t="s">
        <v>712</v>
      </c>
      <c r="G989" t="s">
        <v>803</v>
      </c>
    </row>
    <row r="990" spans="1:7" x14ac:dyDescent="0.3">
      <c r="A990" s="18" t="s">
        <v>700</v>
      </c>
      <c r="B990" s="19">
        <v>45031</v>
      </c>
      <c r="C990" s="20">
        <v>0.44722222222222202</v>
      </c>
      <c r="D990" s="20">
        <v>0.47152777777777799</v>
      </c>
      <c r="E990" s="20">
        <v>2.4305555555555601E-2</v>
      </c>
      <c r="F990" s="21" t="s">
        <v>713</v>
      </c>
      <c r="G990" t="s">
        <v>803</v>
      </c>
    </row>
    <row r="991" spans="1:7" x14ac:dyDescent="0.3">
      <c r="A991" s="18" t="s">
        <v>700</v>
      </c>
      <c r="B991" s="19">
        <v>45031</v>
      </c>
      <c r="C991" s="20">
        <v>0.85416666666666696</v>
      </c>
      <c r="D991" s="20">
        <v>0.85694444444444395</v>
      </c>
      <c r="E991" s="20">
        <v>2.7777777777777701E-3</v>
      </c>
      <c r="F991" s="21" t="s">
        <v>684</v>
      </c>
      <c r="G991" t="s">
        <v>803</v>
      </c>
    </row>
    <row r="992" spans="1:7" x14ac:dyDescent="0.3">
      <c r="A992" s="18" t="s">
        <v>700</v>
      </c>
      <c r="B992" s="19">
        <v>45031</v>
      </c>
      <c r="C992" s="20">
        <v>0.94027777777777799</v>
      </c>
      <c r="D992" s="20">
        <v>0.95347222222222205</v>
      </c>
      <c r="E992" s="20">
        <v>1.3194444444444399E-2</v>
      </c>
      <c r="F992" s="21" t="s">
        <v>714</v>
      </c>
      <c r="G992" t="s">
        <v>803</v>
      </c>
    </row>
    <row r="993" spans="1:7" x14ac:dyDescent="0.3">
      <c r="A993" s="18" t="s">
        <v>700</v>
      </c>
      <c r="B993" s="19">
        <v>45032</v>
      </c>
      <c r="C993" s="20">
        <v>0.16111111111111101</v>
      </c>
      <c r="D993" s="20">
        <v>0.179166666666667</v>
      </c>
      <c r="E993" s="20">
        <v>1.8055555555555498E-2</v>
      </c>
      <c r="F993" s="21" t="s">
        <v>712</v>
      </c>
      <c r="G993" t="s">
        <v>802</v>
      </c>
    </row>
    <row r="994" spans="1:7" x14ac:dyDescent="0.3">
      <c r="A994" s="18" t="s">
        <v>700</v>
      </c>
      <c r="B994" s="19">
        <v>45032</v>
      </c>
      <c r="C994" s="20">
        <v>0.49236111111111103</v>
      </c>
      <c r="D994" s="20">
        <v>0.53819444444444398</v>
      </c>
      <c r="E994" s="20">
        <v>4.5833333333333302E-2</v>
      </c>
      <c r="F994" s="21" t="s">
        <v>715</v>
      </c>
      <c r="G994" t="s">
        <v>802</v>
      </c>
    </row>
    <row r="995" spans="1:7" x14ac:dyDescent="0.3">
      <c r="A995" s="18" t="s">
        <v>700</v>
      </c>
      <c r="B995" s="19">
        <v>45032</v>
      </c>
      <c r="C995" s="20">
        <v>0.68958333333333299</v>
      </c>
      <c r="D995" s="20">
        <v>0.69652777777777797</v>
      </c>
      <c r="E995" s="20">
        <v>6.9444444444444198E-3</v>
      </c>
      <c r="F995" s="21" t="s">
        <v>716</v>
      </c>
      <c r="G995" t="s">
        <v>802</v>
      </c>
    </row>
    <row r="996" spans="1:7" x14ac:dyDescent="0.3">
      <c r="A996" s="18" t="s">
        <v>700</v>
      </c>
      <c r="B996" s="19">
        <v>45033</v>
      </c>
      <c r="C996" s="20">
        <v>0.53749999999999998</v>
      </c>
      <c r="D996" s="20">
        <v>0.53958333333333297</v>
      </c>
      <c r="E996" s="20">
        <v>2.0833333333333298E-3</v>
      </c>
      <c r="F996" s="21" t="s">
        <v>708</v>
      </c>
      <c r="G996" t="s">
        <v>797</v>
      </c>
    </row>
    <row r="997" spans="1:7" x14ac:dyDescent="0.3">
      <c r="A997" s="18" t="s">
        <v>700</v>
      </c>
      <c r="B997" s="19">
        <v>45033</v>
      </c>
      <c r="C997" s="20">
        <v>0.54444444444444395</v>
      </c>
      <c r="D997" s="20">
        <v>0.54652777777777795</v>
      </c>
      <c r="E997" s="20">
        <v>2.08333333333344E-3</v>
      </c>
      <c r="F997" s="21" t="s">
        <v>708</v>
      </c>
      <c r="G997" t="s">
        <v>797</v>
      </c>
    </row>
    <row r="998" spans="1:7" x14ac:dyDescent="0.3">
      <c r="A998" s="18" t="s">
        <v>700</v>
      </c>
      <c r="B998" s="19">
        <v>45033</v>
      </c>
      <c r="C998" s="20">
        <v>0.54861111111111105</v>
      </c>
      <c r="D998" s="20">
        <v>0.55277777777777803</v>
      </c>
      <c r="E998" s="20">
        <v>4.1666666666667603E-3</v>
      </c>
      <c r="F998" s="21" t="s">
        <v>708</v>
      </c>
      <c r="G998" t="s">
        <v>797</v>
      </c>
    </row>
    <row r="999" spans="1:7" x14ac:dyDescent="0.3">
      <c r="A999" s="18" t="s">
        <v>700</v>
      </c>
      <c r="B999" s="19">
        <v>45033</v>
      </c>
      <c r="C999" s="20">
        <v>0.5625</v>
      </c>
      <c r="D999" s="20">
        <v>0.62013888888888902</v>
      </c>
      <c r="E999" s="20">
        <v>5.7638888888888899E-2</v>
      </c>
      <c r="F999" s="21" t="s">
        <v>717</v>
      </c>
      <c r="G999" t="s">
        <v>797</v>
      </c>
    </row>
    <row r="1000" spans="1:7" x14ac:dyDescent="0.3">
      <c r="A1000" s="18" t="s">
        <v>700</v>
      </c>
      <c r="B1000" s="19">
        <v>45033</v>
      </c>
      <c r="C1000" s="20">
        <v>0.74722222222222201</v>
      </c>
      <c r="D1000" s="20">
        <v>0.8125</v>
      </c>
      <c r="E1000" s="20">
        <v>6.5277777777777796E-2</v>
      </c>
      <c r="F1000" s="21" t="s">
        <v>685</v>
      </c>
      <c r="G1000" t="s">
        <v>797</v>
      </c>
    </row>
    <row r="1001" spans="1:7" x14ac:dyDescent="0.3">
      <c r="A1001" s="18" t="s">
        <v>700</v>
      </c>
      <c r="B1001" s="19">
        <v>45033</v>
      </c>
      <c r="C1001" s="20">
        <v>0.8125</v>
      </c>
      <c r="D1001" s="20">
        <v>0.875</v>
      </c>
      <c r="E1001" s="20">
        <v>6.25E-2</v>
      </c>
      <c r="F1001" s="21" t="s">
        <v>685</v>
      </c>
      <c r="G1001" t="s">
        <v>797</v>
      </c>
    </row>
    <row r="1002" spans="1:7" x14ac:dyDescent="0.3">
      <c r="A1002" s="18" t="s">
        <v>700</v>
      </c>
      <c r="B1002" s="19">
        <v>45033</v>
      </c>
      <c r="C1002" s="20">
        <v>0.875</v>
      </c>
      <c r="D1002" s="20">
        <v>0.88819444444444395</v>
      </c>
      <c r="E1002" s="20">
        <v>1.3194444444444399E-2</v>
      </c>
      <c r="F1002" s="21" t="s">
        <v>718</v>
      </c>
      <c r="G1002" t="s">
        <v>797</v>
      </c>
    </row>
    <row r="1003" spans="1:7" x14ac:dyDescent="0.3">
      <c r="A1003" s="18" t="s">
        <v>700</v>
      </c>
      <c r="B1003" s="19">
        <v>45034</v>
      </c>
      <c r="C1003" s="20">
        <v>0.53749999999999998</v>
      </c>
      <c r="D1003" s="20">
        <v>0.53958333333333297</v>
      </c>
      <c r="E1003" s="20">
        <v>2.0833333333333298E-3</v>
      </c>
      <c r="F1003" s="21" t="s">
        <v>708</v>
      </c>
      <c r="G1003" t="s">
        <v>798</v>
      </c>
    </row>
    <row r="1004" spans="1:7" x14ac:dyDescent="0.3">
      <c r="A1004" s="18" t="s">
        <v>700</v>
      </c>
      <c r="B1004" s="19">
        <v>45034</v>
      </c>
      <c r="C1004" s="20">
        <v>0.54444444444444395</v>
      </c>
      <c r="D1004" s="20">
        <v>0.54652777777777795</v>
      </c>
      <c r="E1004" s="20">
        <v>2.08333333333344E-3</v>
      </c>
      <c r="F1004" s="21" t="s">
        <v>708</v>
      </c>
      <c r="G1004" t="s">
        <v>798</v>
      </c>
    </row>
    <row r="1005" spans="1:7" x14ac:dyDescent="0.3">
      <c r="A1005" s="18" t="s">
        <v>700</v>
      </c>
      <c r="B1005" s="19">
        <v>45034</v>
      </c>
      <c r="C1005" s="20">
        <v>0.54861111111111105</v>
      </c>
      <c r="D1005" s="20">
        <v>0.55277777777777803</v>
      </c>
      <c r="E1005" s="20">
        <v>4.1666666666667603E-3</v>
      </c>
      <c r="F1005" s="21" t="s">
        <v>708</v>
      </c>
      <c r="G1005" t="s">
        <v>798</v>
      </c>
    </row>
    <row r="1006" spans="1:7" x14ac:dyDescent="0.3">
      <c r="A1006" s="18" t="s">
        <v>700</v>
      </c>
      <c r="B1006" s="19">
        <v>45035</v>
      </c>
      <c r="C1006" s="20">
        <v>0.48125000000000001</v>
      </c>
      <c r="D1006" s="20">
        <v>0.48749999999999999</v>
      </c>
      <c r="E1006" s="20">
        <v>6.2499999999999804E-3</v>
      </c>
      <c r="F1006" s="21" t="s">
        <v>719</v>
      </c>
      <c r="G1006" t="s">
        <v>799</v>
      </c>
    </row>
    <row r="1007" spans="1:7" x14ac:dyDescent="0.3">
      <c r="A1007" s="18" t="s">
        <v>700</v>
      </c>
      <c r="B1007" s="19">
        <v>45036</v>
      </c>
      <c r="C1007" s="20">
        <v>0.60347222222222197</v>
      </c>
      <c r="D1007" s="20">
        <v>0.61527777777777803</v>
      </c>
      <c r="E1007" s="20">
        <v>1.18055555555556E-2</v>
      </c>
      <c r="F1007" s="21" t="s">
        <v>720</v>
      </c>
      <c r="G1007" t="s">
        <v>800</v>
      </c>
    </row>
    <row r="1008" spans="1:7" x14ac:dyDescent="0.3">
      <c r="A1008" s="18" t="s">
        <v>700</v>
      </c>
      <c r="B1008" s="19">
        <v>45036</v>
      </c>
      <c r="C1008" s="20">
        <v>0.74687499999999996</v>
      </c>
      <c r="D1008" s="20">
        <v>0.8125</v>
      </c>
      <c r="E1008" s="20">
        <v>6.5624999999999906E-2</v>
      </c>
      <c r="F1008" s="21" t="s">
        <v>685</v>
      </c>
      <c r="G1008" t="s">
        <v>800</v>
      </c>
    </row>
    <row r="1009" spans="1:7" x14ac:dyDescent="0.3">
      <c r="A1009" s="18" t="s">
        <v>700</v>
      </c>
      <c r="B1009" s="19">
        <v>45036</v>
      </c>
      <c r="C1009" s="20">
        <v>0.8125</v>
      </c>
      <c r="D1009" s="20">
        <v>0.875</v>
      </c>
      <c r="E1009" s="20">
        <v>6.25E-2</v>
      </c>
      <c r="F1009" s="21" t="s">
        <v>685</v>
      </c>
      <c r="G1009" t="s">
        <v>800</v>
      </c>
    </row>
    <row r="1010" spans="1:7" x14ac:dyDescent="0.3">
      <c r="A1010" s="18" t="s">
        <v>700</v>
      </c>
      <c r="B1010" s="19">
        <v>45036</v>
      </c>
      <c r="C1010" s="20">
        <v>0.875</v>
      </c>
      <c r="D1010" s="20">
        <v>0.88124999999999998</v>
      </c>
      <c r="E1010" s="20">
        <v>6.2499999999999804E-3</v>
      </c>
      <c r="F1010" s="21" t="s">
        <v>721</v>
      </c>
      <c r="G1010" t="s">
        <v>800</v>
      </c>
    </row>
    <row r="1011" spans="1:7" x14ac:dyDescent="0.3">
      <c r="A1011" s="18" t="s">
        <v>700</v>
      </c>
      <c r="B1011" s="19">
        <v>45037</v>
      </c>
      <c r="C1011" s="20">
        <v>0.781944444444444</v>
      </c>
      <c r="D1011" s="20">
        <v>0.78541666666666698</v>
      </c>
      <c r="E1011" s="20">
        <v>3.47222222222232E-3</v>
      </c>
      <c r="F1011" s="21" t="s">
        <v>706</v>
      </c>
      <c r="G1011" t="s">
        <v>801</v>
      </c>
    </row>
    <row r="1012" spans="1:7" x14ac:dyDescent="0.3">
      <c r="A1012" s="18" t="s">
        <v>700</v>
      </c>
      <c r="B1012" s="19">
        <v>45039</v>
      </c>
      <c r="C1012" s="20">
        <v>0.264583333333333</v>
      </c>
      <c r="D1012" s="20">
        <v>0.26944444444444399</v>
      </c>
      <c r="E1012" s="20">
        <v>4.8611111111110904E-3</v>
      </c>
      <c r="F1012" s="21" t="s">
        <v>691</v>
      </c>
      <c r="G1012" t="s">
        <v>802</v>
      </c>
    </row>
    <row r="1013" spans="1:7" x14ac:dyDescent="0.3">
      <c r="A1013" s="18" t="s">
        <v>700</v>
      </c>
      <c r="B1013" s="19">
        <v>45040</v>
      </c>
      <c r="C1013" s="20">
        <v>0.66041666666666698</v>
      </c>
      <c r="D1013" s="20">
        <v>0.67500000000000004</v>
      </c>
      <c r="E1013" s="20">
        <v>1.4583333333333301E-2</v>
      </c>
      <c r="F1013" s="21" t="s">
        <v>691</v>
      </c>
      <c r="G1013" t="s">
        <v>797</v>
      </c>
    </row>
    <row r="1014" spans="1:7" x14ac:dyDescent="0.3">
      <c r="A1014" s="18" t="s">
        <v>700</v>
      </c>
      <c r="B1014" s="19">
        <v>45041</v>
      </c>
      <c r="C1014" s="20">
        <v>0.78819444444444398</v>
      </c>
      <c r="D1014" s="20">
        <v>0.78958333333333297</v>
      </c>
      <c r="E1014" s="20">
        <v>1.3888888888887699E-3</v>
      </c>
      <c r="F1014" s="21" t="s">
        <v>709</v>
      </c>
      <c r="G1014" t="s">
        <v>798</v>
      </c>
    </row>
    <row r="1015" spans="1:7" x14ac:dyDescent="0.3">
      <c r="A1015" s="18" t="s">
        <v>700</v>
      </c>
      <c r="B1015" s="19">
        <v>45041</v>
      </c>
      <c r="C1015" s="20">
        <v>0.875694444444444</v>
      </c>
      <c r="D1015" s="20">
        <v>0.87638888888888899</v>
      </c>
      <c r="E1015" s="20">
        <v>6.94444444444553E-4</v>
      </c>
      <c r="F1015" s="21" t="s">
        <v>709</v>
      </c>
      <c r="G1015" t="s">
        <v>798</v>
      </c>
    </row>
    <row r="1016" spans="1:7" x14ac:dyDescent="0.3">
      <c r="A1016" s="18" t="s">
        <v>700</v>
      </c>
      <c r="B1016" s="19">
        <v>45042</v>
      </c>
      <c r="C1016" s="20">
        <v>0.72708333333333297</v>
      </c>
      <c r="D1016" s="20">
        <v>0.73055555555555596</v>
      </c>
      <c r="E1016" s="20">
        <v>3.47222222222232E-3</v>
      </c>
      <c r="F1016" s="21" t="s">
        <v>699</v>
      </c>
      <c r="G1016" t="s">
        <v>799</v>
      </c>
    </row>
    <row r="1017" spans="1:7" x14ac:dyDescent="0.3">
      <c r="A1017" s="18" t="s">
        <v>700</v>
      </c>
      <c r="B1017" s="19">
        <v>45042</v>
      </c>
      <c r="C1017" s="20">
        <v>6.9444444444444397E-3</v>
      </c>
      <c r="D1017" s="20">
        <v>5.2083333333333301E-2</v>
      </c>
      <c r="E1017" s="20">
        <v>4.5138888888888902E-2</v>
      </c>
      <c r="F1017" s="21" t="s">
        <v>688</v>
      </c>
      <c r="G1017" t="s">
        <v>799</v>
      </c>
    </row>
    <row r="1018" spans="1:7" x14ac:dyDescent="0.3">
      <c r="A1018" s="18" t="s">
        <v>700</v>
      </c>
      <c r="B1018" s="19">
        <v>45043</v>
      </c>
      <c r="C1018" s="20">
        <v>6.25E-2</v>
      </c>
      <c r="D1018" s="20">
        <v>7.2916666666666699E-2</v>
      </c>
      <c r="E1018" s="20">
        <v>1.0416666666666701E-2</v>
      </c>
      <c r="F1018" s="21" t="s">
        <v>707</v>
      </c>
      <c r="G1018" t="s">
        <v>800</v>
      </c>
    </row>
    <row r="1019" spans="1:7" x14ac:dyDescent="0.3">
      <c r="A1019" s="18" t="s">
        <v>700</v>
      </c>
      <c r="B1019" s="19">
        <v>45043</v>
      </c>
      <c r="C1019" s="20">
        <v>0.74722222222222201</v>
      </c>
      <c r="D1019" s="20">
        <v>0.76388888888888895</v>
      </c>
      <c r="E1019" s="20">
        <v>1.6666666666666601E-2</v>
      </c>
      <c r="F1019" s="21" t="s">
        <v>685</v>
      </c>
      <c r="G1019" t="s">
        <v>800</v>
      </c>
    </row>
    <row r="1020" spans="1:7" x14ac:dyDescent="0.3">
      <c r="A1020" s="18" t="s">
        <v>700</v>
      </c>
      <c r="B1020" s="19">
        <v>45043</v>
      </c>
      <c r="C1020" s="20">
        <v>0.78472222222222199</v>
      </c>
      <c r="D1020" s="20">
        <v>0.78680555555555598</v>
      </c>
      <c r="E1020" s="20">
        <v>2.0833333333333298E-3</v>
      </c>
      <c r="F1020" s="21" t="s">
        <v>709</v>
      </c>
      <c r="G1020" t="s">
        <v>800</v>
      </c>
    </row>
    <row r="1021" spans="1:7" x14ac:dyDescent="0.3">
      <c r="A1021" s="18" t="s">
        <v>700</v>
      </c>
      <c r="B1021" s="19">
        <v>45043</v>
      </c>
      <c r="C1021" s="20">
        <v>0.87708333333333299</v>
      </c>
      <c r="D1021" s="20">
        <v>0.87847222222222199</v>
      </c>
      <c r="E1021" s="20">
        <v>1.3888888888888801E-3</v>
      </c>
      <c r="F1021" s="21" t="s">
        <v>709</v>
      </c>
      <c r="G1021" t="s">
        <v>800</v>
      </c>
    </row>
    <row r="1022" spans="1:7" x14ac:dyDescent="0.3">
      <c r="A1022" s="18" t="s">
        <v>700</v>
      </c>
      <c r="B1022" s="19">
        <v>45043</v>
      </c>
      <c r="C1022" s="20">
        <v>5.1388888888888901E-2</v>
      </c>
      <c r="D1022" s="20">
        <v>0</v>
      </c>
      <c r="E1022" s="20">
        <v>0.94861111111111096</v>
      </c>
      <c r="F1022" s="21" t="s">
        <v>706</v>
      </c>
      <c r="G1022" t="s">
        <v>800</v>
      </c>
    </row>
    <row r="1023" spans="1:7" x14ac:dyDescent="0.3">
      <c r="A1023" s="18" t="s">
        <v>700</v>
      </c>
      <c r="B1023" s="19">
        <v>45044</v>
      </c>
      <c r="C1023" s="20">
        <v>6.25E-2</v>
      </c>
      <c r="D1023" s="20">
        <v>7.2916666666666699E-2</v>
      </c>
      <c r="E1023" s="20">
        <v>1.0416666666666701E-2</v>
      </c>
      <c r="F1023" s="21" t="s">
        <v>707</v>
      </c>
      <c r="G1023" t="s">
        <v>801</v>
      </c>
    </row>
    <row r="1024" spans="1:7" x14ac:dyDescent="0.3">
      <c r="A1024" s="18" t="s">
        <v>700</v>
      </c>
      <c r="B1024" s="19">
        <v>45044</v>
      </c>
      <c r="C1024" s="20">
        <v>0.33541666666666697</v>
      </c>
      <c r="D1024" s="20">
        <v>0.34027777777777801</v>
      </c>
      <c r="E1024" s="20">
        <v>4.8611111111110401E-3</v>
      </c>
      <c r="F1024" s="21" t="s">
        <v>722</v>
      </c>
      <c r="G1024" t="s">
        <v>801</v>
      </c>
    </row>
    <row r="1025" spans="1:7" x14ac:dyDescent="0.3">
      <c r="A1025" s="18" t="s">
        <v>700</v>
      </c>
      <c r="B1025" s="19">
        <v>45044</v>
      </c>
      <c r="C1025" s="20">
        <v>0.74791666666666701</v>
      </c>
      <c r="D1025" s="20">
        <v>0.8125</v>
      </c>
      <c r="E1025" s="20">
        <v>6.4583333333333298E-2</v>
      </c>
      <c r="F1025" s="21" t="s">
        <v>685</v>
      </c>
      <c r="G1025" t="s">
        <v>801</v>
      </c>
    </row>
    <row r="1026" spans="1:7" x14ac:dyDescent="0.3">
      <c r="A1026" s="18" t="s">
        <v>700</v>
      </c>
      <c r="B1026" s="19">
        <v>45044</v>
      </c>
      <c r="C1026" s="20">
        <v>0.8125</v>
      </c>
      <c r="D1026" s="20">
        <v>0.875</v>
      </c>
      <c r="E1026" s="20">
        <v>6.25E-2</v>
      </c>
      <c r="F1026" s="21" t="s">
        <v>685</v>
      </c>
      <c r="G1026" t="s">
        <v>801</v>
      </c>
    </row>
    <row r="1027" spans="1:7" x14ac:dyDescent="0.3">
      <c r="A1027" s="18" t="s">
        <v>700</v>
      </c>
      <c r="B1027" s="19">
        <v>45044</v>
      </c>
      <c r="C1027" s="20">
        <v>0.875</v>
      </c>
      <c r="D1027" s="20">
        <v>0.88055555555555598</v>
      </c>
      <c r="E1027" s="20">
        <v>5.5555555555555402E-3</v>
      </c>
      <c r="F1027" s="21" t="s">
        <v>723</v>
      </c>
      <c r="G1027" t="s">
        <v>801</v>
      </c>
    </row>
    <row r="1028" spans="1:7" x14ac:dyDescent="0.3">
      <c r="A1028" s="18" t="s">
        <v>700</v>
      </c>
      <c r="B1028" s="19">
        <v>45045</v>
      </c>
      <c r="C1028" s="20">
        <v>0.23611111111111099</v>
      </c>
      <c r="D1028" s="20">
        <v>0.23888888888888901</v>
      </c>
      <c r="E1028" s="20">
        <v>2.7777777777777701E-3</v>
      </c>
      <c r="F1028" s="21" t="s">
        <v>706</v>
      </c>
      <c r="G1028" t="s">
        <v>803</v>
      </c>
    </row>
    <row r="1029" spans="1:7" x14ac:dyDescent="0.3">
      <c r="A1029" s="18" t="s">
        <v>700</v>
      </c>
      <c r="B1029" s="19">
        <v>45046</v>
      </c>
      <c r="C1029" s="20">
        <v>0.29444444444444401</v>
      </c>
      <c r="D1029" s="20">
        <v>0</v>
      </c>
      <c r="E1029" s="20">
        <v>0.70555555555555505</v>
      </c>
      <c r="F1029" s="21" t="s">
        <v>688</v>
      </c>
      <c r="G1029" t="s">
        <v>802</v>
      </c>
    </row>
    <row r="1030" spans="1:7" x14ac:dyDescent="0.3">
      <c r="A1030" s="18" t="s">
        <v>700</v>
      </c>
      <c r="B1030" s="19">
        <v>45046</v>
      </c>
      <c r="C1030" s="20">
        <v>0.3125</v>
      </c>
      <c r="D1030" s="20">
        <v>0.32222222222222202</v>
      </c>
      <c r="E1030" s="20">
        <v>9.7222222222222397E-3</v>
      </c>
      <c r="F1030" s="21" t="s">
        <v>724</v>
      </c>
      <c r="G1030" t="s">
        <v>802</v>
      </c>
    </row>
    <row r="1031" spans="1:7" x14ac:dyDescent="0.3">
      <c r="A1031" s="18" t="s">
        <v>725</v>
      </c>
      <c r="B1031" s="19">
        <v>45017</v>
      </c>
      <c r="C1031" s="20">
        <v>0.44861111111111102</v>
      </c>
      <c r="D1031" s="20">
        <v>0.54097222222222197</v>
      </c>
      <c r="E1031" s="20">
        <v>9.2361111111111102E-2</v>
      </c>
      <c r="F1031" s="21" t="s">
        <v>726</v>
      </c>
      <c r="G1031" t="s">
        <v>803</v>
      </c>
    </row>
    <row r="1032" spans="1:7" x14ac:dyDescent="0.3">
      <c r="A1032" s="18" t="s">
        <v>725</v>
      </c>
      <c r="B1032" s="19">
        <v>45017</v>
      </c>
      <c r="C1032" s="20">
        <v>0.82222222222222197</v>
      </c>
      <c r="D1032" s="20">
        <v>0.84027777777777801</v>
      </c>
      <c r="E1032" s="20">
        <v>1.8055555555555498E-2</v>
      </c>
      <c r="F1032" s="21" t="s">
        <v>685</v>
      </c>
      <c r="G1032" t="s">
        <v>803</v>
      </c>
    </row>
    <row r="1033" spans="1:7" x14ac:dyDescent="0.3">
      <c r="A1033" s="18" t="s">
        <v>725</v>
      </c>
      <c r="B1033" s="19">
        <v>45019</v>
      </c>
      <c r="C1033" s="20">
        <v>0.39444444444444399</v>
      </c>
      <c r="D1033" s="20">
        <v>0.43888888888888899</v>
      </c>
      <c r="E1033" s="20">
        <v>4.4444444444444502E-2</v>
      </c>
      <c r="F1033" s="21" t="s">
        <v>727</v>
      </c>
      <c r="G1033" t="s">
        <v>797</v>
      </c>
    </row>
    <row r="1034" spans="1:7" x14ac:dyDescent="0.3">
      <c r="A1034" s="18" t="s">
        <v>725</v>
      </c>
      <c r="B1034" s="19">
        <v>45019</v>
      </c>
      <c r="C1034" s="20">
        <v>0.74826388888888895</v>
      </c>
      <c r="D1034" s="20">
        <v>0.8125</v>
      </c>
      <c r="E1034" s="20">
        <v>6.4236111111111202E-2</v>
      </c>
      <c r="F1034" s="21" t="s">
        <v>685</v>
      </c>
      <c r="G1034" t="s">
        <v>797</v>
      </c>
    </row>
    <row r="1035" spans="1:7" x14ac:dyDescent="0.3">
      <c r="A1035" s="18" t="s">
        <v>725</v>
      </c>
      <c r="B1035" s="19">
        <v>45019</v>
      </c>
      <c r="C1035" s="20">
        <v>0.8125</v>
      </c>
      <c r="D1035" s="20">
        <v>0.87777777777777799</v>
      </c>
      <c r="E1035" s="20">
        <v>6.5277777777777796E-2</v>
      </c>
      <c r="F1035" s="21" t="s">
        <v>685</v>
      </c>
      <c r="G1035" t="s">
        <v>797</v>
      </c>
    </row>
    <row r="1036" spans="1:7" x14ac:dyDescent="0.3">
      <c r="A1036" s="18" t="s">
        <v>725</v>
      </c>
      <c r="B1036" s="19">
        <v>45020</v>
      </c>
      <c r="C1036" s="20">
        <v>0.39444444444444399</v>
      </c>
      <c r="D1036" s="20">
        <v>0.43888888888888899</v>
      </c>
      <c r="E1036" s="20">
        <v>4.4444444444444502E-2</v>
      </c>
      <c r="F1036" s="21" t="s">
        <v>727</v>
      </c>
      <c r="G1036" t="s">
        <v>798</v>
      </c>
    </row>
    <row r="1037" spans="1:7" x14ac:dyDescent="0.3">
      <c r="A1037" s="18" t="s">
        <v>725</v>
      </c>
      <c r="B1037" s="19">
        <v>45020</v>
      </c>
      <c r="C1037" s="20">
        <v>0.74791666666666701</v>
      </c>
      <c r="D1037" s="20">
        <v>0.8125</v>
      </c>
      <c r="E1037" s="20">
        <v>6.4583333333333298E-2</v>
      </c>
      <c r="F1037" s="21" t="s">
        <v>685</v>
      </c>
      <c r="G1037" t="s">
        <v>798</v>
      </c>
    </row>
    <row r="1038" spans="1:7" x14ac:dyDescent="0.3">
      <c r="A1038" s="18" t="s">
        <v>725</v>
      </c>
      <c r="B1038" s="19">
        <v>45020</v>
      </c>
      <c r="C1038" s="20">
        <v>0.8125</v>
      </c>
      <c r="D1038" s="20">
        <v>0.875</v>
      </c>
      <c r="E1038" s="20">
        <v>6.25E-2</v>
      </c>
      <c r="F1038" s="21" t="s">
        <v>685</v>
      </c>
      <c r="G1038" t="s">
        <v>798</v>
      </c>
    </row>
    <row r="1039" spans="1:7" x14ac:dyDescent="0.3">
      <c r="A1039" s="18" t="s">
        <v>725</v>
      </c>
      <c r="B1039" s="19">
        <v>45020</v>
      </c>
      <c r="C1039" s="20">
        <v>0.875</v>
      </c>
      <c r="D1039" s="20">
        <v>0.92847222222222203</v>
      </c>
      <c r="E1039" s="20">
        <v>5.3472222222222303E-2</v>
      </c>
      <c r="F1039" s="21" t="s">
        <v>728</v>
      </c>
      <c r="G1039" t="s">
        <v>798</v>
      </c>
    </row>
    <row r="1040" spans="1:7" x14ac:dyDescent="0.3">
      <c r="A1040" s="18" t="s">
        <v>725</v>
      </c>
      <c r="B1040" s="19">
        <v>45021</v>
      </c>
      <c r="C1040" s="20">
        <v>0.74861111111111101</v>
      </c>
      <c r="D1040" s="20">
        <v>0.8125</v>
      </c>
      <c r="E1040" s="20">
        <v>6.3888888888888995E-2</v>
      </c>
      <c r="F1040" s="21" t="s">
        <v>685</v>
      </c>
      <c r="G1040" t="s">
        <v>799</v>
      </c>
    </row>
    <row r="1041" spans="1:7" x14ac:dyDescent="0.3">
      <c r="A1041" s="18" t="s">
        <v>725</v>
      </c>
      <c r="B1041" s="19">
        <v>45021</v>
      </c>
      <c r="C1041" s="20">
        <v>0.8125</v>
      </c>
      <c r="D1041" s="20">
        <v>0.87777777777777799</v>
      </c>
      <c r="E1041" s="20">
        <v>6.5277777777777796E-2</v>
      </c>
      <c r="F1041" s="21" t="s">
        <v>685</v>
      </c>
      <c r="G1041" t="s">
        <v>799</v>
      </c>
    </row>
    <row r="1042" spans="1:7" x14ac:dyDescent="0.3">
      <c r="A1042" s="18" t="s">
        <v>725</v>
      </c>
      <c r="B1042" s="19">
        <v>45022</v>
      </c>
      <c r="C1042" s="20">
        <v>0.74791666666666701</v>
      </c>
      <c r="D1042" s="20">
        <v>0.8125</v>
      </c>
      <c r="E1042" s="20">
        <v>6.4583333333333298E-2</v>
      </c>
      <c r="F1042" s="21" t="s">
        <v>685</v>
      </c>
      <c r="G1042" t="s">
        <v>800</v>
      </c>
    </row>
    <row r="1043" spans="1:7" x14ac:dyDescent="0.3">
      <c r="A1043" s="18" t="s">
        <v>725</v>
      </c>
      <c r="B1043" s="19">
        <v>45022</v>
      </c>
      <c r="C1043" s="20">
        <v>0.8125</v>
      </c>
      <c r="D1043" s="20">
        <v>0.87638888888888899</v>
      </c>
      <c r="E1043" s="20">
        <v>6.3888888888888995E-2</v>
      </c>
      <c r="F1043" s="21" t="s">
        <v>685</v>
      </c>
      <c r="G1043" t="s">
        <v>800</v>
      </c>
    </row>
    <row r="1044" spans="1:7" x14ac:dyDescent="0.3">
      <c r="A1044" s="18" t="s">
        <v>725</v>
      </c>
      <c r="B1044" s="19">
        <v>45023</v>
      </c>
      <c r="C1044" s="20">
        <v>0.45138888888888901</v>
      </c>
      <c r="D1044" s="20">
        <v>0.5625</v>
      </c>
      <c r="E1044" s="20">
        <v>0.11111111111111099</v>
      </c>
      <c r="F1044" s="21" t="s">
        <v>729</v>
      </c>
      <c r="G1044" t="s">
        <v>801</v>
      </c>
    </row>
    <row r="1045" spans="1:7" x14ac:dyDescent="0.3">
      <c r="A1045" s="18" t="s">
        <v>725</v>
      </c>
      <c r="B1045" s="19">
        <v>45023</v>
      </c>
      <c r="C1045" s="20">
        <v>0.5625</v>
      </c>
      <c r="D1045" s="20">
        <v>0.71180555555555503</v>
      </c>
      <c r="E1045" s="20">
        <v>0.149305555555555</v>
      </c>
      <c r="F1045" s="21" t="s">
        <v>730</v>
      </c>
      <c r="G1045" t="s">
        <v>801</v>
      </c>
    </row>
    <row r="1046" spans="1:7" x14ac:dyDescent="0.3">
      <c r="A1046" s="18" t="s">
        <v>725</v>
      </c>
      <c r="B1046" s="19">
        <v>45024</v>
      </c>
      <c r="C1046" s="20">
        <v>0.58472222222222203</v>
      </c>
      <c r="D1046" s="20">
        <v>0.61458333333333304</v>
      </c>
      <c r="E1046" s="20">
        <v>2.9861111111111099E-2</v>
      </c>
      <c r="F1046" s="21" t="s">
        <v>731</v>
      </c>
      <c r="G1046" t="s">
        <v>803</v>
      </c>
    </row>
    <row r="1047" spans="1:7" x14ac:dyDescent="0.3">
      <c r="A1047" s="18" t="s">
        <v>725</v>
      </c>
      <c r="B1047" s="19">
        <v>45024</v>
      </c>
      <c r="C1047" s="20">
        <v>0.66736111111111096</v>
      </c>
      <c r="D1047" s="20">
        <v>0.68611111111111101</v>
      </c>
      <c r="E1047" s="20">
        <v>1.8749999999999899E-2</v>
      </c>
      <c r="F1047" s="21" t="s">
        <v>732</v>
      </c>
      <c r="G1047" t="s">
        <v>803</v>
      </c>
    </row>
    <row r="1048" spans="1:7" x14ac:dyDescent="0.3">
      <c r="A1048" s="18" t="s">
        <v>725</v>
      </c>
      <c r="B1048" s="19">
        <v>45026</v>
      </c>
      <c r="C1048" s="20">
        <v>0.74861111111111101</v>
      </c>
      <c r="D1048" s="20">
        <v>0.8125</v>
      </c>
      <c r="E1048" s="20">
        <v>6.3888888888888995E-2</v>
      </c>
      <c r="F1048" s="21" t="s">
        <v>685</v>
      </c>
      <c r="G1048" t="s">
        <v>797</v>
      </c>
    </row>
    <row r="1049" spans="1:7" x14ac:dyDescent="0.3">
      <c r="A1049" s="18" t="s">
        <v>725</v>
      </c>
      <c r="B1049" s="19">
        <v>45026</v>
      </c>
      <c r="C1049" s="20">
        <v>0.8125</v>
      </c>
      <c r="D1049" s="20">
        <v>0.875</v>
      </c>
      <c r="E1049" s="20">
        <v>6.25E-2</v>
      </c>
      <c r="F1049" s="21" t="s">
        <v>685</v>
      </c>
      <c r="G1049" t="s">
        <v>797</v>
      </c>
    </row>
    <row r="1050" spans="1:7" x14ac:dyDescent="0.3">
      <c r="A1050" s="18" t="s">
        <v>725</v>
      </c>
      <c r="B1050" s="19">
        <v>45026</v>
      </c>
      <c r="C1050" s="20">
        <v>0.875</v>
      </c>
      <c r="D1050" s="20">
        <v>0.88055555555555598</v>
      </c>
      <c r="E1050" s="20">
        <v>5.5555555555555402E-3</v>
      </c>
      <c r="F1050" s="21" t="s">
        <v>691</v>
      </c>
      <c r="G1050" t="s">
        <v>797</v>
      </c>
    </row>
    <row r="1051" spans="1:7" x14ac:dyDescent="0.3">
      <c r="A1051" s="18" t="s">
        <v>725</v>
      </c>
      <c r="B1051" s="19">
        <v>45027</v>
      </c>
      <c r="C1051" s="20">
        <v>0.74791666666666701</v>
      </c>
      <c r="D1051" s="20">
        <v>0.8125</v>
      </c>
      <c r="E1051" s="20">
        <v>6.4583333333333298E-2</v>
      </c>
      <c r="F1051" s="21" t="s">
        <v>685</v>
      </c>
      <c r="G1051" t="s">
        <v>798</v>
      </c>
    </row>
    <row r="1052" spans="1:7" x14ac:dyDescent="0.3">
      <c r="A1052" s="18" t="s">
        <v>725</v>
      </c>
      <c r="B1052" s="19">
        <v>45027</v>
      </c>
      <c r="C1052" s="20">
        <v>0.8125</v>
      </c>
      <c r="D1052" s="20">
        <v>0.875</v>
      </c>
      <c r="E1052" s="20">
        <v>6.25E-2</v>
      </c>
      <c r="F1052" s="21" t="s">
        <v>685</v>
      </c>
      <c r="G1052" t="s">
        <v>798</v>
      </c>
    </row>
    <row r="1053" spans="1:7" x14ac:dyDescent="0.3">
      <c r="A1053" s="18" t="s">
        <v>725</v>
      </c>
      <c r="B1053" s="19">
        <v>45027</v>
      </c>
      <c r="C1053" s="20">
        <v>0.875</v>
      </c>
      <c r="D1053" s="20">
        <v>0.89930555555555503</v>
      </c>
      <c r="E1053" s="20">
        <v>2.43055555555555E-2</v>
      </c>
      <c r="F1053" s="21" t="s">
        <v>733</v>
      </c>
      <c r="G1053" t="s">
        <v>798</v>
      </c>
    </row>
    <row r="1054" spans="1:7" x14ac:dyDescent="0.3">
      <c r="A1054" s="18" t="s">
        <v>725</v>
      </c>
      <c r="B1054" s="19">
        <v>45028</v>
      </c>
      <c r="C1054" s="20">
        <v>0.74791666666666701</v>
      </c>
      <c r="D1054" s="20">
        <v>0.8125</v>
      </c>
      <c r="E1054" s="20">
        <v>6.4583333333333298E-2</v>
      </c>
      <c r="F1054" s="21" t="s">
        <v>685</v>
      </c>
      <c r="G1054" t="s">
        <v>799</v>
      </c>
    </row>
    <row r="1055" spans="1:7" x14ac:dyDescent="0.3">
      <c r="A1055" s="18" t="s">
        <v>725</v>
      </c>
      <c r="B1055" s="19">
        <v>45028</v>
      </c>
      <c r="C1055" s="20">
        <v>0.8125</v>
      </c>
      <c r="D1055" s="20">
        <v>0.875</v>
      </c>
      <c r="E1055" s="20">
        <v>6.25E-2</v>
      </c>
      <c r="F1055" s="21" t="s">
        <v>685</v>
      </c>
      <c r="G1055" t="s">
        <v>799</v>
      </c>
    </row>
    <row r="1056" spans="1:7" x14ac:dyDescent="0.3">
      <c r="A1056" s="18" t="s">
        <v>725</v>
      </c>
      <c r="B1056" s="19">
        <v>45028</v>
      </c>
      <c r="C1056" s="20">
        <v>0.88819444444444395</v>
      </c>
      <c r="D1056" s="20">
        <v>0.9375</v>
      </c>
      <c r="E1056" s="20">
        <v>4.9305555555555602E-2</v>
      </c>
      <c r="F1056" s="21" t="s">
        <v>734</v>
      </c>
      <c r="G1056" t="s">
        <v>799</v>
      </c>
    </row>
    <row r="1057" spans="1:7" x14ac:dyDescent="0.3">
      <c r="A1057" s="18" t="s">
        <v>725</v>
      </c>
      <c r="B1057" s="19">
        <v>45029</v>
      </c>
      <c r="C1057" s="20">
        <v>0.74722222222222201</v>
      </c>
      <c r="D1057" s="20">
        <v>0.8125</v>
      </c>
      <c r="E1057" s="20">
        <v>6.5277777777777796E-2</v>
      </c>
      <c r="F1057" s="21" t="s">
        <v>685</v>
      </c>
      <c r="G1057" t="s">
        <v>800</v>
      </c>
    </row>
    <row r="1058" spans="1:7" x14ac:dyDescent="0.3">
      <c r="A1058" s="18" t="s">
        <v>725</v>
      </c>
      <c r="B1058" s="19">
        <v>45029</v>
      </c>
      <c r="C1058" s="20">
        <v>0.8125</v>
      </c>
      <c r="D1058" s="20">
        <v>0.875694444444444</v>
      </c>
      <c r="E1058" s="20">
        <v>6.31944444444444E-2</v>
      </c>
      <c r="F1058" s="21" t="s">
        <v>685</v>
      </c>
      <c r="G1058" t="s">
        <v>800</v>
      </c>
    </row>
    <row r="1059" spans="1:7" x14ac:dyDescent="0.3">
      <c r="A1059" s="18" t="s">
        <v>725</v>
      </c>
      <c r="B1059" s="19">
        <v>45030</v>
      </c>
      <c r="C1059" s="20">
        <v>0.8125</v>
      </c>
      <c r="D1059" s="20">
        <v>0.87638888888888899</v>
      </c>
      <c r="E1059" s="20">
        <v>6.3888888888888995E-2</v>
      </c>
      <c r="F1059" s="21" t="s">
        <v>685</v>
      </c>
      <c r="G1059" t="s">
        <v>801</v>
      </c>
    </row>
    <row r="1060" spans="1:7" x14ac:dyDescent="0.3">
      <c r="A1060" s="18" t="s">
        <v>725</v>
      </c>
      <c r="B1060" s="19">
        <v>45031</v>
      </c>
      <c r="C1060" s="20">
        <v>0.422222222222222</v>
      </c>
      <c r="D1060" s="20">
        <v>0.45486111111111099</v>
      </c>
      <c r="E1060" s="20">
        <v>3.2638888888888898E-2</v>
      </c>
      <c r="F1060" s="21" t="s">
        <v>715</v>
      </c>
      <c r="G1060" t="s">
        <v>803</v>
      </c>
    </row>
    <row r="1061" spans="1:7" x14ac:dyDescent="0.3">
      <c r="A1061" s="18" t="s">
        <v>725</v>
      </c>
      <c r="B1061" s="19">
        <v>45031</v>
      </c>
      <c r="C1061" s="20">
        <v>0.68402777777777801</v>
      </c>
      <c r="D1061" s="20">
        <v>0.686805555555556</v>
      </c>
      <c r="E1061" s="20">
        <v>2.7777777777777701E-3</v>
      </c>
      <c r="F1061" s="21" t="s">
        <v>735</v>
      </c>
      <c r="G1061" t="s">
        <v>803</v>
      </c>
    </row>
    <row r="1062" spans="1:7" x14ac:dyDescent="0.3">
      <c r="A1062" s="18" t="s">
        <v>725</v>
      </c>
      <c r="B1062" s="19">
        <v>45032</v>
      </c>
      <c r="C1062" s="20">
        <v>0.36319444444444399</v>
      </c>
      <c r="D1062" s="20">
        <v>0.51805555555555605</v>
      </c>
      <c r="E1062" s="20">
        <v>0.15486111111111101</v>
      </c>
      <c r="F1062" s="21" t="s">
        <v>736</v>
      </c>
      <c r="G1062" t="s">
        <v>802</v>
      </c>
    </row>
    <row r="1063" spans="1:7" x14ac:dyDescent="0.3">
      <c r="A1063" s="18" t="s">
        <v>725</v>
      </c>
      <c r="B1063" s="19">
        <v>45033</v>
      </c>
      <c r="C1063" s="20">
        <v>0.74756944444444395</v>
      </c>
      <c r="D1063" s="20">
        <v>0.8125</v>
      </c>
      <c r="E1063" s="20">
        <v>6.4930555555555602E-2</v>
      </c>
      <c r="F1063" s="21" t="s">
        <v>685</v>
      </c>
      <c r="G1063" t="s">
        <v>797</v>
      </c>
    </row>
    <row r="1064" spans="1:7" x14ac:dyDescent="0.3">
      <c r="A1064" s="18" t="s">
        <v>725</v>
      </c>
      <c r="B1064" s="19">
        <v>45033</v>
      </c>
      <c r="C1064" s="20">
        <v>0.8125</v>
      </c>
      <c r="D1064" s="20">
        <v>0.875</v>
      </c>
      <c r="E1064" s="20">
        <v>6.25E-2</v>
      </c>
      <c r="F1064" s="21" t="s">
        <v>685</v>
      </c>
      <c r="G1064" t="s">
        <v>797</v>
      </c>
    </row>
    <row r="1065" spans="1:7" x14ac:dyDescent="0.3">
      <c r="A1065" s="18" t="s">
        <v>725</v>
      </c>
      <c r="B1065" s="19">
        <v>45034</v>
      </c>
      <c r="C1065" s="20">
        <v>0.33194444444444399</v>
      </c>
      <c r="D1065" s="20">
        <v>0.359027777777778</v>
      </c>
      <c r="E1065" s="20">
        <v>2.70833333333333E-2</v>
      </c>
      <c r="F1065" s="21" t="s">
        <v>737</v>
      </c>
      <c r="G1065" t="s">
        <v>798</v>
      </c>
    </row>
    <row r="1066" spans="1:7" x14ac:dyDescent="0.3">
      <c r="A1066" s="18" t="s">
        <v>725</v>
      </c>
      <c r="B1066" s="19">
        <v>45034</v>
      </c>
      <c r="C1066" s="20">
        <v>0.74756944444444395</v>
      </c>
      <c r="D1066" s="20">
        <v>0.8125</v>
      </c>
      <c r="E1066" s="20">
        <v>6.4930555555555602E-2</v>
      </c>
      <c r="F1066" s="21" t="s">
        <v>685</v>
      </c>
      <c r="G1066" t="s">
        <v>798</v>
      </c>
    </row>
    <row r="1067" spans="1:7" x14ac:dyDescent="0.3">
      <c r="A1067" s="18" t="s">
        <v>725</v>
      </c>
      <c r="B1067" s="19">
        <v>45034</v>
      </c>
      <c r="C1067" s="20">
        <v>0.8125</v>
      </c>
      <c r="D1067" s="20">
        <v>0.87673611111111105</v>
      </c>
      <c r="E1067" s="20">
        <v>6.4236111111111202E-2</v>
      </c>
      <c r="F1067" s="21" t="s">
        <v>685</v>
      </c>
      <c r="G1067" t="s">
        <v>798</v>
      </c>
    </row>
    <row r="1068" spans="1:7" x14ac:dyDescent="0.3">
      <c r="A1068" s="18" t="s">
        <v>725</v>
      </c>
      <c r="B1068" s="19">
        <v>45035</v>
      </c>
      <c r="C1068" s="20">
        <v>0.33194444444444399</v>
      </c>
      <c r="D1068" s="20">
        <v>0.359027777777778</v>
      </c>
      <c r="E1068" s="20">
        <v>2.70833333333333E-2</v>
      </c>
      <c r="F1068" s="21" t="s">
        <v>737</v>
      </c>
      <c r="G1068" t="s">
        <v>799</v>
      </c>
    </row>
    <row r="1069" spans="1:7" x14ac:dyDescent="0.3">
      <c r="A1069" s="18" t="s">
        <v>725</v>
      </c>
      <c r="B1069" s="19">
        <v>45035</v>
      </c>
      <c r="C1069" s="20">
        <v>0.74687499999999996</v>
      </c>
      <c r="D1069" s="20">
        <v>0.8125</v>
      </c>
      <c r="E1069" s="20">
        <v>6.5624999999999906E-2</v>
      </c>
      <c r="F1069" s="21" t="s">
        <v>685</v>
      </c>
      <c r="G1069" t="s">
        <v>799</v>
      </c>
    </row>
    <row r="1070" spans="1:7" x14ac:dyDescent="0.3">
      <c r="A1070" s="18" t="s">
        <v>725</v>
      </c>
      <c r="B1070" s="19">
        <v>45035</v>
      </c>
      <c r="C1070" s="20">
        <v>0.8125</v>
      </c>
      <c r="D1070" s="20">
        <v>0.87673611111111105</v>
      </c>
      <c r="E1070" s="20">
        <v>6.4236111111111202E-2</v>
      </c>
      <c r="F1070" s="21" t="s">
        <v>685</v>
      </c>
      <c r="G1070" t="s">
        <v>799</v>
      </c>
    </row>
    <row r="1071" spans="1:7" x14ac:dyDescent="0.3">
      <c r="A1071" s="18" t="s">
        <v>725</v>
      </c>
      <c r="B1071" s="19">
        <v>45036</v>
      </c>
      <c r="C1071" s="20">
        <v>0.74756944444444395</v>
      </c>
      <c r="D1071" s="20">
        <v>0.8125</v>
      </c>
      <c r="E1071" s="20">
        <v>6.4930555555555602E-2</v>
      </c>
      <c r="F1071" s="21" t="s">
        <v>685</v>
      </c>
      <c r="G1071" t="s">
        <v>800</v>
      </c>
    </row>
    <row r="1072" spans="1:7" x14ac:dyDescent="0.3">
      <c r="A1072" s="18" t="s">
        <v>725</v>
      </c>
      <c r="B1072" s="19">
        <v>45036</v>
      </c>
      <c r="C1072" s="20">
        <v>0.8125</v>
      </c>
      <c r="D1072" s="20">
        <v>0.875</v>
      </c>
      <c r="E1072" s="20">
        <v>6.25E-2</v>
      </c>
      <c r="F1072" s="21" t="s">
        <v>685</v>
      </c>
      <c r="G1072" t="s">
        <v>800</v>
      </c>
    </row>
    <row r="1073" spans="1:7" x14ac:dyDescent="0.3">
      <c r="A1073" s="18" t="s">
        <v>725</v>
      </c>
      <c r="B1073" s="19">
        <v>45036</v>
      </c>
      <c r="C1073" s="20">
        <v>0.875</v>
      </c>
      <c r="D1073" s="20">
        <v>0.88263888888888897</v>
      </c>
      <c r="E1073" s="20">
        <v>7.63888888888886E-3</v>
      </c>
      <c r="F1073" s="21" t="s">
        <v>738</v>
      </c>
      <c r="G1073" t="s">
        <v>800</v>
      </c>
    </row>
    <row r="1074" spans="1:7" x14ac:dyDescent="0.3">
      <c r="A1074" s="18" t="s">
        <v>725</v>
      </c>
      <c r="B1074" s="19">
        <v>45037</v>
      </c>
      <c r="C1074" s="20">
        <v>0.44236111111111098</v>
      </c>
      <c r="D1074" s="20">
        <v>0.44374999999999998</v>
      </c>
      <c r="E1074" s="20">
        <v>1.3888888888888801E-3</v>
      </c>
      <c r="F1074" s="21" t="s">
        <v>739</v>
      </c>
      <c r="G1074" t="s">
        <v>801</v>
      </c>
    </row>
    <row r="1075" spans="1:7" x14ac:dyDescent="0.3">
      <c r="A1075" s="18" t="s">
        <v>725</v>
      </c>
      <c r="B1075" s="19">
        <v>45038</v>
      </c>
      <c r="C1075" s="20">
        <v>0.63680555555555496</v>
      </c>
      <c r="D1075" s="20">
        <v>0.68888888888888899</v>
      </c>
      <c r="E1075" s="20">
        <v>5.2083333333333502E-2</v>
      </c>
      <c r="F1075" s="21" t="s">
        <v>740</v>
      </c>
      <c r="G1075" t="s">
        <v>803</v>
      </c>
    </row>
    <row r="1076" spans="1:7" x14ac:dyDescent="0.3">
      <c r="A1076" s="18" t="s">
        <v>725</v>
      </c>
      <c r="B1076" s="19">
        <v>45039</v>
      </c>
      <c r="C1076" s="20">
        <v>0.69097222222222199</v>
      </c>
      <c r="D1076" s="20">
        <v>0.69374999999999998</v>
      </c>
      <c r="E1076" s="20">
        <v>2.7777777777777701E-3</v>
      </c>
      <c r="F1076" s="21" t="s">
        <v>708</v>
      </c>
      <c r="G1076" t="s">
        <v>802</v>
      </c>
    </row>
    <row r="1077" spans="1:7" x14ac:dyDescent="0.3">
      <c r="A1077" s="18" t="s">
        <v>725</v>
      </c>
      <c r="B1077" s="19">
        <v>45040</v>
      </c>
      <c r="C1077" s="20">
        <v>0.70763888888888904</v>
      </c>
      <c r="D1077" s="20">
        <v>0.8125</v>
      </c>
      <c r="E1077" s="20">
        <v>0.104861111111111</v>
      </c>
      <c r="F1077" s="21" t="s">
        <v>685</v>
      </c>
      <c r="G1077" t="s">
        <v>797</v>
      </c>
    </row>
    <row r="1078" spans="1:7" x14ac:dyDescent="0.3">
      <c r="A1078" s="18" t="s">
        <v>725</v>
      </c>
      <c r="B1078" s="19">
        <v>45040</v>
      </c>
      <c r="C1078" s="20">
        <v>0.8125</v>
      </c>
      <c r="D1078" s="20">
        <v>0.875694444444444</v>
      </c>
      <c r="E1078" s="20">
        <v>6.31944444444444E-2</v>
      </c>
      <c r="F1078" s="21" t="s">
        <v>685</v>
      </c>
      <c r="G1078" t="s">
        <v>797</v>
      </c>
    </row>
    <row r="1079" spans="1:7" x14ac:dyDescent="0.3">
      <c r="A1079" s="18" t="s">
        <v>725</v>
      </c>
      <c r="B1079" s="19">
        <v>45041</v>
      </c>
      <c r="C1079" s="20">
        <v>0.74791666666666701</v>
      </c>
      <c r="D1079" s="20">
        <v>0.8125</v>
      </c>
      <c r="E1079" s="20">
        <v>6.4583333333333298E-2</v>
      </c>
      <c r="F1079" s="21" t="s">
        <v>685</v>
      </c>
      <c r="G1079" t="s">
        <v>798</v>
      </c>
    </row>
    <row r="1080" spans="1:7" x14ac:dyDescent="0.3">
      <c r="A1080" s="18" t="s">
        <v>725</v>
      </c>
      <c r="B1080" s="19">
        <v>45041</v>
      </c>
      <c r="C1080" s="20">
        <v>0.8125</v>
      </c>
      <c r="D1080" s="20">
        <v>0.87916666666666698</v>
      </c>
      <c r="E1080" s="20">
        <v>6.6666666666666805E-2</v>
      </c>
      <c r="F1080" s="21" t="s">
        <v>685</v>
      </c>
      <c r="G1080" t="s">
        <v>798</v>
      </c>
    </row>
    <row r="1081" spans="1:7" x14ac:dyDescent="0.3">
      <c r="A1081" s="18" t="s">
        <v>725</v>
      </c>
      <c r="B1081" s="19">
        <v>45042</v>
      </c>
      <c r="C1081" s="20">
        <v>0.74791666666666701</v>
      </c>
      <c r="D1081" s="20">
        <v>0.8125</v>
      </c>
      <c r="E1081" s="20">
        <v>6.4583333333333298E-2</v>
      </c>
      <c r="F1081" s="21" t="s">
        <v>685</v>
      </c>
      <c r="G1081" t="s">
        <v>799</v>
      </c>
    </row>
    <row r="1082" spans="1:7" x14ac:dyDescent="0.3">
      <c r="A1082" s="18" t="s">
        <v>725</v>
      </c>
      <c r="B1082" s="19">
        <v>45042</v>
      </c>
      <c r="C1082" s="20">
        <v>0.8125</v>
      </c>
      <c r="D1082" s="20">
        <v>0.87638888888888899</v>
      </c>
      <c r="E1082" s="20">
        <v>6.3888888888888995E-2</v>
      </c>
      <c r="F1082" s="21" t="s">
        <v>685</v>
      </c>
      <c r="G1082" t="s">
        <v>799</v>
      </c>
    </row>
    <row r="1083" spans="1:7" x14ac:dyDescent="0.3">
      <c r="A1083" s="18" t="s">
        <v>725</v>
      </c>
      <c r="B1083" s="19">
        <v>45043</v>
      </c>
      <c r="C1083" s="20">
        <v>0.74791666666666701</v>
      </c>
      <c r="D1083" s="20">
        <v>0.8125</v>
      </c>
      <c r="E1083" s="20">
        <v>6.4583333333333298E-2</v>
      </c>
      <c r="F1083" s="21" t="s">
        <v>685</v>
      </c>
      <c r="G1083" t="s">
        <v>800</v>
      </c>
    </row>
    <row r="1084" spans="1:7" x14ac:dyDescent="0.3">
      <c r="A1084" s="18" t="s">
        <v>725</v>
      </c>
      <c r="B1084" s="19">
        <v>45043</v>
      </c>
      <c r="C1084" s="20">
        <v>0.8125</v>
      </c>
      <c r="D1084" s="20">
        <v>0.87986111111111098</v>
      </c>
      <c r="E1084" s="20">
        <v>6.7361111111111094E-2</v>
      </c>
      <c r="F1084" s="21" t="s">
        <v>685</v>
      </c>
      <c r="G1084" t="s">
        <v>800</v>
      </c>
    </row>
    <row r="1085" spans="1:7" x14ac:dyDescent="0.3">
      <c r="A1085" s="18" t="s">
        <v>725</v>
      </c>
      <c r="B1085" s="19">
        <v>45044</v>
      </c>
      <c r="C1085" s="20">
        <v>0.74791666666666701</v>
      </c>
      <c r="D1085" s="20">
        <v>0.8125</v>
      </c>
      <c r="E1085" s="20">
        <v>6.4583333333333298E-2</v>
      </c>
      <c r="F1085" s="21" t="s">
        <v>685</v>
      </c>
      <c r="G1085" t="s">
        <v>801</v>
      </c>
    </row>
    <row r="1086" spans="1:7" x14ac:dyDescent="0.3">
      <c r="A1086" s="18" t="s">
        <v>725</v>
      </c>
      <c r="B1086" s="19">
        <v>45044</v>
      </c>
      <c r="C1086" s="20">
        <v>0.8125</v>
      </c>
      <c r="D1086" s="20">
        <v>0.875</v>
      </c>
      <c r="E1086" s="20">
        <v>6.25E-2</v>
      </c>
      <c r="F1086" s="21" t="s">
        <v>685</v>
      </c>
      <c r="G1086" t="s">
        <v>801</v>
      </c>
    </row>
    <row r="1087" spans="1:7" x14ac:dyDescent="0.3">
      <c r="A1087" s="18" t="s">
        <v>725</v>
      </c>
      <c r="B1087" s="19">
        <v>45044</v>
      </c>
      <c r="C1087" s="20">
        <v>0.875</v>
      </c>
      <c r="D1087" s="20">
        <v>0.88263888888888897</v>
      </c>
      <c r="E1087" s="20">
        <v>7.63888888888886E-3</v>
      </c>
      <c r="F1087" s="21" t="s">
        <v>723</v>
      </c>
      <c r="G1087" t="s">
        <v>801</v>
      </c>
    </row>
    <row r="1088" spans="1:7" x14ac:dyDescent="0.3">
      <c r="A1088" s="18" t="s">
        <v>725</v>
      </c>
      <c r="B1088" s="19">
        <v>45044</v>
      </c>
      <c r="C1088" s="20">
        <v>0.89583333333333304</v>
      </c>
      <c r="D1088" s="20">
        <v>0.90208333333333302</v>
      </c>
      <c r="E1088" s="20">
        <v>6.2499999999998702E-3</v>
      </c>
      <c r="F1088" s="21" t="s">
        <v>741</v>
      </c>
      <c r="G1088" t="s">
        <v>801</v>
      </c>
    </row>
    <row r="1089" spans="1:7" x14ac:dyDescent="0.3">
      <c r="A1089" s="18" t="s">
        <v>725</v>
      </c>
      <c r="B1089" s="19">
        <v>45046</v>
      </c>
      <c r="C1089" s="20">
        <v>0.79444444444444395</v>
      </c>
      <c r="D1089" s="20">
        <v>0.8125</v>
      </c>
      <c r="E1089" s="20">
        <v>1.8055555555555599E-2</v>
      </c>
      <c r="F1089" s="21" t="s">
        <v>742</v>
      </c>
      <c r="G1089" t="s">
        <v>802</v>
      </c>
    </row>
    <row r="1090" spans="1:7" x14ac:dyDescent="0.3">
      <c r="A1090" s="18" t="s">
        <v>725</v>
      </c>
      <c r="B1090" s="19">
        <v>45046</v>
      </c>
      <c r="C1090" s="20">
        <v>0.8125</v>
      </c>
      <c r="D1090" s="20">
        <v>0.81874999999999998</v>
      </c>
      <c r="E1090" s="20">
        <v>6.2499999999999804E-3</v>
      </c>
      <c r="F1090" s="21" t="s">
        <v>742</v>
      </c>
      <c r="G1090" t="s">
        <v>802</v>
      </c>
    </row>
    <row r="1091" spans="1:7" x14ac:dyDescent="0.3">
      <c r="A1091" s="18" t="s">
        <v>725</v>
      </c>
      <c r="B1091" s="19">
        <v>45046</v>
      </c>
      <c r="C1091" s="20">
        <v>0.81874999999999998</v>
      </c>
      <c r="D1091" s="20">
        <v>0.85624999999999996</v>
      </c>
      <c r="E1091" s="20">
        <v>3.7500000000000103E-2</v>
      </c>
      <c r="F1091" s="21" t="s">
        <v>743</v>
      </c>
      <c r="G1091" t="s">
        <v>802</v>
      </c>
    </row>
    <row r="1092" spans="1:7" x14ac:dyDescent="0.3">
      <c r="A1092" s="18" t="s">
        <v>725</v>
      </c>
      <c r="B1092" s="19">
        <v>45046</v>
      </c>
      <c r="C1092" s="20">
        <v>0.85624999999999996</v>
      </c>
      <c r="D1092" s="20">
        <v>0.87152777777777801</v>
      </c>
      <c r="E1092" s="20">
        <v>1.5277777777777699E-2</v>
      </c>
      <c r="F1092" s="21" t="s">
        <v>742</v>
      </c>
      <c r="G1092" t="s">
        <v>802</v>
      </c>
    </row>
    <row r="1093" spans="1:7" x14ac:dyDescent="0.3">
      <c r="A1093" s="18" t="s">
        <v>744</v>
      </c>
      <c r="B1093" s="19">
        <v>45017</v>
      </c>
      <c r="C1093" s="20">
        <v>0.35625000000000001</v>
      </c>
      <c r="D1093" s="20">
        <v>0.358333333333333</v>
      </c>
      <c r="E1093" s="20">
        <v>2.0833333333333298E-3</v>
      </c>
      <c r="F1093" s="21" t="s">
        <v>745</v>
      </c>
      <c r="G1093" t="s">
        <v>803</v>
      </c>
    </row>
    <row r="1094" spans="1:7" x14ac:dyDescent="0.3">
      <c r="A1094" s="18" t="s">
        <v>744</v>
      </c>
      <c r="B1094" s="19">
        <v>45017</v>
      </c>
      <c r="C1094" s="20">
        <v>0.97638888888888897</v>
      </c>
      <c r="D1094" s="20">
        <v>0.97916666666666696</v>
      </c>
      <c r="E1094" s="20">
        <v>2.7777777777777701E-3</v>
      </c>
      <c r="F1094" s="21" t="s">
        <v>692</v>
      </c>
      <c r="G1094" t="s">
        <v>803</v>
      </c>
    </row>
    <row r="1095" spans="1:7" x14ac:dyDescent="0.3">
      <c r="A1095" s="18" t="s">
        <v>744</v>
      </c>
      <c r="B1095" s="19">
        <v>45018</v>
      </c>
      <c r="C1095" s="20">
        <v>0.44027777777777799</v>
      </c>
      <c r="D1095" s="20">
        <v>0.44236111111111098</v>
      </c>
      <c r="E1095" s="20">
        <v>2.0833333333333801E-3</v>
      </c>
      <c r="F1095" s="21" t="s">
        <v>746</v>
      </c>
      <c r="G1095" t="s">
        <v>802</v>
      </c>
    </row>
    <row r="1096" spans="1:7" x14ac:dyDescent="0.3">
      <c r="A1096" s="18" t="s">
        <v>744</v>
      </c>
      <c r="B1096" s="19">
        <v>45019</v>
      </c>
      <c r="C1096" s="20">
        <v>0.44027777777777799</v>
      </c>
      <c r="D1096" s="20">
        <v>0.44236111111111098</v>
      </c>
      <c r="E1096" s="20">
        <v>2.0833333333333801E-3</v>
      </c>
      <c r="F1096" s="21" t="s">
        <v>746</v>
      </c>
      <c r="G1096" t="s">
        <v>797</v>
      </c>
    </row>
    <row r="1097" spans="1:7" x14ac:dyDescent="0.3">
      <c r="A1097" s="18" t="s">
        <v>744</v>
      </c>
      <c r="B1097" s="19">
        <v>45019</v>
      </c>
      <c r="C1097" s="20">
        <v>0.74861111111111101</v>
      </c>
      <c r="D1097" s="20">
        <v>0.8125</v>
      </c>
      <c r="E1097" s="20">
        <v>6.3888888888888995E-2</v>
      </c>
      <c r="F1097" s="21" t="s">
        <v>685</v>
      </c>
      <c r="G1097" t="s">
        <v>797</v>
      </c>
    </row>
    <row r="1098" spans="1:7" x14ac:dyDescent="0.3">
      <c r="A1098" s="18" t="s">
        <v>744</v>
      </c>
      <c r="B1098" s="19">
        <v>45019</v>
      </c>
      <c r="C1098" s="20">
        <v>0.8125</v>
      </c>
      <c r="D1098" s="20">
        <v>0.875</v>
      </c>
      <c r="E1098" s="20">
        <v>6.25E-2</v>
      </c>
      <c r="F1098" s="21" t="s">
        <v>685</v>
      </c>
      <c r="G1098" t="s">
        <v>797</v>
      </c>
    </row>
    <row r="1099" spans="1:7" x14ac:dyDescent="0.3">
      <c r="A1099" s="18" t="s">
        <v>744</v>
      </c>
      <c r="B1099" s="19">
        <v>45019</v>
      </c>
      <c r="C1099" s="20">
        <v>0.875</v>
      </c>
      <c r="D1099" s="20">
        <v>0.88124999999999998</v>
      </c>
      <c r="E1099" s="20">
        <v>6.2499999999999804E-3</v>
      </c>
      <c r="F1099" s="21" t="s">
        <v>747</v>
      </c>
      <c r="G1099" t="s">
        <v>797</v>
      </c>
    </row>
    <row r="1100" spans="1:7" x14ac:dyDescent="0.3">
      <c r="A1100" s="18" t="s">
        <v>744</v>
      </c>
      <c r="B1100" s="19">
        <v>45020</v>
      </c>
      <c r="C1100" s="20">
        <v>0.14513888888888901</v>
      </c>
      <c r="D1100" s="20">
        <v>0.3125</v>
      </c>
      <c r="E1100" s="20">
        <v>0.16736111111111099</v>
      </c>
      <c r="F1100" s="21" t="s">
        <v>748</v>
      </c>
      <c r="G1100" t="s">
        <v>798</v>
      </c>
    </row>
    <row r="1101" spans="1:7" x14ac:dyDescent="0.3">
      <c r="A1101" s="18" t="s">
        <v>744</v>
      </c>
      <c r="B1101" s="19">
        <v>45020</v>
      </c>
      <c r="C1101" s="20">
        <v>0.3125</v>
      </c>
      <c r="D1101" s="20">
        <v>0.36458333333333298</v>
      </c>
      <c r="E1101" s="20">
        <v>5.2083333333333301E-2</v>
      </c>
      <c r="F1101" s="21" t="s">
        <v>748</v>
      </c>
      <c r="G1101" t="s">
        <v>798</v>
      </c>
    </row>
    <row r="1102" spans="1:7" x14ac:dyDescent="0.3">
      <c r="A1102" s="18" t="s">
        <v>744</v>
      </c>
      <c r="B1102" s="19">
        <v>45020</v>
      </c>
      <c r="C1102" s="20">
        <v>0.36458333333333298</v>
      </c>
      <c r="D1102" s="20">
        <v>0.389583333333333</v>
      </c>
      <c r="E1102" s="20">
        <v>2.5000000000000001E-2</v>
      </c>
      <c r="F1102" s="21" t="s">
        <v>749</v>
      </c>
      <c r="G1102" t="s">
        <v>798</v>
      </c>
    </row>
    <row r="1103" spans="1:7" x14ac:dyDescent="0.3">
      <c r="A1103" s="18" t="s">
        <v>744</v>
      </c>
      <c r="B1103" s="19">
        <v>45020</v>
      </c>
      <c r="C1103" s="20">
        <v>0.74722222222222201</v>
      </c>
      <c r="D1103" s="20">
        <v>0.8125</v>
      </c>
      <c r="E1103" s="20">
        <v>6.5277777777777796E-2</v>
      </c>
      <c r="F1103" s="21" t="s">
        <v>685</v>
      </c>
      <c r="G1103" t="s">
        <v>798</v>
      </c>
    </row>
    <row r="1104" spans="1:7" x14ac:dyDescent="0.3">
      <c r="A1104" s="18" t="s">
        <v>744</v>
      </c>
      <c r="B1104" s="19">
        <v>45020</v>
      </c>
      <c r="C1104" s="20">
        <v>0.8125</v>
      </c>
      <c r="D1104" s="20">
        <v>0.87986111111111098</v>
      </c>
      <c r="E1104" s="20">
        <v>6.7361111111111094E-2</v>
      </c>
      <c r="F1104" s="21" t="s">
        <v>685</v>
      </c>
      <c r="G1104" t="s">
        <v>798</v>
      </c>
    </row>
    <row r="1105" spans="1:7" x14ac:dyDescent="0.3">
      <c r="A1105" s="18" t="s">
        <v>744</v>
      </c>
      <c r="B1105" s="19">
        <v>45021</v>
      </c>
      <c r="C1105" s="20">
        <v>0.14513888888888901</v>
      </c>
      <c r="D1105" s="20">
        <v>0.3125</v>
      </c>
      <c r="E1105" s="20">
        <v>0.16736111111111099</v>
      </c>
      <c r="F1105" s="21" t="s">
        <v>748</v>
      </c>
      <c r="G1105" t="s">
        <v>799</v>
      </c>
    </row>
    <row r="1106" spans="1:7" x14ac:dyDescent="0.3">
      <c r="A1106" s="18" t="s">
        <v>744</v>
      </c>
      <c r="B1106" s="19">
        <v>45021</v>
      </c>
      <c r="C1106" s="20">
        <v>0.3125</v>
      </c>
      <c r="D1106" s="20">
        <v>0.36458333333333298</v>
      </c>
      <c r="E1106" s="20">
        <v>5.2083333333333301E-2</v>
      </c>
      <c r="F1106" s="21" t="s">
        <v>748</v>
      </c>
      <c r="G1106" t="s">
        <v>799</v>
      </c>
    </row>
    <row r="1107" spans="1:7" x14ac:dyDescent="0.3">
      <c r="A1107" s="18" t="s">
        <v>744</v>
      </c>
      <c r="B1107" s="19">
        <v>45021</v>
      </c>
      <c r="C1107" s="20">
        <v>0.36458333333333298</v>
      </c>
      <c r="D1107" s="20">
        <v>0.389583333333333</v>
      </c>
      <c r="E1107" s="20">
        <v>2.5000000000000001E-2</v>
      </c>
      <c r="F1107" s="21" t="s">
        <v>749</v>
      </c>
      <c r="G1107" t="s">
        <v>799</v>
      </c>
    </row>
    <row r="1108" spans="1:7" x14ac:dyDescent="0.3">
      <c r="A1108" s="18" t="s">
        <v>744</v>
      </c>
      <c r="B1108" s="19">
        <v>45021</v>
      </c>
      <c r="C1108" s="20">
        <v>0.74861111111111101</v>
      </c>
      <c r="D1108" s="20">
        <v>0.8125</v>
      </c>
      <c r="E1108" s="20">
        <v>6.3888888888888995E-2</v>
      </c>
      <c r="F1108" s="21" t="s">
        <v>685</v>
      </c>
      <c r="G1108" t="s">
        <v>799</v>
      </c>
    </row>
    <row r="1109" spans="1:7" x14ac:dyDescent="0.3">
      <c r="A1109" s="18" t="s">
        <v>744</v>
      </c>
      <c r="B1109" s="19">
        <v>45021</v>
      </c>
      <c r="C1109" s="20">
        <v>0.8125</v>
      </c>
      <c r="D1109" s="20">
        <v>0.87708333333333299</v>
      </c>
      <c r="E1109" s="20">
        <v>6.4583333333333298E-2</v>
      </c>
      <c r="F1109" s="21" t="s">
        <v>685</v>
      </c>
      <c r="G1109" t="s">
        <v>799</v>
      </c>
    </row>
    <row r="1110" spans="1:7" x14ac:dyDescent="0.3">
      <c r="A1110" s="18" t="s">
        <v>744</v>
      </c>
      <c r="B1110" s="19">
        <v>45022</v>
      </c>
      <c r="C1110" s="20">
        <v>0.45624999999999999</v>
      </c>
      <c r="D1110" s="20">
        <v>0.47152777777777799</v>
      </c>
      <c r="E1110" s="20">
        <v>1.52777777777778E-2</v>
      </c>
      <c r="F1110" s="21" t="s">
        <v>750</v>
      </c>
      <c r="G1110" t="s">
        <v>800</v>
      </c>
    </row>
    <row r="1111" spans="1:7" x14ac:dyDescent="0.3">
      <c r="A1111" s="18" t="s">
        <v>744</v>
      </c>
      <c r="B1111" s="19">
        <v>45022</v>
      </c>
      <c r="C1111" s="20">
        <v>0.74791666666666701</v>
      </c>
      <c r="D1111" s="20">
        <v>0.8125</v>
      </c>
      <c r="E1111" s="20">
        <v>6.4583333333333298E-2</v>
      </c>
      <c r="F1111" s="21" t="s">
        <v>685</v>
      </c>
      <c r="G1111" t="s">
        <v>800</v>
      </c>
    </row>
    <row r="1112" spans="1:7" x14ac:dyDescent="0.3">
      <c r="A1112" s="18" t="s">
        <v>744</v>
      </c>
      <c r="B1112" s="19">
        <v>45022</v>
      </c>
      <c r="C1112" s="20">
        <v>0.8125</v>
      </c>
      <c r="D1112" s="20">
        <v>0.88263888888888897</v>
      </c>
      <c r="E1112" s="20">
        <v>7.0138888888888903E-2</v>
      </c>
      <c r="F1112" s="21" t="s">
        <v>685</v>
      </c>
      <c r="G1112" t="s">
        <v>800</v>
      </c>
    </row>
    <row r="1113" spans="1:7" x14ac:dyDescent="0.3">
      <c r="A1113" s="18" t="s">
        <v>744</v>
      </c>
      <c r="B1113" s="19">
        <v>45026</v>
      </c>
      <c r="C1113" s="20">
        <v>0.79027777777777797</v>
      </c>
      <c r="D1113" s="20">
        <v>0.8125</v>
      </c>
      <c r="E1113" s="20">
        <v>2.2222222222222299E-2</v>
      </c>
      <c r="F1113" s="21" t="s">
        <v>685</v>
      </c>
      <c r="G1113" t="s">
        <v>797</v>
      </c>
    </row>
    <row r="1114" spans="1:7" x14ac:dyDescent="0.3">
      <c r="A1114" s="18" t="s">
        <v>744</v>
      </c>
      <c r="B1114" s="19">
        <v>45026</v>
      </c>
      <c r="C1114" s="20">
        <v>0.8125</v>
      </c>
      <c r="D1114" s="20">
        <v>0.87777777777777799</v>
      </c>
      <c r="E1114" s="20">
        <v>6.5277777777777796E-2</v>
      </c>
      <c r="F1114" s="21" t="s">
        <v>685</v>
      </c>
      <c r="G1114" t="s">
        <v>797</v>
      </c>
    </row>
    <row r="1115" spans="1:7" x14ac:dyDescent="0.3">
      <c r="A1115" s="18" t="s">
        <v>744</v>
      </c>
      <c r="B1115" s="19">
        <v>45027</v>
      </c>
      <c r="C1115" s="20">
        <v>0.74861111111111101</v>
      </c>
      <c r="D1115" s="20">
        <v>0.8125</v>
      </c>
      <c r="E1115" s="20">
        <v>6.3888888888888995E-2</v>
      </c>
      <c r="F1115" s="21" t="s">
        <v>685</v>
      </c>
      <c r="G1115" t="s">
        <v>798</v>
      </c>
    </row>
    <row r="1116" spans="1:7" x14ac:dyDescent="0.3">
      <c r="A1116" s="18" t="s">
        <v>744</v>
      </c>
      <c r="B1116" s="19">
        <v>45027</v>
      </c>
      <c r="C1116" s="20">
        <v>0.8125</v>
      </c>
      <c r="D1116" s="20">
        <v>0.875</v>
      </c>
      <c r="E1116" s="20">
        <v>6.25E-2</v>
      </c>
      <c r="F1116" s="21" t="s">
        <v>685</v>
      </c>
      <c r="G1116" t="s">
        <v>798</v>
      </c>
    </row>
    <row r="1117" spans="1:7" x14ac:dyDescent="0.3">
      <c r="A1117" s="18" t="s">
        <v>744</v>
      </c>
      <c r="B1117" s="19">
        <v>45027</v>
      </c>
      <c r="C1117" s="20">
        <v>0.875</v>
      </c>
      <c r="D1117" s="20">
        <v>0.90347222222222201</v>
      </c>
      <c r="E1117" s="20">
        <v>2.8472222222222201E-2</v>
      </c>
      <c r="F1117" s="21" t="s">
        <v>751</v>
      </c>
      <c r="G1117" t="s">
        <v>798</v>
      </c>
    </row>
    <row r="1118" spans="1:7" x14ac:dyDescent="0.3">
      <c r="A1118" s="18" t="s">
        <v>744</v>
      </c>
      <c r="B1118" s="19">
        <v>45027</v>
      </c>
      <c r="C1118" s="20">
        <v>0.92361111111111105</v>
      </c>
      <c r="D1118" s="20">
        <v>0.95833333333333304</v>
      </c>
      <c r="E1118" s="20">
        <v>3.4722222222222203E-2</v>
      </c>
      <c r="F1118" s="21" t="s">
        <v>752</v>
      </c>
      <c r="G1118" t="s">
        <v>798</v>
      </c>
    </row>
    <row r="1119" spans="1:7" x14ac:dyDescent="0.3">
      <c r="A1119" s="18" t="s">
        <v>744</v>
      </c>
      <c r="B1119" s="19">
        <v>45028</v>
      </c>
      <c r="C1119" s="20">
        <v>0.74861111111111101</v>
      </c>
      <c r="D1119" s="20">
        <v>0.8125</v>
      </c>
      <c r="E1119" s="20">
        <v>6.3888888888888995E-2</v>
      </c>
      <c r="F1119" s="21" t="s">
        <v>685</v>
      </c>
      <c r="G1119" t="s">
        <v>799</v>
      </c>
    </row>
    <row r="1120" spans="1:7" x14ac:dyDescent="0.3">
      <c r="A1120" s="18" t="s">
        <v>744</v>
      </c>
      <c r="B1120" s="19">
        <v>45028</v>
      </c>
      <c r="C1120" s="20">
        <v>0.8125</v>
      </c>
      <c r="D1120" s="20">
        <v>0.87777777777777799</v>
      </c>
      <c r="E1120" s="20">
        <v>6.5277777777777796E-2</v>
      </c>
      <c r="F1120" s="21" t="s">
        <v>685</v>
      </c>
      <c r="G1120" t="s">
        <v>799</v>
      </c>
    </row>
    <row r="1121" spans="1:7" x14ac:dyDescent="0.3">
      <c r="A1121" s="18" t="s">
        <v>744</v>
      </c>
      <c r="B1121" s="19">
        <v>45029</v>
      </c>
      <c r="C1121" s="20">
        <v>0.55486111111111103</v>
      </c>
      <c r="D1121" s="20">
        <v>0.55902777777777801</v>
      </c>
      <c r="E1121" s="20">
        <v>4.1666666666666501E-3</v>
      </c>
      <c r="F1121" s="21" t="s">
        <v>695</v>
      </c>
      <c r="G1121" t="s">
        <v>800</v>
      </c>
    </row>
    <row r="1122" spans="1:7" x14ac:dyDescent="0.3">
      <c r="A1122" s="18" t="s">
        <v>744</v>
      </c>
      <c r="B1122" s="19">
        <v>45029</v>
      </c>
      <c r="C1122" s="20">
        <v>0.74791666666666701</v>
      </c>
      <c r="D1122" s="20">
        <v>0.8125</v>
      </c>
      <c r="E1122" s="20">
        <v>6.4583333333333298E-2</v>
      </c>
      <c r="F1122" s="21" t="s">
        <v>685</v>
      </c>
      <c r="G1122" t="s">
        <v>800</v>
      </c>
    </row>
    <row r="1123" spans="1:7" x14ac:dyDescent="0.3">
      <c r="A1123" s="18" t="s">
        <v>744</v>
      </c>
      <c r="B1123" s="19">
        <v>45029</v>
      </c>
      <c r="C1123" s="20">
        <v>0.8125</v>
      </c>
      <c r="D1123" s="20">
        <v>0.87777777777777799</v>
      </c>
      <c r="E1123" s="20">
        <v>6.5277777777777796E-2</v>
      </c>
      <c r="F1123" s="21" t="s">
        <v>685</v>
      </c>
      <c r="G1123" t="s">
        <v>800</v>
      </c>
    </row>
    <row r="1124" spans="1:7" x14ac:dyDescent="0.3">
      <c r="A1124" s="18" t="s">
        <v>744</v>
      </c>
      <c r="B1124" s="19">
        <v>45030</v>
      </c>
      <c r="C1124" s="20">
        <v>0.25347222222222199</v>
      </c>
      <c r="D1124" s="20">
        <v>0.25763888888888897</v>
      </c>
      <c r="E1124" s="20">
        <v>4.16666666666671E-3</v>
      </c>
      <c r="F1124" s="21" t="s">
        <v>695</v>
      </c>
      <c r="G1124" t="s">
        <v>801</v>
      </c>
    </row>
    <row r="1125" spans="1:7" x14ac:dyDescent="0.3">
      <c r="A1125" s="18" t="s">
        <v>744</v>
      </c>
      <c r="B1125" s="19">
        <v>45030</v>
      </c>
      <c r="C1125" s="20">
        <v>0.51319444444444395</v>
      </c>
      <c r="D1125" s="20">
        <v>0.52013888888888904</v>
      </c>
      <c r="E1125" s="20">
        <v>6.9444444444444198E-3</v>
      </c>
      <c r="F1125" s="21" t="s">
        <v>753</v>
      </c>
      <c r="G1125" t="s">
        <v>801</v>
      </c>
    </row>
    <row r="1126" spans="1:7" x14ac:dyDescent="0.3">
      <c r="A1126" s="18" t="s">
        <v>744</v>
      </c>
      <c r="B1126" s="19">
        <v>45030</v>
      </c>
      <c r="C1126" s="20">
        <v>0.74826388888888895</v>
      </c>
      <c r="D1126" s="20">
        <v>0.8125</v>
      </c>
      <c r="E1126" s="20">
        <v>6.4236111111111202E-2</v>
      </c>
      <c r="F1126" s="21" t="s">
        <v>685</v>
      </c>
      <c r="G1126" t="s">
        <v>801</v>
      </c>
    </row>
    <row r="1127" spans="1:7" x14ac:dyDescent="0.3">
      <c r="A1127" s="18" t="s">
        <v>744</v>
      </c>
      <c r="B1127" s="19">
        <v>45030</v>
      </c>
      <c r="C1127" s="20">
        <v>0.8125</v>
      </c>
      <c r="D1127" s="20">
        <v>0.875</v>
      </c>
      <c r="E1127" s="20">
        <v>6.25E-2</v>
      </c>
      <c r="F1127" s="21" t="s">
        <v>685</v>
      </c>
      <c r="G1127" t="s">
        <v>801</v>
      </c>
    </row>
    <row r="1128" spans="1:7" x14ac:dyDescent="0.3">
      <c r="A1128" s="18" t="s">
        <v>744</v>
      </c>
      <c r="B1128" s="19">
        <v>45030</v>
      </c>
      <c r="C1128" s="20">
        <v>0.875</v>
      </c>
      <c r="D1128" s="20">
        <v>0.88055555555555598</v>
      </c>
      <c r="E1128" s="20">
        <v>5.5555555555555402E-3</v>
      </c>
      <c r="F1128" s="21" t="s">
        <v>753</v>
      </c>
      <c r="G1128" t="s">
        <v>801</v>
      </c>
    </row>
    <row r="1129" spans="1:7" x14ac:dyDescent="0.3">
      <c r="A1129" s="18" t="s">
        <v>744</v>
      </c>
      <c r="B1129" s="19">
        <v>45031</v>
      </c>
      <c r="C1129" s="20">
        <v>0.14513888888888901</v>
      </c>
      <c r="D1129" s="20">
        <v>0.147222222222222</v>
      </c>
      <c r="E1129" s="20">
        <v>2.0833333333333298E-3</v>
      </c>
      <c r="F1129" s="21" t="s">
        <v>695</v>
      </c>
      <c r="G1129" t="s">
        <v>803</v>
      </c>
    </row>
    <row r="1130" spans="1:7" x14ac:dyDescent="0.3">
      <c r="A1130" s="18" t="s">
        <v>744</v>
      </c>
      <c r="B1130" s="19">
        <v>45033</v>
      </c>
      <c r="C1130" s="20">
        <v>0.37361111111111101</v>
      </c>
      <c r="D1130" s="20">
        <v>0.389583333333333</v>
      </c>
      <c r="E1130" s="20">
        <v>1.59722222222222E-2</v>
      </c>
      <c r="F1130" s="21" t="s">
        <v>754</v>
      </c>
      <c r="G1130" t="s">
        <v>797</v>
      </c>
    </row>
    <row r="1131" spans="1:7" x14ac:dyDescent="0.3">
      <c r="A1131" s="18" t="s">
        <v>744</v>
      </c>
      <c r="B1131" s="19">
        <v>45033</v>
      </c>
      <c r="C1131" s="20">
        <v>0.74826388888888895</v>
      </c>
      <c r="D1131" s="20">
        <v>0.8125</v>
      </c>
      <c r="E1131" s="20">
        <v>6.4236111111111202E-2</v>
      </c>
      <c r="F1131" s="21" t="s">
        <v>685</v>
      </c>
      <c r="G1131" t="s">
        <v>797</v>
      </c>
    </row>
    <row r="1132" spans="1:7" x14ac:dyDescent="0.3">
      <c r="A1132" s="18" t="s">
        <v>744</v>
      </c>
      <c r="B1132" s="19">
        <v>45033</v>
      </c>
      <c r="C1132" s="20">
        <v>0.8125</v>
      </c>
      <c r="D1132" s="20">
        <v>0.87708333333333299</v>
      </c>
      <c r="E1132" s="20">
        <v>6.4583333333333298E-2</v>
      </c>
      <c r="F1132" s="21" t="s">
        <v>685</v>
      </c>
      <c r="G1132" t="s">
        <v>797</v>
      </c>
    </row>
    <row r="1133" spans="1:7" x14ac:dyDescent="0.3">
      <c r="A1133" s="18" t="s">
        <v>744</v>
      </c>
      <c r="B1133" s="19">
        <v>45034</v>
      </c>
      <c r="C1133" s="20">
        <v>0.37361111111111101</v>
      </c>
      <c r="D1133" s="20">
        <v>0.389583333333333</v>
      </c>
      <c r="E1133" s="20">
        <v>1.59722222222222E-2</v>
      </c>
      <c r="F1133" s="21" t="s">
        <v>754</v>
      </c>
      <c r="G1133" t="s">
        <v>798</v>
      </c>
    </row>
    <row r="1134" spans="1:7" x14ac:dyDescent="0.3">
      <c r="A1134" s="18" t="s">
        <v>744</v>
      </c>
      <c r="B1134" s="19">
        <v>45034</v>
      </c>
      <c r="C1134" s="20">
        <v>0.74826388888888895</v>
      </c>
      <c r="D1134" s="20">
        <v>0.8125</v>
      </c>
      <c r="E1134" s="20">
        <v>6.4236111111111202E-2</v>
      </c>
      <c r="F1134" s="21" t="s">
        <v>685</v>
      </c>
      <c r="G1134" t="s">
        <v>798</v>
      </c>
    </row>
    <row r="1135" spans="1:7" x14ac:dyDescent="0.3">
      <c r="A1135" s="18" t="s">
        <v>744</v>
      </c>
      <c r="B1135" s="19">
        <v>45034</v>
      </c>
      <c r="C1135" s="20">
        <v>0.8125</v>
      </c>
      <c r="D1135" s="20">
        <v>0.87847222222222199</v>
      </c>
      <c r="E1135" s="20">
        <v>6.5972222222222196E-2</v>
      </c>
      <c r="F1135" s="21" t="s">
        <v>685</v>
      </c>
      <c r="G1135" t="s">
        <v>798</v>
      </c>
    </row>
    <row r="1136" spans="1:7" x14ac:dyDescent="0.3">
      <c r="A1136" s="18" t="s">
        <v>744</v>
      </c>
      <c r="B1136" s="19">
        <v>45034</v>
      </c>
      <c r="C1136" s="20">
        <v>0.97222222222222199</v>
      </c>
      <c r="D1136" s="20">
        <v>0</v>
      </c>
      <c r="E1136" s="20">
        <v>2.7777777777777801E-2</v>
      </c>
      <c r="F1136" s="21" t="s">
        <v>755</v>
      </c>
      <c r="G1136" t="s">
        <v>798</v>
      </c>
    </row>
    <row r="1137" spans="1:7" x14ac:dyDescent="0.3">
      <c r="A1137" s="18" t="s">
        <v>744</v>
      </c>
      <c r="B1137" s="19">
        <v>45035</v>
      </c>
      <c r="C1137" s="20">
        <v>0.74826388888888895</v>
      </c>
      <c r="D1137" s="20">
        <v>0.8125</v>
      </c>
      <c r="E1137" s="20">
        <v>6.4236111111111202E-2</v>
      </c>
      <c r="F1137" s="21" t="s">
        <v>685</v>
      </c>
      <c r="G1137" t="s">
        <v>799</v>
      </c>
    </row>
    <row r="1138" spans="1:7" x14ac:dyDescent="0.3">
      <c r="A1138" s="18" t="s">
        <v>744</v>
      </c>
      <c r="B1138" s="19">
        <v>45035</v>
      </c>
      <c r="C1138" s="20">
        <v>0.8125</v>
      </c>
      <c r="D1138" s="20">
        <v>0.87638888888888899</v>
      </c>
      <c r="E1138" s="20">
        <v>6.3888888888888995E-2</v>
      </c>
      <c r="F1138" s="21" t="s">
        <v>685</v>
      </c>
      <c r="G1138" t="s">
        <v>799</v>
      </c>
    </row>
    <row r="1139" spans="1:7" x14ac:dyDescent="0.3">
      <c r="A1139" s="18" t="s">
        <v>744</v>
      </c>
      <c r="B1139" s="19">
        <v>45036</v>
      </c>
      <c r="C1139" s="20">
        <v>0.36180555555555599</v>
      </c>
      <c r="D1139" s="20">
        <v>0.38611111111111102</v>
      </c>
      <c r="E1139" s="20">
        <v>2.4305555555555601E-2</v>
      </c>
      <c r="F1139" s="21" t="s">
        <v>756</v>
      </c>
      <c r="G1139" t="s">
        <v>800</v>
      </c>
    </row>
    <row r="1140" spans="1:7" x14ac:dyDescent="0.3">
      <c r="A1140" s="18" t="s">
        <v>744</v>
      </c>
      <c r="B1140" s="19">
        <v>45036</v>
      </c>
      <c r="C1140" s="20">
        <v>0.74826388888888895</v>
      </c>
      <c r="D1140" s="20">
        <v>0.8125</v>
      </c>
      <c r="E1140" s="20">
        <v>6.4236111111111202E-2</v>
      </c>
      <c r="F1140" s="21" t="s">
        <v>685</v>
      </c>
      <c r="G1140" t="s">
        <v>800</v>
      </c>
    </row>
    <row r="1141" spans="1:7" x14ac:dyDescent="0.3">
      <c r="A1141" s="18" t="s">
        <v>744</v>
      </c>
      <c r="B1141" s="19">
        <v>45036</v>
      </c>
      <c r="C1141" s="20">
        <v>0.8125</v>
      </c>
      <c r="D1141" s="20">
        <v>0.875</v>
      </c>
      <c r="E1141" s="20">
        <v>6.25E-2</v>
      </c>
      <c r="F1141" s="21" t="s">
        <v>685</v>
      </c>
      <c r="G1141" t="s">
        <v>800</v>
      </c>
    </row>
    <row r="1142" spans="1:7" x14ac:dyDescent="0.3">
      <c r="A1142" s="18" t="s">
        <v>744</v>
      </c>
      <c r="B1142" s="19">
        <v>45036</v>
      </c>
      <c r="C1142" s="20">
        <v>0.875</v>
      </c>
      <c r="D1142" s="20">
        <v>0.88124999999999998</v>
      </c>
      <c r="E1142" s="20">
        <v>6.2499999999999804E-3</v>
      </c>
      <c r="F1142" s="21" t="s">
        <v>757</v>
      </c>
      <c r="G1142" t="s">
        <v>800</v>
      </c>
    </row>
    <row r="1143" spans="1:7" x14ac:dyDescent="0.3">
      <c r="A1143" s="18" t="s">
        <v>744</v>
      </c>
      <c r="B1143" s="19">
        <v>45037</v>
      </c>
      <c r="C1143" s="20">
        <v>0.11874999999999999</v>
      </c>
      <c r="D1143" s="20">
        <v>0.125</v>
      </c>
      <c r="E1143" s="20">
        <v>6.2499999999999899E-3</v>
      </c>
      <c r="F1143" s="21" t="s">
        <v>758</v>
      </c>
      <c r="G1143" t="s">
        <v>801</v>
      </c>
    </row>
    <row r="1144" spans="1:7" x14ac:dyDescent="0.3">
      <c r="A1144" s="18" t="s">
        <v>744</v>
      </c>
      <c r="B1144" s="19">
        <v>45038</v>
      </c>
      <c r="C1144" s="20">
        <v>0.11874999999999999</v>
      </c>
      <c r="D1144" s="20">
        <v>0.125</v>
      </c>
      <c r="E1144" s="20">
        <v>6.2499999999999899E-3</v>
      </c>
      <c r="F1144" s="21" t="s">
        <v>758</v>
      </c>
      <c r="G1144" t="s">
        <v>803</v>
      </c>
    </row>
    <row r="1145" spans="1:7" x14ac:dyDescent="0.3">
      <c r="A1145" s="18" t="s">
        <v>744</v>
      </c>
      <c r="B1145" s="19">
        <v>45038</v>
      </c>
      <c r="C1145" s="20">
        <v>0.99027777777777803</v>
      </c>
      <c r="D1145" s="20">
        <v>0.99583333333333302</v>
      </c>
      <c r="E1145" s="20">
        <v>5.5555555555555402E-3</v>
      </c>
      <c r="F1145" s="21" t="s">
        <v>695</v>
      </c>
      <c r="G1145" t="s">
        <v>803</v>
      </c>
    </row>
    <row r="1146" spans="1:7" x14ac:dyDescent="0.3">
      <c r="A1146" s="18" t="s">
        <v>744</v>
      </c>
      <c r="B1146" s="19">
        <v>45040</v>
      </c>
      <c r="C1146" s="20">
        <v>0.67013888888888895</v>
      </c>
      <c r="D1146" s="20">
        <v>0.67430555555555605</v>
      </c>
      <c r="E1146" s="20">
        <v>4.1666666666667603E-3</v>
      </c>
      <c r="F1146" s="21" t="s">
        <v>695</v>
      </c>
      <c r="G1146" t="s">
        <v>797</v>
      </c>
    </row>
    <row r="1147" spans="1:7" x14ac:dyDescent="0.3">
      <c r="A1147" s="18" t="s">
        <v>744</v>
      </c>
      <c r="B1147" s="19">
        <v>45040</v>
      </c>
      <c r="C1147" s="20">
        <v>0.74861111111111101</v>
      </c>
      <c r="D1147" s="20">
        <v>0.8125</v>
      </c>
      <c r="E1147" s="20">
        <v>6.3888888888888995E-2</v>
      </c>
      <c r="F1147" s="21" t="s">
        <v>685</v>
      </c>
      <c r="G1147" t="s">
        <v>797</v>
      </c>
    </row>
    <row r="1148" spans="1:7" x14ac:dyDescent="0.3">
      <c r="A1148" s="18" t="s">
        <v>744</v>
      </c>
      <c r="B1148" s="19">
        <v>45040</v>
      </c>
      <c r="C1148" s="20">
        <v>0.8125</v>
      </c>
      <c r="D1148" s="20">
        <v>0.875</v>
      </c>
      <c r="E1148" s="20">
        <v>6.25E-2</v>
      </c>
      <c r="F1148" s="21" t="s">
        <v>685</v>
      </c>
      <c r="G1148" t="s">
        <v>797</v>
      </c>
    </row>
    <row r="1149" spans="1:7" x14ac:dyDescent="0.3">
      <c r="A1149" s="18" t="s">
        <v>744</v>
      </c>
      <c r="B1149" s="19">
        <v>45040</v>
      </c>
      <c r="C1149" s="20">
        <v>0.875694444444444</v>
      </c>
      <c r="D1149" s="20">
        <v>0.88124999999999998</v>
      </c>
      <c r="E1149" s="20">
        <v>5.5555555555555402E-3</v>
      </c>
      <c r="F1149" s="21" t="s">
        <v>759</v>
      </c>
      <c r="G1149" t="s">
        <v>797</v>
      </c>
    </row>
    <row r="1150" spans="1:7" x14ac:dyDescent="0.3">
      <c r="A1150" s="18" t="s">
        <v>744</v>
      </c>
      <c r="B1150" s="19">
        <v>45041</v>
      </c>
      <c r="C1150" s="20">
        <v>0.44166666666666698</v>
      </c>
      <c r="D1150" s="20">
        <v>0.44652777777777802</v>
      </c>
      <c r="E1150" s="20">
        <v>4.8611111111111502E-3</v>
      </c>
      <c r="F1150" s="21" t="s">
        <v>695</v>
      </c>
      <c r="G1150" t="s">
        <v>798</v>
      </c>
    </row>
    <row r="1151" spans="1:7" x14ac:dyDescent="0.3">
      <c r="A1151" s="18" t="s">
        <v>744</v>
      </c>
      <c r="B1151" s="19">
        <v>45041</v>
      </c>
      <c r="C1151" s="20">
        <v>0.44861111111111102</v>
      </c>
      <c r="D1151" s="20">
        <v>0.454166666666667</v>
      </c>
      <c r="E1151" s="20">
        <v>5.5555555555555402E-3</v>
      </c>
      <c r="F1151" s="21" t="s">
        <v>760</v>
      </c>
      <c r="G1151" t="s">
        <v>798</v>
      </c>
    </row>
    <row r="1152" spans="1:7" x14ac:dyDescent="0.3">
      <c r="A1152" s="18" t="s">
        <v>744</v>
      </c>
      <c r="B1152" s="19">
        <v>45041</v>
      </c>
      <c r="C1152" s="20">
        <v>0.46041666666666697</v>
      </c>
      <c r="D1152" s="20">
        <v>0.47013888888888899</v>
      </c>
      <c r="E1152" s="20">
        <v>9.7222222222221894E-3</v>
      </c>
      <c r="F1152" s="21" t="s">
        <v>761</v>
      </c>
      <c r="G1152" t="s">
        <v>798</v>
      </c>
    </row>
    <row r="1153" spans="1:7" x14ac:dyDescent="0.3">
      <c r="A1153" s="18" t="s">
        <v>744</v>
      </c>
      <c r="B1153" s="19">
        <v>45041</v>
      </c>
      <c r="C1153" s="20">
        <v>0.5</v>
      </c>
      <c r="D1153" s="20">
        <v>0.5625</v>
      </c>
      <c r="E1153" s="20">
        <v>6.25E-2</v>
      </c>
      <c r="F1153" s="21" t="s">
        <v>748</v>
      </c>
      <c r="G1153" t="s">
        <v>798</v>
      </c>
    </row>
    <row r="1154" spans="1:7" x14ac:dyDescent="0.3">
      <c r="A1154" s="18" t="s">
        <v>744</v>
      </c>
      <c r="B1154" s="19">
        <v>45041</v>
      </c>
      <c r="C1154" s="20">
        <v>0.5625</v>
      </c>
      <c r="D1154" s="20">
        <v>0.58541666666666703</v>
      </c>
      <c r="E1154" s="20">
        <v>2.29166666666667E-2</v>
      </c>
      <c r="F1154" s="21" t="s">
        <v>748</v>
      </c>
      <c r="G1154" t="s">
        <v>798</v>
      </c>
    </row>
    <row r="1155" spans="1:7" x14ac:dyDescent="0.3">
      <c r="A1155" s="18" t="s">
        <v>744</v>
      </c>
      <c r="B1155" s="19">
        <v>45041</v>
      </c>
      <c r="C1155" s="20">
        <v>0.59583333333333299</v>
      </c>
      <c r="D1155" s="20">
        <v>0.65069444444444402</v>
      </c>
      <c r="E1155" s="20">
        <v>5.4861111111111097E-2</v>
      </c>
      <c r="F1155" s="21" t="s">
        <v>762</v>
      </c>
      <c r="G1155" t="s">
        <v>798</v>
      </c>
    </row>
    <row r="1156" spans="1:7" x14ac:dyDescent="0.3">
      <c r="A1156" s="18" t="s">
        <v>744</v>
      </c>
      <c r="B1156" s="19">
        <v>45041</v>
      </c>
      <c r="C1156" s="20">
        <v>0.69791666666666696</v>
      </c>
      <c r="D1156" s="20">
        <v>0.7</v>
      </c>
      <c r="E1156" s="20">
        <v>2.08333333333344E-3</v>
      </c>
      <c r="F1156" s="21" t="s">
        <v>695</v>
      </c>
      <c r="G1156" t="s">
        <v>798</v>
      </c>
    </row>
    <row r="1157" spans="1:7" x14ac:dyDescent="0.3">
      <c r="A1157" s="18" t="s">
        <v>744</v>
      </c>
      <c r="B1157" s="19">
        <v>45041</v>
      </c>
      <c r="C1157" s="20">
        <v>0.74861111111111101</v>
      </c>
      <c r="D1157" s="20">
        <v>0.8125</v>
      </c>
      <c r="E1157" s="20">
        <v>6.3888888888888995E-2</v>
      </c>
      <c r="F1157" s="21" t="s">
        <v>685</v>
      </c>
      <c r="G1157" t="s">
        <v>798</v>
      </c>
    </row>
    <row r="1158" spans="1:7" x14ac:dyDescent="0.3">
      <c r="A1158" s="18" t="s">
        <v>744</v>
      </c>
      <c r="B1158" s="19">
        <v>45041</v>
      </c>
      <c r="C1158" s="20">
        <v>0.8125</v>
      </c>
      <c r="D1158" s="20">
        <v>0.88263888888888897</v>
      </c>
      <c r="E1158" s="20">
        <v>7.0138888888888903E-2</v>
      </c>
      <c r="F1158" s="21" t="s">
        <v>685</v>
      </c>
      <c r="G1158" t="s">
        <v>798</v>
      </c>
    </row>
    <row r="1159" spans="1:7" x14ac:dyDescent="0.3">
      <c r="A1159" s="18" t="s">
        <v>744</v>
      </c>
      <c r="B1159" s="19">
        <v>45041</v>
      </c>
      <c r="C1159" s="20">
        <v>4.2361111111111099E-2</v>
      </c>
      <c r="D1159" s="20">
        <v>4.9305555555555602E-2</v>
      </c>
      <c r="E1159" s="20">
        <v>6.9444444444444501E-3</v>
      </c>
      <c r="F1159" s="21" t="s">
        <v>741</v>
      </c>
      <c r="G1159" t="s">
        <v>798</v>
      </c>
    </row>
    <row r="1160" spans="1:7" x14ac:dyDescent="0.3">
      <c r="A1160" s="18" t="s">
        <v>744</v>
      </c>
      <c r="B1160" s="19">
        <v>45042</v>
      </c>
      <c r="C1160" s="20">
        <v>0.74722222222222201</v>
      </c>
      <c r="D1160" s="20">
        <v>0.8125</v>
      </c>
      <c r="E1160" s="20">
        <v>6.5277777777777796E-2</v>
      </c>
      <c r="F1160" s="21" t="s">
        <v>685</v>
      </c>
      <c r="G1160" t="s">
        <v>799</v>
      </c>
    </row>
    <row r="1161" spans="1:7" x14ac:dyDescent="0.3">
      <c r="A1161" s="18" t="s">
        <v>744</v>
      </c>
      <c r="B1161" s="19">
        <v>45042</v>
      </c>
      <c r="C1161" s="20">
        <v>0.8125</v>
      </c>
      <c r="D1161" s="20">
        <v>0.875</v>
      </c>
      <c r="E1161" s="20">
        <v>6.25E-2</v>
      </c>
      <c r="F1161" s="21" t="s">
        <v>685</v>
      </c>
      <c r="G1161" t="s">
        <v>799</v>
      </c>
    </row>
    <row r="1162" spans="1:7" x14ac:dyDescent="0.3">
      <c r="A1162" s="18" t="s">
        <v>744</v>
      </c>
      <c r="B1162" s="19">
        <v>45042</v>
      </c>
      <c r="C1162" s="20">
        <v>0.875</v>
      </c>
      <c r="D1162" s="20">
        <v>0.9</v>
      </c>
      <c r="E1162" s="20">
        <v>2.5000000000000001E-2</v>
      </c>
      <c r="F1162" s="21" t="s">
        <v>763</v>
      </c>
      <c r="G1162" t="s">
        <v>799</v>
      </c>
    </row>
    <row r="1163" spans="1:7" x14ac:dyDescent="0.3">
      <c r="A1163" s="18" t="s">
        <v>744</v>
      </c>
      <c r="B1163" s="19">
        <v>45043</v>
      </c>
      <c r="C1163" s="20">
        <v>0.49652777777777801</v>
      </c>
      <c r="D1163" s="20">
        <v>0.50694444444444398</v>
      </c>
      <c r="E1163" s="20">
        <v>1.0416666666666701E-2</v>
      </c>
      <c r="F1163" s="21" t="s">
        <v>691</v>
      </c>
      <c r="G1163" t="s">
        <v>800</v>
      </c>
    </row>
    <row r="1164" spans="1:7" x14ac:dyDescent="0.3">
      <c r="A1164" s="18" t="s">
        <v>744</v>
      </c>
      <c r="B1164" s="19">
        <v>45043</v>
      </c>
      <c r="C1164" s="20">
        <v>0.62777777777777799</v>
      </c>
      <c r="D1164" s="20">
        <v>0.64166666666666705</v>
      </c>
      <c r="E1164" s="20">
        <v>1.3888888888888999E-2</v>
      </c>
      <c r="F1164" s="21" t="s">
        <v>764</v>
      </c>
      <c r="G1164" t="s">
        <v>800</v>
      </c>
    </row>
    <row r="1165" spans="1:7" x14ac:dyDescent="0.3">
      <c r="A1165" s="18" t="s">
        <v>744</v>
      </c>
      <c r="B1165" s="19">
        <v>45043</v>
      </c>
      <c r="C1165" s="20">
        <v>0.72777777777777797</v>
      </c>
      <c r="D1165" s="20">
        <v>0.75</v>
      </c>
      <c r="E1165" s="20">
        <v>2.2222222222222299E-2</v>
      </c>
      <c r="F1165" s="21" t="s">
        <v>765</v>
      </c>
      <c r="G1165" t="s">
        <v>800</v>
      </c>
    </row>
    <row r="1166" spans="1:7" x14ac:dyDescent="0.3">
      <c r="A1166" s="18" t="s">
        <v>744</v>
      </c>
      <c r="B1166" s="19">
        <v>45043</v>
      </c>
      <c r="C1166" s="20">
        <v>0.75</v>
      </c>
      <c r="D1166" s="20">
        <v>0.8125</v>
      </c>
      <c r="E1166" s="20">
        <v>6.25E-2</v>
      </c>
      <c r="F1166" s="21" t="s">
        <v>685</v>
      </c>
      <c r="G1166" t="s">
        <v>800</v>
      </c>
    </row>
    <row r="1167" spans="1:7" x14ac:dyDescent="0.3">
      <c r="A1167" s="18" t="s">
        <v>744</v>
      </c>
      <c r="B1167" s="19">
        <v>45043</v>
      </c>
      <c r="C1167" s="20">
        <v>0.8125</v>
      </c>
      <c r="D1167" s="20">
        <v>0.88333333333333297</v>
      </c>
      <c r="E1167" s="20">
        <v>7.0833333333333304E-2</v>
      </c>
      <c r="F1167" s="21" t="s">
        <v>685</v>
      </c>
      <c r="G1167" t="s">
        <v>800</v>
      </c>
    </row>
    <row r="1168" spans="1:7" x14ac:dyDescent="0.3">
      <c r="A1168" s="18" t="s">
        <v>744</v>
      </c>
      <c r="B1168" s="19">
        <v>45044</v>
      </c>
      <c r="C1168" s="20">
        <v>0.38124999999999998</v>
      </c>
      <c r="D1168" s="20">
        <v>0.38611111111111102</v>
      </c>
      <c r="E1168" s="20">
        <v>4.8611111111110904E-3</v>
      </c>
      <c r="F1168" s="21" t="s">
        <v>722</v>
      </c>
      <c r="G1168" t="s">
        <v>801</v>
      </c>
    </row>
    <row r="1169" spans="1:7" x14ac:dyDescent="0.3">
      <c r="A1169" s="18" t="s">
        <v>744</v>
      </c>
      <c r="B1169" s="19">
        <v>45044</v>
      </c>
      <c r="C1169" s="20">
        <v>0.70902777777777803</v>
      </c>
      <c r="D1169" s="20">
        <v>0.71319444444444402</v>
      </c>
      <c r="E1169" s="20">
        <v>4.1666666666667603E-3</v>
      </c>
      <c r="F1169" s="21" t="s">
        <v>766</v>
      </c>
      <c r="G1169" t="s">
        <v>801</v>
      </c>
    </row>
    <row r="1170" spans="1:7" x14ac:dyDescent="0.3">
      <c r="A1170" s="18" t="s">
        <v>744</v>
      </c>
      <c r="B1170" s="19">
        <v>45044</v>
      </c>
      <c r="C1170" s="20">
        <v>0.74861111111111101</v>
      </c>
      <c r="D1170" s="20">
        <v>0.8125</v>
      </c>
      <c r="E1170" s="20">
        <v>6.3888888888888995E-2</v>
      </c>
      <c r="F1170" s="21" t="s">
        <v>685</v>
      </c>
      <c r="G1170" t="s">
        <v>801</v>
      </c>
    </row>
    <row r="1171" spans="1:7" x14ac:dyDescent="0.3">
      <c r="A1171" s="18" t="s">
        <v>744</v>
      </c>
      <c r="B1171" s="19">
        <v>45044</v>
      </c>
      <c r="C1171" s="20">
        <v>0.8125</v>
      </c>
      <c r="D1171" s="20">
        <v>0.875</v>
      </c>
      <c r="E1171" s="20">
        <v>6.25E-2</v>
      </c>
      <c r="F1171" s="21" t="s">
        <v>685</v>
      </c>
      <c r="G1171" t="s">
        <v>801</v>
      </c>
    </row>
    <row r="1172" spans="1:7" x14ac:dyDescent="0.3">
      <c r="A1172" s="18" t="s">
        <v>744</v>
      </c>
      <c r="B1172" s="19">
        <v>45044</v>
      </c>
      <c r="C1172" s="20">
        <v>0.875</v>
      </c>
      <c r="D1172" s="20">
        <v>0.89930555555555503</v>
      </c>
      <c r="E1172" s="20">
        <v>2.43055555555555E-2</v>
      </c>
      <c r="F1172" s="21" t="s">
        <v>767</v>
      </c>
      <c r="G1172" t="s">
        <v>801</v>
      </c>
    </row>
    <row r="1173" spans="1:7" x14ac:dyDescent="0.3">
      <c r="A1173" s="18" t="s">
        <v>744</v>
      </c>
      <c r="B1173" s="19">
        <v>45044</v>
      </c>
      <c r="C1173" s="20">
        <v>0.90277777777777801</v>
      </c>
      <c r="D1173" s="20">
        <v>0.90763888888888899</v>
      </c>
      <c r="E1173" s="20">
        <v>4.8611111111112101E-3</v>
      </c>
      <c r="F1173" s="21" t="s">
        <v>768</v>
      </c>
      <c r="G1173" t="s">
        <v>801</v>
      </c>
    </row>
    <row r="1174" spans="1:7" x14ac:dyDescent="0.3">
      <c r="A1174" s="18" t="s">
        <v>744</v>
      </c>
      <c r="B1174" s="19">
        <v>45045</v>
      </c>
      <c r="C1174" s="20">
        <v>0.63472222222222197</v>
      </c>
      <c r="D1174" s="20">
        <v>0.63819444444444395</v>
      </c>
      <c r="E1174" s="20">
        <v>3.4722222222222099E-3</v>
      </c>
      <c r="F1174" s="21" t="s">
        <v>769</v>
      </c>
      <c r="G1174" t="s">
        <v>803</v>
      </c>
    </row>
    <row r="1175" spans="1:7" x14ac:dyDescent="0.3">
      <c r="A1175" s="18" t="s">
        <v>744</v>
      </c>
      <c r="B1175" s="19">
        <v>45046</v>
      </c>
      <c r="C1175" s="20">
        <v>0.67291666666666705</v>
      </c>
      <c r="D1175" s="20">
        <v>0.67708333333333304</v>
      </c>
      <c r="E1175" s="20">
        <v>4.1666666666667603E-3</v>
      </c>
      <c r="F1175" s="21" t="s">
        <v>769</v>
      </c>
      <c r="G1175" t="s">
        <v>802</v>
      </c>
    </row>
    <row r="1176" spans="1:7" x14ac:dyDescent="0.3">
      <c r="A1176" s="18" t="s">
        <v>744</v>
      </c>
      <c r="B1176" s="19">
        <v>45046</v>
      </c>
      <c r="C1176" s="20">
        <v>0.84375</v>
      </c>
      <c r="D1176" s="20">
        <v>0.85902777777777795</v>
      </c>
      <c r="E1176" s="20">
        <v>1.52777777777778E-2</v>
      </c>
      <c r="F1176" s="21" t="s">
        <v>770</v>
      </c>
      <c r="G1176" t="s">
        <v>802</v>
      </c>
    </row>
    <row r="1177" spans="1:7" x14ac:dyDescent="0.3">
      <c r="A1177" s="18" t="s">
        <v>771</v>
      </c>
      <c r="B1177" s="19">
        <v>45017</v>
      </c>
      <c r="C1177" s="20">
        <v>0.17361111111111099</v>
      </c>
      <c r="D1177" s="20">
        <v>0.17777777777777801</v>
      </c>
      <c r="E1177" s="20">
        <v>4.1666666666666501E-3</v>
      </c>
      <c r="F1177" s="21" t="s">
        <v>772</v>
      </c>
      <c r="G1177" t="s">
        <v>803</v>
      </c>
    </row>
    <row r="1178" spans="1:7" x14ac:dyDescent="0.3">
      <c r="A1178" s="18" t="s">
        <v>771</v>
      </c>
      <c r="B1178" s="19">
        <v>45017</v>
      </c>
      <c r="C1178" s="20">
        <v>0.19305555555555601</v>
      </c>
      <c r="D1178" s="20">
        <v>0.19930555555555601</v>
      </c>
      <c r="E1178" s="20">
        <v>6.2500000000000099E-3</v>
      </c>
      <c r="F1178" s="21" t="s">
        <v>772</v>
      </c>
      <c r="G1178" t="s">
        <v>803</v>
      </c>
    </row>
    <row r="1179" spans="1:7" x14ac:dyDescent="0.3">
      <c r="A1179" s="18" t="s">
        <v>771</v>
      </c>
      <c r="B1179" s="19">
        <v>45017</v>
      </c>
      <c r="C1179" s="20">
        <v>0.22083333333333299</v>
      </c>
      <c r="D1179" s="20">
        <v>0.26250000000000001</v>
      </c>
      <c r="E1179" s="20">
        <v>4.1666666666666699E-2</v>
      </c>
      <c r="F1179" s="21" t="s">
        <v>772</v>
      </c>
      <c r="G1179" t="s">
        <v>803</v>
      </c>
    </row>
    <row r="1180" spans="1:7" x14ac:dyDescent="0.3">
      <c r="A1180" s="18" t="s">
        <v>771</v>
      </c>
      <c r="B1180" s="19">
        <v>45018</v>
      </c>
      <c r="C1180" s="20">
        <v>0.17361111111111099</v>
      </c>
      <c r="D1180" s="20">
        <v>0.17777777777777801</v>
      </c>
      <c r="E1180" s="20">
        <v>4.1666666666666501E-3</v>
      </c>
      <c r="F1180" s="21" t="s">
        <v>772</v>
      </c>
      <c r="G1180" t="s">
        <v>802</v>
      </c>
    </row>
    <row r="1181" spans="1:7" x14ac:dyDescent="0.3">
      <c r="A1181" s="18" t="s">
        <v>771</v>
      </c>
      <c r="B1181" s="19">
        <v>45018</v>
      </c>
      <c r="C1181" s="20">
        <v>0.19305555555555601</v>
      </c>
      <c r="D1181" s="20">
        <v>0.19930555555555601</v>
      </c>
      <c r="E1181" s="20">
        <v>6.2500000000000099E-3</v>
      </c>
      <c r="F1181" s="21" t="s">
        <v>772</v>
      </c>
      <c r="G1181" t="s">
        <v>802</v>
      </c>
    </row>
    <row r="1182" spans="1:7" x14ac:dyDescent="0.3">
      <c r="A1182" s="18" t="s">
        <v>771</v>
      </c>
      <c r="B1182" s="19">
        <v>45018</v>
      </c>
      <c r="C1182" s="20">
        <v>0.22083333333333299</v>
      </c>
      <c r="D1182" s="20">
        <v>0.26250000000000001</v>
      </c>
      <c r="E1182" s="20">
        <v>4.1666666666666699E-2</v>
      </c>
      <c r="F1182" s="21" t="s">
        <v>772</v>
      </c>
      <c r="G1182" t="s">
        <v>802</v>
      </c>
    </row>
    <row r="1183" spans="1:7" x14ac:dyDescent="0.3">
      <c r="A1183" s="18" t="s">
        <v>771</v>
      </c>
      <c r="B1183" s="19">
        <v>45019</v>
      </c>
      <c r="C1183" s="20">
        <v>0.74895833333333295</v>
      </c>
      <c r="D1183" s="20">
        <v>0.8125</v>
      </c>
      <c r="E1183" s="20">
        <v>6.3541666666666594E-2</v>
      </c>
      <c r="F1183" s="21" t="s">
        <v>685</v>
      </c>
      <c r="G1183" t="s">
        <v>797</v>
      </c>
    </row>
    <row r="1184" spans="1:7" x14ac:dyDescent="0.3">
      <c r="A1184" s="18" t="s">
        <v>771</v>
      </c>
      <c r="B1184" s="19">
        <v>45019</v>
      </c>
      <c r="C1184" s="20">
        <v>0.8125</v>
      </c>
      <c r="D1184" s="20">
        <v>0.87638888888888899</v>
      </c>
      <c r="E1184" s="20">
        <v>6.3888888888888995E-2</v>
      </c>
      <c r="F1184" s="21" t="s">
        <v>685</v>
      </c>
      <c r="G1184" t="s">
        <v>797</v>
      </c>
    </row>
    <row r="1185" spans="1:7" x14ac:dyDescent="0.3">
      <c r="A1185" s="18" t="s">
        <v>771</v>
      </c>
      <c r="B1185" s="19">
        <v>45020</v>
      </c>
      <c r="C1185" s="20">
        <v>0.74791666666666701</v>
      </c>
      <c r="D1185" s="20">
        <v>0.8125</v>
      </c>
      <c r="E1185" s="20">
        <v>6.4583333333333298E-2</v>
      </c>
      <c r="F1185" s="21" t="s">
        <v>685</v>
      </c>
      <c r="G1185" t="s">
        <v>798</v>
      </c>
    </row>
    <row r="1186" spans="1:7" x14ac:dyDescent="0.3">
      <c r="A1186" s="18" t="s">
        <v>771</v>
      </c>
      <c r="B1186" s="19">
        <v>45020</v>
      </c>
      <c r="C1186" s="20">
        <v>0.8125</v>
      </c>
      <c r="D1186" s="20">
        <v>0.875694444444444</v>
      </c>
      <c r="E1186" s="20">
        <v>6.31944444444444E-2</v>
      </c>
      <c r="F1186" s="21" t="s">
        <v>685</v>
      </c>
      <c r="G1186" t="s">
        <v>798</v>
      </c>
    </row>
    <row r="1187" spans="1:7" x14ac:dyDescent="0.3">
      <c r="A1187" s="18" t="s">
        <v>771</v>
      </c>
      <c r="B1187" s="19">
        <v>45021</v>
      </c>
      <c r="C1187" s="20">
        <v>0.59861111111111098</v>
      </c>
      <c r="D1187" s="20">
        <v>0.60208333333333297</v>
      </c>
      <c r="E1187" s="20">
        <v>3.4722222222222099E-3</v>
      </c>
      <c r="F1187" s="21" t="s">
        <v>706</v>
      </c>
      <c r="G1187" t="s">
        <v>799</v>
      </c>
    </row>
    <row r="1188" spans="1:7" x14ac:dyDescent="0.3">
      <c r="A1188" s="18" t="s">
        <v>771</v>
      </c>
      <c r="B1188" s="19">
        <v>45021</v>
      </c>
      <c r="C1188" s="20">
        <v>0.74791666666666701</v>
      </c>
      <c r="D1188" s="20">
        <v>0.8125</v>
      </c>
      <c r="E1188" s="20">
        <v>6.4583333333333298E-2</v>
      </c>
      <c r="F1188" s="21" t="s">
        <v>685</v>
      </c>
      <c r="G1188" t="s">
        <v>799</v>
      </c>
    </row>
    <row r="1189" spans="1:7" x14ac:dyDescent="0.3">
      <c r="A1189" s="18" t="s">
        <v>771</v>
      </c>
      <c r="B1189" s="19">
        <v>45021</v>
      </c>
      <c r="C1189" s="20">
        <v>0.8125</v>
      </c>
      <c r="D1189" s="20">
        <v>0</v>
      </c>
      <c r="E1189" s="20">
        <v>0.1875</v>
      </c>
      <c r="F1189" s="21" t="s">
        <v>685</v>
      </c>
      <c r="G1189" t="s">
        <v>799</v>
      </c>
    </row>
    <row r="1190" spans="1:7" x14ac:dyDescent="0.3">
      <c r="A1190" s="18" t="s">
        <v>771</v>
      </c>
      <c r="B1190" s="19">
        <v>45022</v>
      </c>
      <c r="C1190" s="20">
        <v>0.74791666666666701</v>
      </c>
      <c r="D1190" s="20">
        <v>0.8125</v>
      </c>
      <c r="E1190" s="20">
        <v>6.4583333333333298E-2</v>
      </c>
      <c r="F1190" s="21" t="s">
        <v>685</v>
      </c>
      <c r="G1190" t="s">
        <v>800</v>
      </c>
    </row>
    <row r="1191" spans="1:7" x14ac:dyDescent="0.3">
      <c r="A1191" s="18" t="s">
        <v>771</v>
      </c>
      <c r="B1191" s="19">
        <v>45022</v>
      </c>
      <c r="C1191" s="20">
        <v>0.8125</v>
      </c>
      <c r="D1191" s="20">
        <v>0.87847222222222199</v>
      </c>
      <c r="E1191" s="20">
        <v>6.5972222222222196E-2</v>
      </c>
      <c r="F1191" s="21" t="s">
        <v>685</v>
      </c>
      <c r="G1191" t="s">
        <v>800</v>
      </c>
    </row>
    <row r="1192" spans="1:7" x14ac:dyDescent="0.3">
      <c r="A1192" s="18" t="s">
        <v>771</v>
      </c>
      <c r="B1192" s="19">
        <v>45026</v>
      </c>
      <c r="C1192" s="20">
        <v>0.74861111111111101</v>
      </c>
      <c r="D1192" s="20">
        <v>0.8125</v>
      </c>
      <c r="E1192" s="20">
        <v>6.3888888888888995E-2</v>
      </c>
      <c r="F1192" s="21" t="s">
        <v>685</v>
      </c>
      <c r="G1192" t="s">
        <v>797</v>
      </c>
    </row>
    <row r="1193" spans="1:7" x14ac:dyDescent="0.3">
      <c r="A1193" s="18" t="s">
        <v>771</v>
      </c>
      <c r="B1193" s="19">
        <v>45026</v>
      </c>
      <c r="C1193" s="20">
        <v>0.8125</v>
      </c>
      <c r="D1193" s="20">
        <v>0.875</v>
      </c>
      <c r="E1193" s="20">
        <v>6.25E-2</v>
      </c>
      <c r="F1193" s="21" t="s">
        <v>685</v>
      </c>
      <c r="G1193" t="s">
        <v>797</v>
      </c>
    </row>
    <row r="1194" spans="1:7" x14ac:dyDescent="0.3">
      <c r="A1194" s="18" t="s">
        <v>771</v>
      </c>
      <c r="B1194" s="19">
        <v>45026</v>
      </c>
      <c r="C1194" s="20">
        <v>0.875</v>
      </c>
      <c r="D1194" s="20">
        <v>0.88263888888888897</v>
      </c>
      <c r="E1194" s="20">
        <v>7.63888888888886E-3</v>
      </c>
      <c r="F1194" s="21" t="s">
        <v>773</v>
      </c>
      <c r="G1194" t="s">
        <v>797</v>
      </c>
    </row>
    <row r="1195" spans="1:7" x14ac:dyDescent="0.3">
      <c r="A1195" s="18" t="s">
        <v>771</v>
      </c>
      <c r="B1195" s="19">
        <v>45026</v>
      </c>
      <c r="C1195" s="20">
        <v>0.98541666666666705</v>
      </c>
      <c r="D1195" s="20">
        <v>0.98680555555555605</v>
      </c>
      <c r="E1195" s="20">
        <v>1.388888888889E-3</v>
      </c>
      <c r="F1195" s="21" t="s">
        <v>774</v>
      </c>
      <c r="G1195" t="s">
        <v>797</v>
      </c>
    </row>
    <row r="1196" spans="1:7" x14ac:dyDescent="0.3">
      <c r="A1196" s="18" t="s">
        <v>771</v>
      </c>
      <c r="B1196" s="19">
        <v>45027</v>
      </c>
      <c r="C1196" s="20">
        <v>0.74861111111111101</v>
      </c>
      <c r="D1196" s="20">
        <v>0.8125</v>
      </c>
      <c r="E1196" s="20">
        <v>6.3888888888888995E-2</v>
      </c>
      <c r="F1196" s="21" t="s">
        <v>685</v>
      </c>
      <c r="G1196" t="s">
        <v>798</v>
      </c>
    </row>
    <row r="1197" spans="1:7" x14ac:dyDescent="0.3">
      <c r="A1197" s="18" t="s">
        <v>771</v>
      </c>
      <c r="B1197" s="19">
        <v>45027</v>
      </c>
      <c r="C1197" s="20">
        <v>0.8125</v>
      </c>
      <c r="D1197" s="20">
        <v>0.875</v>
      </c>
      <c r="E1197" s="20">
        <v>6.25E-2</v>
      </c>
      <c r="F1197" s="21" t="s">
        <v>685</v>
      </c>
      <c r="G1197" t="s">
        <v>798</v>
      </c>
    </row>
    <row r="1198" spans="1:7" x14ac:dyDescent="0.3">
      <c r="A1198" s="18" t="s">
        <v>771</v>
      </c>
      <c r="B1198" s="19">
        <v>45027</v>
      </c>
      <c r="C1198" s="20">
        <v>0.875</v>
      </c>
      <c r="D1198" s="20">
        <v>0.87986111111111098</v>
      </c>
      <c r="E1198" s="20">
        <v>4.8611111111110904E-3</v>
      </c>
      <c r="F1198" s="21" t="s">
        <v>723</v>
      </c>
      <c r="G1198" t="s">
        <v>798</v>
      </c>
    </row>
    <row r="1199" spans="1:7" x14ac:dyDescent="0.3">
      <c r="A1199" s="18" t="s">
        <v>771</v>
      </c>
      <c r="B1199" s="19">
        <v>45028</v>
      </c>
      <c r="C1199" s="20">
        <v>0.42361111111111099</v>
      </c>
      <c r="D1199" s="20">
        <v>0.5625</v>
      </c>
      <c r="E1199" s="20">
        <v>0.13888888888888901</v>
      </c>
      <c r="F1199" s="21" t="s">
        <v>775</v>
      </c>
      <c r="G1199" t="s">
        <v>799</v>
      </c>
    </row>
    <row r="1200" spans="1:7" x14ac:dyDescent="0.3">
      <c r="A1200" s="18" t="s">
        <v>771</v>
      </c>
      <c r="B1200" s="19">
        <v>45028</v>
      </c>
      <c r="C1200" s="20">
        <v>0.74861111111111101</v>
      </c>
      <c r="D1200" s="20">
        <v>0.8125</v>
      </c>
      <c r="E1200" s="20">
        <v>6.3888888888888995E-2</v>
      </c>
      <c r="F1200" s="21" t="s">
        <v>685</v>
      </c>
      <c r="G1200" t="s">
        <v>799</v>
      </c>
    </row>
    <row r="1201" spans="1:7" x14ac:dyDescent="0.3">
      <c r="A1201" s="18" t="s">
        <v>771</v>
      </c>
      <c r="B1201" s="19">
        <v>45028</v>
      </c>
      <c r="C1201" s="20">
        <v>0.8125</v>
      </c>
      <c r="D1201" s="20">
        <v>0.87916666666666698</v>
      </c>
      <c r="E1201" s="20">
        <v>6.6666666666666805E-2</v>
      </c>
      <c r="F1201" s="21" t="s">
        <v>685</v>
      </c>
      <c r="G1201" t="s">
        <v>799</v>
      </c>
    </row>
    <row r="1202" spans="1:7" x14ac:dyDescent="0.3">
      <c r="A1202" s="18" t="s">
        <v>771</v>
      </c>
      <c r="B1202" s="19">
        <v>45029</v>
      </c>
      <c r="C1202" s="20">
        <v>0.42361111111111099</v>
      </c>
      <c r="D1202" s="20">
        <v>0.5625</v>
      </c>
      <c r="E1202" s="20">
        <v>0.13888888888888901</v>
      </c>
      <c r="F1202" s="21" t="s">
        <v>775</v>
      </c>
      <c r="G1202" t="s">
        <v>800</v>
      </c>
    </row>
    <row r="1203" spans="1:7" x14ac:dyDescent="0.3">
      <c r="A1203" s="18" t="s">
        <v>771</v>
      </c>
      <c r="B1203" s="19">
        <v>45029</v>
      </c>
      <c r="C1203" s="20">
        <v>0.5625</v>
      </c>
      <c r="D1203" s="20">
        <v>0.75</v>
      </c>
      <c r="E1203" s="20">
        <v>0.1875</v>
      </c>
      <c r="F1203" s="21" t="s">
        <v>775</v>
      </c>
      <c r="G1203" t="s">
        <v>800</v>
      </c>
    </row>
    <row r="1204" spans="1:7" x14ac:dyDescent="0.3">
      <c r="A1204" s="18" t="s">
        <v>771</v>
      </c>
      <c r="B1204" s="19">
        <v>45029</v>
      </c>
      <c r="C1204" s="20">
        <v>0.75</v>
      </c>
      <c r="D1204" s="20">
        <v>0.8125</v>
      </c>
      <c r="E1204" s="20">
        <v>6.25E-2</v>
      </c>
      <c r="F1204" s="21" t="s">
        <v>685</v>
      </c>
      <c r="G1204" t="s">
        <v>800</v>
      </c>
    </row>
    <row r="1205" spans="1:7" x14ac:dyDescent="0.3">
      <c r="A1205" s="18" t="s">
        <v>771</v>
      </c>
      <c r="B1205" s="19">
        <v>45029</v>
      </c>
      <c r="C1205" s="20">
        <v>0.8125</v>
      </c>
      <c r="D1205" s="20">
        <v>0.85902777777777795</v>
      </c>
      <c r="E1205" s="20">
        <v>4.65277777777778E-2</v>
      </c>
      <c r="F1205" s="21" t="s">
        <v>685</v>
      </c>
      <c r="G1205" t="s">
        <v>800</v>
      </c>
    </row>
    <row r="1206" spans="1:7" x14ac:dyDescent="0.3">
      <c r="A1206" s="18" t="s">
        <v>771</v>
      </c>
      <c r="B1206" s="19">
        <v>45029</v>
      </c>
      <c r="C1206" s="20">
        <v>0.88055555555555598</v>
      </c>
      <c r="D1206" s="20">
        <v>0.88124999999999998</v>
      </c>
      <c r="E1206" s="20">
        <v>6.9444444444444198E-4</v>
      </c>
      <c r="F1206" s="21" t="s">
        <v>709</v>
      </c>
      <c r="G1206" t="s">
        <v>800</v>
      </c>
    </row>
    <row r="1207" spans="1:7" x14ac:dyDescent="0.3">
      <c r="A1207" s="18" t="s">
        <v>771</v>
      </c>
      <c r="B1207" s="19">
        <v>45030</v>
      </c>
      <c r="C1207" s="20">
        <v>0.74895833333333295</v>
      </c>
      <c r="D1207" s="20">
        <v>0.8125</v>
      </c>
      <c r="E1207" s="20">
        <v>6.3541666666666594E-2</v>
      </c>
      <c r="F1207" s="21" t="s">
        <v>685</v>
      </c>
      <c r="G1207" t="s">
        <v>801</v>
      </c>
    </row>
    <row r="1208" spans="1:7" x14ac:dyDescent="0.3">
      <c r="A1208" s="18" t="s">
        <v>771</v>
      </c>
      <c r="B1208" s="19">
        <v>45030</v>
      </c>
      <c r="C1208" s="20">
        <v>0.8125</v>
      </c>
      <c r="D1208" s="20">
        <v>0.87708333333333299</v>
      </c>
      <c r="E1208" s="20">
        <v>6.4583333333333298E-2</v>
      </c>
      <c r="F1208" s="21" t="s">
        <v>685</v>
      </c>
      <c r="G1208" t="s">
        <v>801</v>
      </c>
    </row>
    <row r="1209" spans="1:7" x14ac:dyDescent="0.3">
      <c r="A1209" s="18" t="s">
        <v>771</v>
      </c>
      <c r="B1209" s="19">
        <v>45032</v>
      </c>
      <c r="C1209" s="20">
        <v>0.74861111111111101</v>
      </c>
      <c r="D1209" s="20">
        <v>0.8125</v>
      </c>
      <c r="E1209" s="20">
        <v>6.3888888888888995E-2</v>
      </c>
      <c r="F1209" s="21" t="s">
        <v>685</v>
      </c>
      <c r="G1209" t="s">
        <v>802</v>
      </c>
    </row>
    <row r="1210" spans="1:7" x14ac:dyDescent="0.3">
      <c r="A1210" s="18" t="s">
        <v>771</v>
      </c>
      <c r="B1210" s="19">
        <v>45032</v>
      </c>
      <c r="C1210" s="20">
        <v>0.8125</v>
      </c>
      <c r="D1210" s="20">
        <v>0.875</v>
      </c>
      <c r="E1210" s="20">
        <v>6.25E-2</v>
      </c>
      <c r="F1210" s="21" t="s">
        <v>685</v>
      </c>
      <c r="G1210" t="s">
        <v>802</v>
      </c>
    </row>
    <row r="1211" spans="1:7" x14ac:dyDescent="0.3">
      <c r="A1211" s="18" t="s">
        <v>771</v>
      </c>
      <c r="B1211" s="19">
        <v>45032</v>
      </c>
      <c r="C1211" s="20">
        <v>0.875</v>
      </c>
      <c r="D1211" s="20">
        <v>0.88055555555555598</v>
      </c>
      <c r="E1211" s="20">
        <v>5.5555555555555402E-3</v>
      </c>
      <c r="F1211" s="21" t="s">
        <v>776</v>
      </c>
      <c r="G1211" t="s">
        <v>802</v>
      </c>
    </row>
    <row r="1212" spans="1:7" x14ac:dyDescent="0.3">
      <c r="A1212" s="18" t="s">
        <v>771</v>
      </c>
      <c r="B1212" s="19">
        <v>45033</v>
      </c>
      <c r="C1212" s="20">
        <v>0.74861111111111101</v>
      </c>
      <c r="D1212" s="20">
        <v>0.8125</v>
      </c>
      <c r="E1212" s="20">
        <v>6.3888888888888995E-2</v>
      </c>
      <c r="F1212" s="21" t="s">
        <v>685</v>
      </c>
      <c r="G1212" t="s">
        <v>797</v>
      </c>
    </row>
    <row r="1213" spans="1:7" x14ac:dyDescent="0.3">
      <c r="A1213" s="18" t="s">
        <v>771</v>
      </c>
      <c r="B1213" s="19">
        <v>45033</v>
      </c>
      <c r="C1213" s="20">
        <v>0.8125</v>
      </c>
      <c r="D1213" s="20">
        <v>0.875</v>
      </c>
      <c r="E1213" s="20">
        <v>6.25E-2</v>
      </c>
      <c r="F1213" s="21" t="s">
        <v>685</v>
      </c>
      <c r="G1213" t="s">
        <v>797</v>
      </c>
    </row>
    <row r="1214" spans="1:7" x14ac:dyDescent="0.3">
      <c r="A1214" s="18" t="s">
        <v>771</v>
      </c>
      <c r="B1214" s="19">
        <v>45033</v>
      </c>
      <c r="C1214" s="20">
        <v>0.875</v>
      </c>
      <c r="D1214" s="20">
        <v>0.88055555555555598</v>
      </c>
      <c r="E1214" s="20">
        <v>5.5555555555555402E-3</v>
      </c>
      <c r="F1214" s="21" t="s">
        <v>776</v>
      </c>
      <c r="G1214" t="s">
        <v>797</v>
      </c>
    </row>
    <row r="1215" spans="1:7" x14ac:dyDescent="0.3">
      <c r="A1215" s="18" t="s">
        <v>771</v>
      </c>
      <c r="B1215" s="19">
        <v>45034</v>
      </c>
      <c r="C1215" s="20">
        <v>0.74861111111111101</v>
      </c>
      <c r="D1215" s="20">
        <v>0.8125</v>
      </c>
      <c r="E1215" s="20">
        <v>6.3888888888888995E-2</v>
      </c>
      <c r="F1215" s="21" t="s">
        <v>685</v>
      </c>
      <c r="G1215" t="s">
        <v>798</v>
      </c>
    </row>
    <row r="1216" spans="1:7" x14ac:dyDescent="0.3">
      <c r="A1216" s="18" t="s">
        <v>771</v>
      </c>
      <c r="B1216" s="19">
        <v>45034</v>
      </c>
      <c r="C1216" s="20">
        <v>0.8125</v>
      </c>
      <c r="D1216" s="20">
        <v>0.87638888888888899</v>
      </c>
      <c r="E1216" s="20">
        <v>6.3888888888888995E-2</v>
      </c>
      <c r="F1216" s="21" t="s">
        <v>685</v>
      </c>
      <c r="G1216" t="s">
        <v>798</v>
      </c>
    </row>
    <row r="1217" spans="1:7" x14ac:dyDescent="0.3">
      <c r="A1217" s="18" t="s">
        <v>771</v>
      </c>
      <c r="B1217" s="19">
        <v>45035</v>
      </c>
      <c r="C1217" s="20">
        <v>0.74895833333333295</v>
      </c>
      <c r="D1217" s="20">
        <v>0.8125</v>
      </c>
      <c r="E1217" s="20">
        <v>6.3541666666666594E-2</v>
      </c>
      <c r="F1217" s="21" t="s">
        <v>685</v>
      </c>
      <c r="G1217" t="s">
        <v>799</v>
      </c>
    </row>
    <row r="1218" spans="1:7" x14ac:dyDescent="0.3">
      <c r="A1218" s="18" t="s">
        <v>771</v>
      </c>
      <c r="B1218" s="19">
        <v>45035</v>
      </c>
      <c r="C1218" s="20">
        <v>0.8125</v>
      </c>
      <c r="D1218" s="20">
        <v>0.87708333333333299</v>
      </c>
      <c r="E1218" s="20">
        <v>6.4583333333333298E-2</v>
      </c>
      <c r="F1218" s="21" t="s">
        <v>685</v>
      </c>
      <c r="G1218" t="s">
        <v>799</v>
      </c>
    </row>
    <row r="1219" spans="1:7" x14ac:dyDescent="0.3">
      <c r="A1219" s="18" t="s">
        <v>771</v>
      </c>
      <c r="B1219" s="19">
        <v>45036</v>
      </c>
      <c r="C1219" s="20">
        <v>0.52777777777777801</v>
      </c>
      <c r="D1219" s="20">
        <v>0.53541666666666698</v>
      </c>
      <c r="E1219" s="20">
        <v>7.63888888888886E-3</v>
      </c>
      <c r="F1219" s="21" t="s">
        <v>777</v>
      </c>
      <c r="G1219" t="s">
        <v>800</v>
      </c>
    </row>
    <row r="1220" spans="1:7" x14ac:dyDescent="0.3">
      <c r="A1220" s="18" t="s">
        <v>771</v>
      </c>
      <c r="B1220" s="19">
        <v>45036</v>
      </c>
      <c r="C1220" s="20">
        <v>0.74895833333333295</v>
      </c>
      <c r="D1220" s="20">
        <v>0.8125</v>
      </c>
      <c r="E1220" s="20">
        <v>6.3541666666666594E-2</v>
      </c>
      <c r="F1220" s="21" t="s">
        <v>685</v>
      </c>
      <c r="G1220" t="s">
        <v>800</v>
      </c>
    </row>
    <row r="1221" spans="1:7" x14ac:dyDescent="0.3">
      <c r="A1221" s="18" t="s">
        <v>771</v>
      </c>
      <c r="B1221" s="19">
        <v>45036</v>
      </c>
      <c r="C1221" s="20">
        <v>0.8125</v>
      </c>
      <c r="D1221" s="20">
        <v>0.87847222222222199</v>
      </c>
      <c r="E1221" s="20">
        <v>6.5972222222222196E-2</v>
      </c>
      <c r="F1221" s="21" t="s">
        <v>685</v>
      </c>
      <c r="G1221" t="s">
        <v>800</v>
      </c>
    </row>
    <row r="1222" spans="1:7" x14ac:dyDescent="0.3">
      <c r="A1222" s="18" t="s">
        <v>771</v>
      </c>
      <c r="B1222" s="19">
        <v>45038</v>
      </c>
      <c r="C1222" s="20">
        <v>0.390277777777778</v>
      </c>
      <c r="D1222" s="20">
        <v>0.390972222222222</v>
      </c>
      <c r="E1222" s="20">
        <v>6.9444444444444198E-4</v>
      </c>
      <c r="F1222" s="21" t="s">
        <v>778</v>
      </c>
      <c r="G1222" t="s">
        <v>803</v>
      </c>
    </row>
    <row r="1223" spans="1:7" x14ac:dyDescent="0.3">
      <c r="A1223" s="18" t="s">
        <v>771</v>
      </c>
      <c r="B1223" s="19">
        <v>45038</v>
      </c>
      <c r="C1223" s="20">
        <v>0.61111111111111105</v>
      </c>
      <c r="D1223" s="20">
        <v>0</v>
      </c>
      <c r="E1223" s="20">
        <v>0.38888888888888901</v>
      </c>
      <c r="F1223" s="21" t="s">
        <v>748</v>
      </c>
      <c r="G1223" t="s">
        <v>803</v>
      </c>
    </row>
    <row r="1224" spans="1:7" x14ac:dyDescent="0.3">
      <c r="A1224" s="18" t="s">
        <v>771</v>
      </c>
      <c r="B1224" s="19">
        <v>45039</v>
      </c>
      <c r="C1224" s="20">
        <v>0.61111111111111105</v>
      </c>
      <c r="D1224" s="20">
        <v>0.73055555555555596</v>
      </c>
      <c r="E1224" s="20">
        <v>0.11944444444444501</v>
      </c>
      <c r="F1224" s="21" t="s">
        <v>748</v>
      </c>
      <c r="G1224" t="s">
        <v>802</v>
      </c>
    </row>
    <row r="1225" spans="1:7" x14ac:dyDescent="0.3">
      <c r="A1225" s="18" t="s">
        <v>771</v>
      </c>
      <c r="B1225" s="19">
        <v>45040</v>
      </c>
      <c r="C1225" s="20">
        <v>0.74791666666666701</v>
      </c>
      <c r="D1225" s="20">
        <v>0.8125</v>
      </c>
      <c r="E1225" s="20">
        <v>6.4583333333333298E-2</v>
      </c>
      <c r="F1225" s="21" t="s">
        <v>685</v>
      </c>
      <c r="G1225" t="s">
        <v>797</v>
      </c>
    </row>
    <row r="1226" spans="1:7" x14ac:dyDescent="0.3">
      <c r="A1226" s="18" t="s">
        <v>771</v>
      </c>
      <c r="B1226" s="19">
        <v>45040</v>
      </c>
      <c r="C1226" s="20">
        <v>0.8125</v>
      </c>
      <c r="D1226" s="20">
        <v>0.875</v>
      </c>
      <c r="E1226" s="20">
        <v>6.25E-2</v>
      </c>
      <c r="F1226" s="21" t="s">
        <v>685</v>
      </c>
      <c r="G1226" t="s">
        <v>797</v>
      </c>
    </row>
    <row r="1227" spans="1:7" x14ac:dyDescent="0.3">
      <c r="A1227" s="18" t="s">
        <v>771</v>
      </c>
      <c r="B1227" s="19">
        <v>45040</v>
      </c>
      <c r="C1227" s="20">
        <v>0.875694444444444</v>
      </c>
      <c r="D1227" s="20">
        <v>0.88194444444444398</v>
      </c>
      <c r="E1227" s="20">
        <v>6.2500000000000897E-3</v>
      </c>
      <c r="F1227" s="21" t="s">
        <v>779</v>
      </c>
      <c r="G1227" t="s">
        <v>797</v>
      </c>
    </row>
    <row r="1228" spans="1:7" x14ac:dyDescent="0.3">
      <c r="A1228" s="18" t="s">
        <v>771</v>
      </c>
      <c r="B1228" s="19">
        <v>45041</v>
      </c>
      <c r="C1228" s="20">
        <v>0.72847222222222197</v>
      </c>
      <c r="D1228" s="20">
        <v>0.73888888888888904</v>
      </c>
      <c r="E1228" s="20">
        <v>1.04166666666666E-2</v>
      </c>
      <c r="F1228" s="21" t="s">
        <v>777</v>
      </c>
      <c r="G1228" t="s">
        <v>798</v>
      </c>
    </row>
    <row r="1229" spans="1:7" x14ac:dyDescent="0.3">
      <c r="A1229" s="18" t="s">
        <v>771</v>
      </c>
      <c r="B1229" s="19">
        <v>45041</v>
      </c>
      <c r="C1229" s="20">
        <v>0.74791666666666701</v>
      </c>
      <c r="D1229" s="20">
        <v>0.8125</v>
      </c>
      <c r="E1229" s="20">
        <v>6.4583333333333298E-2</v>
      </c>
      <c r="F1229" s="21" t="s">
        <v>685</v>
      </c>
      <c r="G1229" t="s">
        <v>798</v>
      </c>
    </row>
    <row r="1230" spans="1:7" x14ac:dyDescent="0.3">
      <c r="A1230" s="18" t="s">
        <v>771</v>
      </c>
      <c r="B1230" s="19">
        <v>45041</v>
      </c>
      <c r="C1230" s="20">
        <v>0.8125</v>
      </c>
      <c r="D1230" s="20">
        <v>0.875</v>
      </c>
      <c r="E1230" s="20">
        <v>6.25E-2</v>
      </c>
      <c r="F1230" s="21" t="s">
        <v>685</v>
      </c>
      <c r="G1230" t="s">
        <v>798</v>
      </c>
    </row>
    <row r="1231" spans="1:7" x14ac:dyDescent="0.3">
      <c r="A1231" s="18" t="s">
        <v>771</v>
      </c>
      <c r="B1231" s="19">
        <v>45041</v>
      </c>
      <c r="C1231" s="20">
        <v>0.875</v>
      </c>
      <c r="D1231" s="20">
        <v>0.88472222222222197</v>
      </c>
      <c r="E1231" s="20">
        <v>9.7222222222223004E-3</v>
      </c>
      <c r="F1231" s="21" t="s">
        <v>688</v>
      </c>
      <c r="G1231" t="s">
        <v>798</v>
      </c>
    </row>
    <row r="1232" spans="1:7" x14ac:dyDescent="0.3">
      <c r="A1232" s="18" t="s">
        <v>771</v>
      </c>
      <c r="B1232" s="19">
        <v>45042</v>
      </c>
      <c r="C1232" s="20">
        <v>0.69861111111111096</v>
      </c>
      <c r="D1232" s="20">
        <v>0.70625000000000004</v>
      </c>
      <c r="E1232" s="20">
        <v>7.63888888888886E-3</v>
      </c>
      <c r="F1232" s="21" t="s">
        <v>780</v>
      </c>
      <c r="G1232" t="s">
        <v>799</v>
      </c>
    </row>
    <row r="1233" spans="1:7" x14ac:dyDescent="0.3">
      <c r="A1233" s="18" t="s">
        <v>771</v>
      </c>
      <c r="B1233" s="19">
        <v>45042</v>
      </c>
      <c r="C1233" s="20">
        <v>0.74791666666666701</v>
      </c>
      <c r="D1233" s="20">
        <v>0.8125</v>
      </c>
      <c r="E1233" s="20">
        <v>6.4583333333333298E-2</v>
      </c>
      <c r="F1233" s="21" t="s">
        <v>685</v>
      </c>
      <c r="G1233" t="s">
        <v>799</v>
      </c>
    </row>
    <row r="1234" spans="1:7" x14ac:dyDescent="0.3">
      <c r="A1234" s="18" t="s">
        <v>771</v>
      </c>
      <c r="B1234" s="19">
        <v>45042</v>
      </c>
      <c r="C1234" s="20">
        <v>0.8125</v>
      </c>
      <c r="D1234" s="20">
        <v>0.87708333333333299</v>
      </c>
      <c r="E1234" s="20">
        <v>6.4583333333333298E-2</v>
      </c>
      <c r="F1234" s="21" t="s">
        <v>685</v>
      </c>
      <c r="G1234" t="s">
        <v>799</v>
      </c>
    </row>
    <row r="1235" spans="1:7" x14ac:dyDescent="0.3">
      <c r="A1235" s="18" t="s">
        <v>771</v>
      </c>
      <c r="B1235" s="19">
        <v>45042</v>
      </c>
      <c r="C1235" s="20">
        <v>0.92916666666666703</v>
      </c>
      <c r="D1235" s="20">
        <v>0.93194444444444402</v>
      </c>
      <c r="E1235" s="20">
        <v>2.7777777777777701E-3</v>
      </c>
      <c r="F1235" s="21" t="s">
        <v>708</v>
      </c>
      <c r="G1235" t="s">
        <v>799</v>
      </c>
    </row>
    <row r="1236" spans="1:7" x14ac:dyDescent="0.3">
      <c r="A1236" s="18" t="s">
        <v>771</v>
      </c>
      <c r="B1236" s="19">
        <v>45043</v>
      </c>
      <c r="C1236" s="20">
        <v>0.74861111111111101</v>
      </c>
      <c r="D1236" s="20">
        <v>0.8125</v>
      </c>
      <c r="E1236" s="20">
        <v>6.3888888888888995E-2</v>
      </c>
      <c r="F1236" s="21" t="s">
        <v>685</v>
      </c>
      <c r="G1236" t="s">
        <v>800</v>
      </c>
    </row>
    <row r="1237" spans="1:7" x14ac:dyDescent="0.3">
      <c r="A1237" s="18" t="s">
        <v>771</v>
      </c>
      <c r="B1237" s="19">
        <v>45043</v>
      </c>
      <c r="C1237" s="20">
        <v>0.8125</v>
      </c>
      <c r="D1237" s="20">
        <v>0.88124999999999998</v>
      </c>
      <c r="E1237" s="20">
        <v>6.8750000000000006E-2</v>
      </c>
      <c r="F1237" s="21" t="s">
        <v>685</v>
      </c>
      <c r="G1237" t="s">
        <v>800</v>
      </c>
    </row>
    <row r="1238" spans="1:7" x14ac:dyDescent="0.3">
      <c r="A1238" s="18" t="s">
        <v>771</v>
      </c>
      <c r="B1238" s="19">
        <v>45044</v>
      </c>
      <c r="C1238" s="20">
        <v>0.74861111111111101</v>
      </c>
      <c r="D1238" s="20">
        <v>0.8125</v>
      </c>
      <c r="E1238" s="20">
        <v>6.3888888888888995E-2</v>
      </c>
      <c r="F1238" s="21" t="s">
        <v>685</v>
      </c>
      <c r="G1238" t="s">
        <v>801</v>
      </c>
    </row>
    <row r="1239" spans="1:7" x14ac:dyDescent="0.3">
      <c r="A1239" s="18" t="s">
        <v>771</v>
      </c>
      <c r="B1239" s="19">
        <v>45044</v>
      </c>
      <c r="C1239" s="20">
        <v>0.8125</v>
      </c>
      <c r="D1239" s="20">
        <v>0.87638888888888899</v>
      </c>
      <c r="E1239" s="20">
        <v>6.3888888888888995E-2</v>
      </c>
      <c r="F1239" s="21" t="s">
        <v>685</v>
      </c>
      <c r="G1239" t="s">
        <v>801</v>
      </c>
    </row>
    <row r="1240" spans="1:7" x14ac:dyDescent="0.3">
      <c r="A1240" s="18" t="s">
        <v>781</v>
      </c>
      <c r="B1240" s="19">
        <v>45017</v>
      </c>
      <c r="C1240" s="20">
        <v>0.280555555555556</v>
      </c>
      <c r="D1240" s="20">
        <v>0.28263888888888899</v>
      </c>
      <c r="E1240" s="20">
        <v>2.0833333333333298E-3</v>
      </c>
      <c r="F1240" s="21" t="s">
        <v>706</v>
      </c>
      <c r="G1240" t="s">
        <v>803</v>
      </c>
    </row>
    <row r="1241" spans="1:7" x14ac:dyDescent="0.3">
      <c r="A1241" s="18" t="s">
        <v>781</v>
      </c>
      <c r="B1241" s="19">
        <v>45018</v>
      </c>
      <c r="C1241" s="20">
        <v>0.280555555555556</v>
      </c>
      <c r="D1241" s="20">
        <v>0.28263888888888899</v>
      </c>
      <c r="E1241" s="20">
        <v>2.0833333333333298E-3</v>
      </c>
      <c r="F1241" s="21" t="s">
        <v>706</v>
      </c>
      <c r="G1241" t="s">
        <v>802</v>
      </c>
    </row>
    <row r="1242" spans="1:7" x14ac:dyDescent="0.3">
      <c r="A1242" s="18" t="s">
        <v>781</v>
      </c>
      <c r="B1242" s="19">
        <v>45018</v>
      </c>
      <c r="C1242" s="20">
        <v>0.86527777777777803</v>
      </c>
      <c r="D1242" s="20">
        <v>0.86597222222222203</v>
      </c>
      <c r="E1242" s="20">
        <v>6.94444444444553E-4</v>
      </c>
      <c r="F1242" s="21" t="s">
        <v>769</v>
      </c>
      <c r="G1242" t="s">
        <v>802</v>
      </c>
    </row>
    <row r="1243" spans="1:7" x14ac:dyDescent="0.3">
      <c r="A1243" s="18" t="s">
        <v>781</v>
      </c>
      <c r="B1243" s="19">
        <v>45018</v>
      </c>
      <c r="C1243" s="20">
        <v>0.95694444444444404</v>
      </c>
      <c r="D1243" s="20">
        <v>0.95902777777777803</v>
      </c>
      <c r="E1243" s="20">
        <v>2.0833333333333298E-3</v>
      </c>
      <c r="F1243" s="21" t="s">
        <v>769</v>
      </c>
      <c r="G1243" t="s">
        <v>802</v>
      </c>
    </row>
    <row r="1244" spans="1:7" x14ac:dyDescent="0.3">
      <c r="A1244" s="18" t="s">
        <v>781</v>
      </c>
      <c r="B1244" s="19">
        <v>45018</v>
      </c>
      <c r="C1244" s="20">
        <v>4.8611111111111098E-2</v>
      </c>
      <c r="D1244" s="20">
        <v>5.0694444444444403E-2</v>
      </c>
      <c r="E1244" s="20">
        <v>2.0833333333333398E-3</v>
      </c>
      <c r="F1244" s="21" t="s">
        <v>769</v>
      </c>
      <c r="G1244" t="s">
        <v>802</v>
      </c>
    </row>
    <row r="1245" spans="1:7" x14ac:dyDescent="0.3">
      <c r="A1245" s="18" t="s">
        <v>781</v>
      </c>
      <c r="B1245" s="19">
        <v>45019</v>
      </c>
      <c r="C1245" s="20">
        <v>0.19166666666666701</v>
      </c>
      <c r="D1245" s="20">
        <v>0.202777777777778</v>
      </c>
      <c r="E1245" s="20">
        <v>1.11111111111112E-2</v>
      </c>
      <c r="F1245" s="21" t="s">
        <v>706</v>
      </c>
      <c r="G1245" t="s">
        <v>797</v>
      </c>
    </row>
    <row r="1246" spans="1:7" x14ac:dyDescent="0.3">
      <c r="A1246" s="18" t="s">
        <v>781</v>
      </c>
      <c r="B1246" s="19">
        <v>45019</v>
      </c>
      <c r="C1246" s="20">
        <v>0.749305555555556</v>
      </c>
      <c r="D1246" s="20">
        <v>0.8125</v>
      </c>
      <c r="E1246" s="20">
        <v>6.31944444444444E-2</v>
      </c>
      <c r="F1246" s="21" t="s">
        <v>685</v>
      </c>
      <c r="G1246" t="s">
        <v>797</v>
      </c>
    </row>
    <row r="1247" spans="1:7" x14ac:dyDescent="0.3">
      <c r="A1247" s="18" t="s">
        <v>781</v>
      </c>
      <c r="B1247" s="19">
        <v>45019</v>
      </c>
      <c r="C1247" s="20">
        <v>0.8125</v>
      </c>
      <c r="D1247" s="20">
        <v>0.875694444444444</v>
      </c>
      <c r="E1247" s="20">
        <v>6.31944444444444E-2</v>
      </c>
      <c r="F1247" s="21" t="s">
        <v>685</v>
      </c>
      <c r="G1247" t="s">
        <v>797</v>
      </c>
    </row>
    <row r="1248" spans="1:7" x14ac:dyDescent="0.3">
      <c r="A1248" s="18" t="s">
        <v>781</v>
      </c>
      <c r="B1248" s="19">
        <v>45020</v>
      </c>
      <c r="C1248" s="20">
        <v>0.19166666666666701</v>
      </c>
      <c r="D1248" s="20">
        <v>0.202777777777778</v>
      </c>
      <c r="E1248" s="20">
        <v>1.11111111111112E-2</v>
      </c>
      <c r="F1248" s="21" t="s">
        <v>706</v>
      </c>
      <c r="G1248" t="s">
        <v>798</v>
      </c>
    </row>
    <row r="1249" spans="1:7" x14ac:dyDescent="0.3">
      <c r="A1249" s="18" t="s">
        <v>781</v>
      </c>
      <c r="B1249" s="19">
        <v>45020</v>
      </c>
      <c r="C1249" s="20">
        <v>0.74652777777777801</v>
      </c>
      <c r="D1249" s="20">
        <v>0.8125</v>
      </c>
      <c r="E1249" s="20">
        <v>6.5972222222222196E-2</v>
      </c>
      <c r="F1249" s="21" t="s">
        <v>685</v>
      </c>
      <c r="G1249" t="s">
        <v>798</v>
      </c>
    </row>
    <row r="1250" spans="1:7" x14ac:dyDescent="0.3">
      <c r="A1250" s="18" t="s">
        <v>781</v>
      </c>
      <c r="B1250" s="19">
        <v>45020</v>
      </c>
      <c r="C1250" s="20">
        <v>0.8125</v>
      </c>
      <c r="D1250" s="20">
        <v>0.87847222222222199</v>
      </c>
      <c r="E1250" s="20">
        <v>6.5972222222222196E-2</v>
      </c>
      <c r="F1250" s="21" t="s">
        <v>685</v>
      </c>
      <c r="G1250" t="s">
        <v>798</v>
      </c>
    </row>
    <row r="1251" spans="1:7" x14ac:dyDescent="0.3">
      <c r="A1251" s="18" t="s">
        <v>781</v>
      </c>
      <c r="B1251" s="19">
        <v>45021</v>
      </c>
      <c r="C1251" s="20">
        <v>0.624305555555556</v>
      </c>
      <c r="D1251" s="20">
        <v>0.63333333333333297</v>
      </c>
      <c r="E1251" s="20">
        <v>9.0277777777777492E-3</v>
      </c>
      <c r="F1251" s="21" t="s">
        <v>706</v>
      </c>
      <c r="G1251" t="s">
        <v>799</v>
      </c>
    </row>
    <row r="1252" spans="1:7" x14ac:dyDescent="0.3">
      <c r="A1252" s="18" t="s">
        <v>781</v>
      </c>
      <c r="B1252" s="19">
        <v>45021</v>
      </c>
      <c r="C1252" s="20">
        <v>0.74791666666666701</v>
      </c>
      <c r="D1252" s="20">
        <v>0.8125</v>
      </c>
      <c r="E1252" s="20">
        <v>6.4583333333333298E-2</v>
      </c>
      <c r="F1252" s="21" t="s">
        <v>685</v>
      </c>
      <c r="G1252" t="s">
        <v>799</v>
      </c>
    </row>
    <row r="1253" spans="1:7" x14ac:dyDescent="0.3">
      <c r="A1253" s="18" t="s">
        <v>781</v>
      </c>
      <c r="B1253" s="19">
        <v>45021</v>
      </c>
      <c r="C1253" s="20">
        <v>0.8125</v>
      </c>
      <c r="D1253" s="20">
        <v>0.875694444444444</v>
      </c>
      <c r="E1253" s="20">
        <v>6.31944444444444E-2</v>
      </c>
      <c r="F1253" s="21" t="s">
        <v>685</v>
      </c>
      <c r="G1253" t="s">
        <v>799</v>
      </c>
    </row>
    <row r="1254" spans="1:7" x14ac:dyDescent="0.3">
      <c r="A1254" s="18" t="s">
        <v>781</v>
      </c>
      <c r="B1254" s="19">
        <v>45022</v>
      </c>
      <c r="C1254" s="20">
        <v>0.66736111111111096</v>
      </c>
      <c r="D1254" s="20">
        <v>0.67013888888888895</v>
      </c>
      <c r="E1254" s="20">
        <v>2.7777777777777701E-3</v>
      </c>
      <c r="F1254" s="21" t="s">
        <v>706</v>
      </c>
      <c r="G1254" t="s">
        <v>800</v>
      </c>
    </row>
    <row r="1255" spans="1:7" x14ac:dyDescent="0.3">
      <c r="A1255" s="18" t="s">
        <v>781</v>
      </c>
      <c r="B1255" s="19">
        <v>45022</v>
      </c>
      <c r="C1255" s="20">
        <v>0.74722222222222201</v>
      </c>
      <c r="D1255" s="20">
        <v>0.8125</v>
      </c>
      <c r="E1255" s="20">
        <v>6.5277777777777796E-2</v>
      </c>
      <c r="F1255" s="21" t="s">
        <v>685</v>
      </c>
      <c r="G1255" t="s">
        <v>800</v>
      </c>
    </row>
    <row r="1256" spans="1:7" x14ac:dyDescent="0.3">
      <c r="A1256" s="18" t="s">
        <v>781</v>
      </c>
      <c r="B1256" s="19">
        <v>45022</v>
      </c>
      <c r="C1256" s="20">
        <v>0.8125</v>
      </c>
      <c r="D1256" s="20">
        <v>0.875694444444444</v>
      </c>
      <c r="E1256" s="20">
        <v>6.31944444444444E-2</v>
      </c>
      <c r="F1256" s="21" t="s">
        <v>685</v>
      </c>
      <c r="G1256" t="s">
        <v>800</v>
      </c>
    </row>
    <row r="1257" spans="1:7" x14ac:dyDescent="0.3">
      <c r="A1257" s="18" t="s">
        <v>781</v>
      </c>
      <c r="B1257" s="19">
        <v>45023</v>
      </c>
      <c r="C1257" s="20">
        <v>0.41319444444444398</v>
      </c>
      <c r="D1257" s="20">
        <v>0.41875000000000001</v>
      </c>
      <c r="E1257" s="20">
        <v>5.5555555555555896E-3</v>
      </c>
      <c r="F1257" s="21" t="s">
        <v>782</v>
      </c>
      <c r="G1257" t="s">
        <v>801</v>
      </c>
    </row>
    <row r="1258" spans="1:7" x14ac:dyDescent="0.3">
      <c r="A1258" s="18" t="s">
        <v>781</v>
      </c>
      <c r="B1258" s="19">
        <v>45023</v>
      </c>
      <c r="C1258" s="20">
        <v>0.63888888888888895</v>
      </c>
      <c r="D1258" s="20">
        <v>0.65486111111111101</v>
      </c>
      <c r="E1258" s="20">
        <v>1.59722222222222E-2</v>
      </c>
      <c r="F1258" s="21" t="s">
        <v>702</v>
      </c>
      <c r="G1258" t="s">
        <v>801</v>
      </c>
    </row>
    <row r="1259" spans="1:7" x14ac:dyDescent="0.3">
      <c r="A1259" s="18" t="s">
        <v>781</v>
      </c>
      <c r="B1259" s="19">
        <v>45024</v>
      </c>
      <c r="C1259" s="20">
        <v>0.63888888888888895</v>
      </c>
      <c r="D1259" s="20">
        <v>0.65486111111111101</v>
      </c>
      <c r="E1259" s="20">
        <v>1.59722222222222E-2</v>
      </c>
      <c r="F1259" s="21" t="s">
        <v>702</v>
      </c>
      <c r="G1259" t="s">
        <v>803</v>
      </c>
    </row>
    <row r="1260" spans="1:7" x14ac:dyDescent="0.3">
      <c r="A1260" s="18" t="s">
        <v>781</v>
      </c>
      <c r="B1260" s="19">
        <v>45026</v>
      </c>
      <c r="C1260" s="20">
        <v>0.468055555555555</v>
      </c>
      <c r="D1260" s="20">
        <v>0.47222222222222199</v>
      </c>
      <c r="E1260" s="20">
        <v>4.1666666666667603E-3</v>
      </c>
      <c r="F1260" s="21" t="s">
        <v>758</v>
      </c>
      <c r="G1260" t="s">
        <v>797</v>
      </c>
    </row>
    <row r="1261" spans="1:7" x14ac:dyDescent="0.3">
      <c r="A1261" s="18" t="s">
        <v>781</v>
      </c>
      <c r="B1261" s="19">
        <v>45026</v>
      </c>
      <c r="C1261" s="20">
        <v>0.74722222222222201</v>
      </c>
      <c r="D1261" s="20">
        <v>0.8125</v>
      </c>
      <c r="E1261" s="20">
        <v>6.5277777777777796E-2</v>
      </c>
      <c r="F1261" s="21" t="s">
        <v>685</v>
      </c>
      <c r="G1261" t="s">
        <v>797</v>
      </c>
    </row>
    <row r="1262" spans="1:7" x14ac:dyDescent="0.3">
      <c r="A1262" s="18" t="s">
        <v>781</v>
      </c>
      <c r="B1262" s="19">
        <v>45026</v>
      </c>
      <c r="C1262" s="20">
        <v>0.8125</v>
      </c>
      <c r="D1262" s="20">
        <v>0.875</v>
      </c>
      <c r="E1262" s="20">
        <v>6.25E-2</v>
      </c>
      <c r="F1262" s="21" t="s">
        <v>685</v>
      </c>
      <c r="G1262" t="s">
        <v>797</v>
      </c>
    </row>
    <row r="1263" spans="1:7" x14ac:dyDescent="0.3">
      <c r="A1263" s="18" t="s">
        <v>781</v>
      </c>
      <c r="B1263" s="19">
        <v>45026</v>
      </c>
      <c r="C1263" s="20">
        <v>0.875</v>
      </c>
      <c r="D1263" s="20">
        <v>0.88333333333333297</v>
      </c>
      <c r="E1263" s="20">
        <v>8.3333333333333003E-3</v>
      </c>
      <c r="F1263" s="21" t="s">
        <v>773</v>
      </c>
      <c r="G1263" t="s">
        <v>797</v>
      </c>
    </row>
    <row r="1264" spans="1:7" x14ac:dyDescent="0.3">
      <c r="A1264" s="18" t="s">
        <v>781</v>
      </c>
      <c r="B1264" s="19">
        <v>45027</v>
      </c>
      <c r="C1264" s="20">
        <v>0.25972222222222202</v>
      </c>
      <c r="D1264" s="20">
        <v>0.26319444444444401</v>
      </c>
      <c r="E1264" s="20">
        <v>3.4722222222222099E-3</v>
      </c>
      <c r="F1264" s="21" t="s">
        <v>706</v>
      </c>
      <c r="G1264" t="s">
        <v>798</v>
      </c>
    </row>
    <row r="1265" spans="1:7" x14ac:dyDescent="0.3">
      <c r="A1265" s="18" t="s">
        <v>781</v>
      </c>
      <c r="B1265" s="19">
        <v>45027</v>
      </c>
      <c r="C1265" s="20">
        <v>0.296527777777778</v>
      </c>
      <c r="D1265" s="20">
        <v>0.30138888888888898</v>
      </c>
      <c r="E1265" s="20">
        <v>4.8611111111110904E-3</v>
      </c>
      <c r="F1265" s="21" t="s">
        <v>706</v>
      </c>
      <c r="G1265" t="s">
        <v>798</v>
      </c>
    </row>
    <row r="1266" spans="1:7" x14ac:dyDescent="0.3">
      <c r="A1266" s="18" t="s">
        <v>781</v>
      </c>
      <c r="B1266" s="19">
        <v>45027</v>
      </c>
      <c r="C1266" s="20">
        <v>0.468055555555555</v>
      </c>
      <c r="D1266" s="20">
        <v>0.47222222222222199</v>
      </c>
      <c r="E1266" s="20">
        <v>4.1666666666667603E-3</v>
      </c>
      <c r="F1266" s="21" t="s">
        <v>758</v>
      </c>
      <c r="G1266" t="s">
        <v>798</v>
      </c>
    </row>
    <row r="1267" spans="1:7" x14ac:dyDescent="0.3">
      <c r="A1267" s="18" t="s">
        <v>781</v>
      </c>
      <c r="B1267" s="19">
        <v>45027</v>
      </c>
      <c r="C1267" s="20">
        <v>0.749305555555556</v>
      </c>
      <c r="D1267" s="20">
        <v>0.8125</v>
      </c>
      <c r="E1267" s="20">
        <v>6.31944444444444E-2</v>
      </c>
      <c r="F1267" s="21" t="s">
        <v>685</v>
      </c>
      <c r="G1267" t="s">
        <v>798</v>
      </c>
    </row>
    <row r="1268" spans="1:7" x14ac:dyDescent="0.3">
      <c r="A1268" s="18" t="s">
        <v>781</v>
      </c>
      <c r="B1268" s="19">
        <v>45027</v>
      </c>
      <c r="C1268" s="20">
        <v>0.8125</v>
      </c>
      <c r="D1268" s="20">
        <v>0.875</v>
      </c>
      <c r="E1268" s="20">
        <v>6.25E-2</v>
      </c>
      <c r="F1268" s="21" t="s">
        <v>685</v>
      </c>
      <c r="G1268" t="s">
        <v>798</v>
      </c>
    </row>
    <row r="1269" spans="1:7" x14ac:dyDescent="0.3">
      <c r="A1269" s="18" t="s">
        <v>781</v>
      </c>
      <c r="B1269" s="19">
        <v>45027</v>
      </c>
      <c r="C1269" s="20">
        <v>0.875</v>
      </c>
      <c r="D1269" s="20">
        <v>0.88055555555555598</v>
      </c>
      <c r="E1269" s="20">
        <v>5.5555555555555402E-3</v>
      </c>
      <c r="F1269" s="21" t="s">
        <v>723</v>
      </c>
      <c r="G1269" t="s">
        <v>798</v>
      </c>
    </row>
    <row r="1270" spans="1:7" x14ac:dyDescent="0.3">
      <c r="A1270" s="18" t="s">
        <v>781</v>
      </c>
      <c r="B1270" s="19">
        <v>45028</v>
      </c>
      <c r="C1270" s="20">
        <v>0.25972222222222202</v>
      </c>
      <c r="D1270" s="20">
        <v>0.26319444444444401</v>
      </c>
      <c r="E1270" s="20">
        <v>3.4722222222222099E-3</v>
      </c>
      <c r="F1270" s="21" t="s">
        <v>706</v>
      </c>
      <c r="G1270" t="s">
        <v>799</v>
      </c>
    </row>
    <row r="1271" spans="1:7" x14ac:dyDescent="0.3">
      <c r="A1271" s="18" t="s">
        <v>781</v>
      </c>
      <c r="B1271" s="19">
        <v>45028</v>
      </c>
      <c r="C1271" s="20">
        <v>0.296527777777778</v>
      </c>
      <c r="D1271" s="20">
        <v>0.30138888888888898</v>
      </c>
      <c r="E1271" s="20">
        <v>4.8611111111110904E-3</v>
      </c>
      <c r="F1271" s="21" t="s">
        <v>706</v>
      </c>
      <c r="G1271" t="s">
        <v>799</v>
      </c>
    </row>
    <row r="1272" spans="1:7" x14ac:dyDescent="0.3">
      <c r="A1272" s="18" t="s">
        <v>781</v>
      </c>
      <c r="B1272" s="19">
        <v>45028</v>
      </c>
      <c r="C1272" s="20">
        <v>0.749305555555556</v>
      </c>
      <c r="D1272" s="20">
        <v>0.8125</v>
      </c>
      <c r="E1272" s="20">
        <v>6.31944444444444E-2</v>
      </c>
      <c r="F1272" s="21" t="s">
        <v>685</v>
      </c>
      <c r="G1272" t="s">
        <v>799</v>
      </c>
    </row>
    <row r="1273" spans="1:7" x14ac:dyDescent="0.3">
      <c r="A1273" s="18" t="s">
        <v>781</v>
      </c>
      <c r="B1273" s="19">
        <v>45028</v>
      </c>
      <c r="C1273" s="20">
        <v>0.8125</v>
      </c>
      <c r="D1273" s="20">
        <v>0.875694444444444</v>
      </c>
      <c r="E1273" s="20">
        <v>6.31944444444444E-2</v>
      </c>
      <c r="F1273" s="21" t="s">
        <v>685</v>
      </c>
      <c r="G1273" t="s">
        <v>799</v>
      </c>
    </row>
    <row r="1274" spans="1:7" x14ac:dyDescent="0.3">
      <c r="A1274" s="18" t="s">
        <v>781</v>
      </c>
      <c r="B1274" s="19">
        <v>45029</v>
      </c>
      <c r="C1274" s="20">
        <v>8.2638888888888901E-2</v>
      </c>
      <c r="D1274" s="20">
        <v>9.375E-2</v>
      </c>
      <c r="E1274" s="20">
        <v>1.1111111111111099E-2</v>
      </c>
      <c r="F1274" s="21" t="s">
        <v>688</v>
      </c>
      <c r="G1274" t="s">
        <v>800</v>
      </c>
    </row>
    <row r="1275" spans="1:7" x14ac:dyDescent="0.3">
      <c r="A1275" s="18" t="s">
        <v>781</v>
      </c>
      <c r="B1275" s="19">
        <v>45029</v>
      </c>
      <c r="C1275" s="20">
        <v>0.74861111111111101</v>
      </c>
      <c r="D1275" s="20">
        <v>0.75</v>
      </c>
      <c r="E1275" s="20">
        <v>1.388888888889E-3</v>
      </c>
      <c r="F1275" s="21" t="s">
        <v>709</v>
      </c>
      <c r="G1275" t="s">
        <v>800</v>
      </c>
    </row>
    <row r="1276" spans="1:7" x14ac:dyDescent="0.3">
      <c r="A1276" s="18" t="s">
        <v>781</v>
      </c>
      <c r="B1276" s="19">
        <v>45029</v>
      </c>
      <c r="C1276" s="20">
        <v>0.85763888888888895</v>
      </c>
      <c r="D1276" s="20">
        <v>0.87638888888888899</v>
      </c>
      <c r="E1276" s="20">
        <v>1.8750000000000201E-2</v>
      </c>
      <c r="F1276" s="21" t="s">
        <v>685</v>
      </c>
      <c r="G1276" t="s">
        <v>800</v>
      </c>
    </row>
    <row r="1277" spans="1:7" x14ac:dyDescent="0.3">
      <c r="A1277" s="18" t="s">
        <v>781</v>
      </c>
      <c r="B1277" s="19">
        <v>45030</v>
      </c>
      <c r="C1277" s="20">
        <v>0.2</v>
      </c>
      <c r="D1277" s="20">
        <v>0.20624999999999999</v>
      </c>
      <c r="E1277" s="20">
        <v>6.2500000000000298E-3</v>
      </c>
      <c r="F1277" s="21" t="s">
        <v>783</v>
      </c>
      <c r="G1277" t="s">
        <v>801</v>
      </c>
    </row>
    <row r="1278" spans="1:7" x14ac:dyDescent="0.3">
      <c r="A1278" s="18" t="s">
        <v>781</v>
      </c>
      <c r="B1278" s="19">
        <v>45030</v>
      </c>
      <c r="C1278" s="20">
        <v>0.74861111111111101</v>
      </c>
      <c r="D1278" s="20">
        <v>0.8125</v>
      </c>
      <c r="E1278" s="20">
        <v>6.3888888888888995E-2</v>
      </c>
      <c r="F1278" s="21" t="s">
        <v>685</v>
      </c>
      <c r="G1278" t="s">
        <v>801</v>
      </c>
    </row>
    <row r="1279" spans="1:7" x14ac:dyDescent="0.3">
      <c r="A1279" s="18" t="s">
        <v>781</v>
      </c>
      <c r="B1279" s="19">
        <v>45030</v>
      </c>
      <c r="C1279" s="20">
        <v>0.8125</v>
      </c>
      <c r="D1279" s="20">
        <v>0.87777777777777799</v>
      </c>
      <c r="E1279" s="20">
        <v>6.5277777777777796E-2</v>
      </c>
      <c r="F1279" s="21" t="s">
        <v>685</v>
      </c>
      <c r="G1279" t="s">
        <v>801</v>
      </c>
    </row>
    <row r="1280" spans="1:7" x14ac:dyDescent="0.3">
      <c r="A1280" s="18" t="s">
        <v>781</v>
      </c>
      <c r="B1280" s="19">
        <v>45031</v>
      </c>
      <c r="C1280" s="20">
        <v>0.2</v>
      </c>
      <c r="D1280" s="20">
        <v>0.20624999999999999</v>
      </c>
      <c r="E1280" s="20">
        <v>6.2500000000000298E-3</v>
      </c>
      <c r="F1280" s="21" t="s">
        <v>784</v>
      </c>
      <c r="G1280" t="s">
        <v>803</v>
      </c>
    </row>
    <row r="1281" spans="1:7" x14ac:dyDescent="0.3">
      <c r="A1281" s="18" t="s">
        <v>781</v>
      </c>
      <c r="B1281" s="19">
        <v>45032</v>
      </c>
      <c r="C1281" s="20">
        <v>0.89652777777777803</v>
      </c>
      <c r="D1281" s="20">
        <v>0.9</v>
      </c>
      <c r="E1281" s="20">
        <v>3.47222222222232E-3</v>
      </c>
      <c r="F1281" s="21" t="s">
        <v>706</v>
      </c>
      <c r="G1281" t="s">
        <v>802</v>
      </c>
    </row>
    <row r="1282" spans="1:7" x14ac:dyDescent="0.3">
      <c r="A1282" s="18" t="s">
        <v>781</v>
      </c>
      <c r="B1282" s="19">
        <v>45034</v>
      </c>
      <c r="C1282" s="20">
        <v>0.74965277777777795</v>
      </c>
      <c r="D1282" s="20">
        <v>0.8125</v>
      </c>
      <c r="E1282" s="20">
        <v>6.2847222222222193E-2</v>
      </c>
      <c r="F1282" s="21" t="s">
        <v>685</v>
      </c>
      <c r="G1282" t="s">
        <v>798</v>
      </c>
    </row>
    <row r="1283" spans="1:7" x14ac:dyDescent="0.3">
      <c r="A1283" s="18" t="s">
        <v>781</v>
      </c>
      <c r="B1283" s="19">
        <v>45034</v>
      </c>
      <c r="C1283" s="20">
        <v>0.8125</v>
      </c>
      <c r="D1283" s="20">
        <v>0.875694444444444</v>
      </c>
      <c r="E1283" s="20">
        <v>6.31944444444444E-2</v>
      </c>
      <c r="F1283" s="21" t="s">
        <v>685</v>
      </c>
      <c r="G1283" t="s">
        <v>798</v>
      </c>
    </row>
    <row r="1284" spans="1:7" x14ac:dyDescent="0.3">
      <c r="A1284" s="18" t="s">
        <v>781</v>
      </c>
      <c r="B1284" s="19">
        <v>45035</v>
      </c>
      <c r="C1284" s="20">
        <v>0.66805555555555596</v>
      </c>
      <c r="D1284" s="20">
        <v>0.67222222222222205</v>
      </c>
      <c r="E1284" s="20">
        <v>4.16666666666654E-3</v>
      </c>
      <c r="F1284" s="21" t="s">
        <v>785</v>
      </c>
      <c r="G1284" t="s">
        <v>799</v>
      </c>
    </row>
    <row r="1285" spans="1:7" x14ac:dyDescent="0.3">
      <c r="A1285" s="18" t="s">
        <v>781</v>
      </c>
      <c r="B1285" s="19">
        <v>45035</v>
      </c>
      <c r="C1285" s="20">
        <v>0.74965277777777795</v>
      </c>
      <c r="D1285" s="20">
        <v>0.8125</v>
      </c>
      <c r="E1285" s="20">
        <v>6.2847222222222193E-2</v>
      </c>
      <c r="F1285" s="21" t="s">
        <v>685</v>
      </c>
      <c r="G1285" t="s">
        <v>799</v>
      </c>
    </row>
    <row r="1286" spans="1:7" x14ac:dyDescent="0.3">
      <c r="A1286" s="18" t="s">
        <v>781</v>
      </c>
      <c r="B1286" s="19">
        <v>45035</v>
      </c>
      <c r="C1286" s="20">
        <v>0.8125</v>
      </c>
      <c r="D1286" s="20">
        <v>0.875</v>
      </c>
      <c r="E1286" s="20">
        <v>6.25E-2</v>
      </c>
      <c r="F1286" s="21" t="s">
        <v>685</v>
      </c>
      <c r="G1286" t="s">
        <v>799</v>
      </c>
    </row>
    <row r="1287" spans="1:7" x14ac:dyDescent="0.3">
      <c r="A1287" s="18" t="s">
        <v>781</v>
      </c>
      <c r="B1287" s="19">
        <v>45035</v>
      </c>
      <c r="C1287" s="20">
        <v>0.875</v>
      </c>
      <c r="D1287" s="20">
        <v>0.95138888888888895</v>
      </c>
      <c r="E1287" s="20">
        <v>7.6388888888888798E-2</v>
      </c>
      <c r="F1287" s="21" t="s">
        <v>786</v>
      </c>
      <c r="G1287" t="s">
        <v>799</v>
      </c>
    </row>
    <row r="1288" spans="1:7" x14ac:dyDescent="0.3">
      <c r="A1288" s="18" t="s">
        <v>781</v>
      </c>
      <c r="B1288" s="19">
        <v>45036</v>
      </c>
      <c r="C1288" s="20">
        <v>0.74965277777777795</v>
      </c>
      <c r="D1288" s="20">
        <v>0.8125</v>
      </c>
      <c r="E1288" s="20">
        <v>6.2847222222222193E-2</v>
      </c>
      <c r="F1288" s="21" t="s">
        <v>685</v>
      </c>
      <c r="G1288" t="s">
        <v>800</v>
      </c>
    </row>
    <row r="1289" spans="1:7" x14ac:dyDescent="0.3">
      <c r="A1289" s="18" t="s">
        <v>781</v>
      </c>
      <c r="B1289" s="19">
        <v>45036</v>
      </c>
      <c r="C1289" s="20">
        <v>0.8125</v>
      </c>
      <c r="D1289" s="20">
        <v>0.87638888888888899</v>
      </c>
      <c r="E1289" s="20">
        <v>6.3888888888888995E-2</v>
      </c>
      <c r="F1289" s="21" t="s">
        <v>685</v>
      </c>
      <c r="G1289" t="s">
        <v>800</v>
      </c>
    </row>
    <row r="1290" spans="1:7" x14ac:dyDescent="0.3">
      <c r="A1290" s="18" t="s">
        <v>781</v>
      </c>
      <c r="B1290" s="19">
        <v>45037</v>
      </c>
      <c r="C1290" s="20">
        <v>0.65972222222222199</v>
      </c>
      <c r="D1290" s="20">
        <v>0.67222222222222205</v>
      </c>
      <c r="E1290" s="20">
        <v>1.2500000000000001E-2</v>
      </c>
      <c r="F1290" s="21" t="s">
        <v>706</v>
      </c>
      <c r="G1290" t="s">
        <v>801</v>
      </c>
    </row>
    <row r="1291" spans="1:7" x14ac:dyDescent="0.3">
      <c r="A1291" s="18" t="s">
        <v>781</v>
      </c>
      <c r="B1291" s="19">
        <v>45039</v>
      </c>
      <c r="C1291" s="20">
        <v>8.6805555555555594E-2</v>
      </c>
      <c r="D1291" s="20">
        <v>0.27222222222222198</v>
      </c>
      <c r="E1291" s="20">
        <v>0.18541666666666701</v>
      </c>
      <c r="F1291" s="21" t="s">
        <v>787</v>
      </c>
      <c r="G1291" t="s">
        <v>802</v>
      </c>
    </row>
    <row r="1292" spans="1:7" x14ac:dyDescent="0.3">
      <c r="A1292" s="18" t="s">
        <v>781</v>
      </c>
      <c r="B1292" s="19">
        <v>45039</v>
      </c>
      <c r="C1292" s="20">
        <v>0.76944444444444404</v>
      </c>
      <c r="D1292" s="20">
        <v>0.79166666666666696</v>
      </c>
      <c r="E1292" s="20">
        <v>2.2222222222222299E-2</v>
      </c>
      <c r="F1292" s="21" t="s">
        <v>688</v>
      </c>
      <c r="G1292" t="s">
        <v>802</v>
      </c>
    </row>
    <row r="1293" spans="1:7" x14ac:dyDescent="0.3">
      <c r="A1293" s="18" t="s">
        <v>781</v>
      </c>
      <c r="B1293" s="19">
        <v>45040</v>
      </c>
      <c r="C1293" s="20">
        <v>8.6805555555555594E-2</v>
      </c>
      <c r="D1293" s="20">
        <v>0.27222222222222198</v>
      </c>
      <c r="E1293" s="20">
        <v>0.18541666666666701</v>
      </c>
      <c r="F1293" s="21" t="s">
        <v>787</v>
      </c>
      <c r="G1293" t="s">
        <v>797</v>
      </c>
    </row>
    <row r="1294" spans="1:7" x14ac:dyDescent="0.3">
      <c r="A1294" s="18" t="s">
        <v>781</v>
      </c>
      <c r="B1294" s="19">
        <v>45040</v>
      </c>
      <c r="C1294" s="20">
        <v>0.74722222222222201</v>
      </c>
      <c r="D1294" s="20">
        <v>0.8125</v>
      </c>
      <c r="E1294" s="20">
        <v>6.5277777777777796E-2</v>
      </c>
      <c r="F1294" s="21" t="s">
        <v>685</v>
      </c>
      <c r="G1294" t="s">
        <v>797</v>
      </c>
    </row>
    <row r="1295" spans="1:7" x14ac:dyDescent="0.3">
      <c r="A1295" s="18" t="s">
        <v>781</v>
      </c>
      <c r="B1295" s="19">
        <v>45040</v>
      </c>
      <c r="C1295" s="20">
        <v>0.8125</v>
      </c>
      <c r="D1295" s="20">
        <v>0.87638888888888899</v>
      </c>
      <c r="E1295" s="20">
        <v>6.3888888888888995E-2</v>
      </c>
      <c r="F1295" s="21" t="s">
        <v>788</v>
      </c>
      <c r="G1295" t="s">
        <v>797</v>
      </c>
    </row>
    <row r="1296" spans="1:7" x14ac:dyDescent="0.3">
      <c r="A1296" s="18" t="s">
        <v>781</v>
      </c>
      <c r="B1296" s="19">
        <v>45041</v>
      </c>
      <c r="C1296" s="20">
        <v>0.51249999999999996</v>
      </c>
      <c r="D1296" s="20">
        <v>0.51458333333333295</v>
      </c>
      <c r="E1296" s="20">
        <v>2.0833333333332101E-3</v>
      </c>
      <c r="F1296" s="21" t="s">
        <v>789</v>
      </c>
      <c r="G1296" t="s">
        <v>798</v>
      </c>
    </row>
    <row r="1297" spans="1:7" x14ac:dyDescent="0.3">
      <c r="A1297" s="18" t="s">
        <v>781</v>
      </c>
      <c r="B1297" s="19">
        <v>45041</v>
      </c>
      <c r="C1297" s="20">
        <v>0.74861111111111101</v>
      </c>
      <c r="D1297" s="20">
        <v>0.8125</v>
      </c>
      <c r="E1297" s="20">
        <v>6.3888888888888995E-2</v>
      </c>
      <c r="F1297" s="21" t="s">
        <v>685</v>
      </c>
      <c r="G1297" t="s">
        <v>798</v>
      </c>
    </row>
    <row r="1298" spans="1:7" x14ac:dyDescent="0.3">
      <c r="A1298" s="18" t="s">
        <v>781</v>
      </c>
      <c r="B1298" s="19">
        <v>45041</v>
      </c>
      <c r="C1298" s="20">
        <v>0.8125</v>
      </c>
      <c r="D1298" s="20">
        <v>0.87777777777777799</v>
      </c>
      <c r="E1298" s="20">
        <v>6.5277777777777796E-2</v>
      </c>
      <c r="F1298" s="21" t="s">
        <v>685</v>
      </c>
      <c r="G1298" t="s">
        <v>798</v>
      </c>
    </row>
    <row r="1299" spans="1:7" x14ac:dyDescent="0.3">
      <c r="A1299" s="18" t="s">
        <v>781</v>
      </c>
      <c r="B1299" s="19">
        <v>45042</v>
      </c>
      <c r="C1299" s="20">
        <v>0.74861111111111101</v>
      </c>
      <c r="D1299" s="20">
        <v>0.8125</v>
      </c>
      <c r="E1299" s="20">
        <v>6.3888888888888995E-2</v>
      </c>
      <c r="F1299" s="21" t="s">
        <v>685</v>
      </c>
      <c r="G1299" t="s">
        <v>799</v>
      </c>
    </row>
    <row r="1300" spans="1:7" x14ac:dyDescent="0.3">
      <c r="A1300" s="18" t="s">
        <v>781</v>
      </c>
      <c r="B1300" s="19">
        <v>45042</v>
      </c>
      <c r="C1300" s="20">
        <v>0.8125</v>
      </c>
      <c r="D1300" s="20">
        <v>0.875</v>
      </c>
      <c r="E1300" s="20">
        <v>6.25E-2</v>
      </c>
      <c r="F1300" s="21" t="s">
        <v>685</v>
      </c>
      <c r="G1300" t="s">
        <v>799</v>
      </c>
    </row>
    <row r="1301" spans="1:7" x14ac:dyDescent="0.3">
      <c r="A1301" s="18" t="s">
        <v>781</v>
      </c>
      <c r="B1301" s="19">
        <v>45042</v>
      </c>
      <c r="C1301" s="20">
        <v>0.875</v>
      </c>
      <c r="D1301" s="20">
        <v>0.92152777777777795</v>
      </c>
      <c r="E1301" s="20">
        <v>4.65277777777778E-2</v>
      </c>
      <c r="F1301" s="21" t="s">
        <v>790</v>
      </c>
      <c r="G1301" t="s">
        <v>799</v>
      </c>
    </row>
    <row r="1302" spans="1:7" x14ac:dyDescent="0.3">
      <c r="A1302" s="18" t="s">
        <v>781</v>
      </c>
      <c r="B1302" s="19">
        <v>45043</v>
      </c>
      <c r="C1302" s="20">
        <v>0.74861111111111101</v>
      </c>
      <c r="D1302" s="20">
        <v>0.8125</v>
      </c>
      <c r="E1302" s="20">
        <v>6.3888888888888995E-2</v>
      </c>
      <c r="F1302" s="21" t="s">
        <v>685</v>
      </c>
      <c r="G1302" t="s">
        <v>800</v>
      </c>
    </row>
    <row r="1303" spans="1:7" x14ac:dyDescent="0.3">
      <c r="A1303" s="18" t="s">
        <v>781</v>
      </c>
      <c r="B1303" s="19">
        <v>45043</v>
      </c>
      <c r="C1303" s="20">
        <v>0.8125</v>
      </c>
      <c r="D1303" s="20">
        <v>0.88263888888888897</v>
      </c>
      <c r="E1303" s="20">
        <v>7.0138888888888903E-2</v>
      </c>
      <c r="F1303" s="21" t="s">
        <v>685</v>
      </c>
      <c r="G1303" t="s">
        <v>800</v>
      </c>
    </row>
    <row r="1304" spans="1:7" x14ac:dyDescent="0.3">
      <c r="A1304" s="18" t="s">
        <v>781</v>
      </c>
      <c r="B1304" s="19">
        <v>45044</v>
      </c>
      <c r="C1304" s="20">
        <v>0.749305555555556</v>
      </c>
      <c r="D1304" s="20">
        <v>0.8125</v>
      </c>
      <c r="E1304" s="20">
        <v>6.31944444444444E-2</v>
      </c>
      <c r="F1304" s="21" t="s">
        <v>685</v>
      </c>
      <c r="G1304" t="s">
        <v>801</v>
      </c>
    </row>
    <row r="1305" spans="1:7" x14ac:dyDescent="0.3">
      <c r="A1305" s="18" t="s">
        <v>781</v>
      </c>
      <c r="B1305" s="19">
        <v>45044</v>
      </c>
      <c r="C1305" s="20">
        <v>0.8125</v>
      </c>
      <c r="D1305" s="20">
        <v>0.875</v>
      </c>
      <c r="E1305" s="20">
        <v>6.25E-2</v>
      </c>
      <c r="F1305" s="21" t="s">
        <v>685</v>
      </c>
      <c r="G1305" t="s">
        <v>801</v>
      </c>
    </row>
    <row r="1306" spans="1:7" x14ac:dyDescent="0.3">
      <c r="A1306" s="18" t="s">
        <v>781</v>
      </c>
      <c r="B1306" s="19">
        <v>45044</v>
      </c>
      <c r="C1306" s="20">
        <v>0.875</v>
      </c>
      <c r="D1306" s="20">
        <v>2.7777777777777801E-2</v>
      </c>
      <c r="E1306" s="20">
        <v>0.15277777777777801</v>
      </c>
      <c r="F1306" s="21" t="s">
        <v>791</v>
      </c>
      <c r="G1306" t="s">
        <v>801</v>
      </c>
    </row>
    <row r="1307" spans="1:7" x14ac:dyDescent="0.3">
      <c r="A1307" s="18" t="s">
        <v>781</v>
      </c>
      <c r="B1307" s="19">
        <v>45045</v>
      </c>
      <c r="C1307" s="20">
        <v>0.68125000000000002</v>
      </c>
      <c r="D1307" s="20">
        <v>0.68472222222222201</v>
      </c>
      <c r="E1307" s="20">
        <v>3.4722222222222099E-3</v>
      </c>
      <c r="F1307" s="21" t="s">
        <v>792</v>
      </c>
      <c r="G1307" t="s">
        <v>803</v>
      </c>
    </row>
    <row r="1308" spans="1:7" x14ac:dyDescent="0.3">
      <c r="A1308" s="18" t="s">
        <v>781</v>
      </c>
      <c r="B1308" s="19">
        <v>45046</v>
      </c>
      <c r="C1308" s="20">
        <v>0.68125000000000002</v>
      </c>
      <c r="D1308" s="20">
        <v>0.68472222222222201</v>
      </c>
      <c r="E1308" s="20">
        <v>3.4722222222222099E-3</v>
      </c>
      <c r="F1308" s="21" t="s">
        <v>792</v>
      </c>
      <c r="G1308" t="s">
        <v>802</v>
      </c>
    </row>
  </sheetData>
  <autoFilter ref="A1:H1308" xr:uid="{00000000-0009-0000-0000-00000C000000}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RESUMO</vt:lpstr>
      <vt:lpstr>Forno 01</vt:lpstr>
      <vt:lpstr>Forno 03</vt:lpstr>
      <vt:lpstr>Forno 05</vt:lpstr>
      <vt:lpstr>Forno 06</vt:lpstr>
      <vt:lpstr>Forno 08</vt:lpstr>
      <vt:lpstr>Forno 04 07</vt:lpstr>
      <vt:lpstr>Forno 09</vt:lpstr>
      <vt:lpstr>Forno 10 a 14</vt:lpstr>
      <vt:lpstr>Tipo Parada Fab 1</vt:lpstr>
      <vt:lpstr>Tipo Parada Forno 04 07</vt:lpstr>
      <vt:lpstr>Tipo Parada Fab 2</vt:lpstr>
      <vt:lpstr>Abr23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Saulo De Oliveira Beltrao</dc:creator>
  <dc:description/>
  <cp:lastModifiedBy>Carlos Eduardo Junqueira</cp:lastModifiedBy>
  <cp:revision>3</cp:revision>
  <dcterms:created xsi:type="dcterms:W3CDTF">2023-05-24T19:59:19Z</dcterms:created>
  <dcterms:modified xsi:type="dcterms:W3CDTF">2023-06-03T03:24:37Z</dcterms:modified>
  <dc:language>pt-BR</dc:language>
</cp:coreProperties>
</file>