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iretoria Presidente\Gerencia de Controladoria\Coordenação de Orcamento\3 - Execução Orçamentária\2024\Modelagem - SPS\1.Abr-Dez.24\BD\"/>
    </mc:Choice>
  </mc:AlternateContent>
  <xr:revisionPtr revIDLastSave="0" documentId="13_ncr:1_{5D947731-B254-4924-9502-4C4426DBB912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Metro Avançado" sheetId="1" r:id="rId1"/>
    <sheet name="Produçã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8" i="2" l="1"/>
  <c r="E38" i="2"/>
  <c r="F38" i="2"/>
  <c r="G38" i="2"/>
  <c r="H38" i="2"/>
  <c r="I38" i="2"/>
  <c r="J38" i="2"/>
  <c r="K38" i="2"/>
  <c r="L38" i="2"/>
  <c r="M38" i="2"/>
  <c r="N38" i="2"/>
  <c r="C38" i="2"/>
  <c r="N37" i="2"/>
  <c r="M37" i="2"/>
  <c r="L37" i="2"/>
  <c r="K37" i="2"/>
  <c r="J37" i="2"/>
  <c r="I37" i="2"/>
  <c r="H37" i="2"/>
  <c r="G37" i="2"/>
  <c r="F37" i="2"/>
  <c r="E37" i="2"/>
  <c r="C37" i="2"/>
  <c r="D37" i="2"/>
  <c r="N35" i="2"/>
  <c r="M35" i="2"/>
  <c r="L35" i="2"/>
  <c r="K35" i="2"/>
  <c r="J35" i="2"/>
  <c r="I35" i="2"/>
  <c r="H35" i="2"/>
  <c r="G35" i="2"/>
  <c r="F35" i="2"/>
  <c r="E35" i="2"/>
  <c r="D35" i="2"/>
  <c r="N34" i="2"/>
  <c r="M34" i="2"/>
  <c r="L34" i="2"/>
  <c r="K34" i="2"/>
  <c r="J34" i="2"/>
  <c r="I34" i="2"/>
  <c r="H34" i="2"/>
  <c r="G34" i="2"/>
  <c r="F34" i="2"/>
  <c r="E34" i="2"/>
  <c r="D34" i="2"/>
  <c r="N33" i="2"/>
  <c r="M33" i="2"/>
  <c r="L33" i="2"/>
  <c r="K33" i="2"/>
  <c r="J33" i="2"/>
  <c r="I33" i="2"/>
  <c r="H33" i="2"/>
  <c r="G33" i="2"/>
  <c r="F33" i="2"/>
  <c r="E33" i="2"/>
  <c r="D33" i="2"/>
  <c r="N32" i="2"/>
  <c r="M32" i="2"/>
  <c r="L32" i="2"/>
  <c r="K32" i="2"/>
  <c r="J32" i="2"/>
  <c r="I32" i="2"/>
  <c r="H32" i="2"/>
  <c r="G32" i="2"/>
  <c r="F32" i="2"/>
  <c r="E32" i="2"/>
  <c r="D32" i="2"/>
  <c r="C33" i="2"/>
  <c r="C32" i="2"/>
  <c r="D29" i="2"/>
  <c r="E29" i="2"/>
  <c r="F29" i="2"/>
  <c r="G29" i="2"/>
  <c r="H29" i="2"/>
  <c r="I29" i="2"/>
  <c r="J29" i="2"/>
  <c r="K29" i="2"/>
  <c r="L29" i="2"/>
  <c r="M29" i="2"/>
  <c r="N29" i="2"/>
  <c r="C29" i="2"/>
  <c r="C35" i="2" l="1"/>
  <c r="C34" i="2"/>
  <c r="C4" i="1"/>
  <c r="D4" i="1"/>
  <c r="E4" i="1"/>
  <c r="F4" i="1"/>
  <c r="G4" i="1"/>
  <c r="G12" i="1" s="1"/>
  <c r="H4" i="1"/>
  <c r="I4" i="1"/>
  <c r="J4" i="1"/>
  <c r="C8" i="1"/>
  <c r="D8" i="1"/>
  <c r="D12" i="1" s="1"/>
  <c r="E8" i="1"/>
  <c r="F8" i="1"/>
  <c r="G8" i="1"/>
  <c r="H8" i="1"/>
  <c r="I8" i="1"/>
  <c r="J8" i="1"/>
  <c r="J12" i="1" s="1"/>
  <c r="H12" i="1"/>
  <c r="I12" i="1"/>
  <c r="N6" i="2"/>
  <c r="M6" i="2"/>
  <c r="L6" i="2"/>
  <c r="K6" i="2"/>
  <c r="J6" i="2"/>
  <c r="I6" i="2"/>
  <c r="H6" i="2"/>
  <c r="G6" i="2"/>
  <c r="F6" i="2"/>
  <c r="E6" i="2"/>
  <c r="D6" i="2"/>
  <c r="C6" i="2"/>
  <c r="M20" i="2"/>
  <c r="L20" i="2"/>
  <c r="K20" i="2"/>
  <c r="J20" i="2"/>
  <c r="I20" i="2"/>
  <c r="H20" i="2"/>
  <c r="G20" i="2"/>
  <c r="F20" i="2"/>
  <c r="E20" i="2"/>
  <c r="D20" i="2"/>
  <c r="C20" i="2"/>
  <c r="N20" i="2"/>
  <c r="O24" i="2"/>
  <c r="O23" i="2"/>
  <c r="O22" i="2"/>
  <c r="O21" i="2"/>
  <c r="J26" i="1"/>
  <c r="I26" i="1"/>
  <c r="H26" i="1"/>
  <c r="G26" i="1"/>
  <c r="F26" i="1"/>
  <c r="E26" i="1"/>
  <c r="D26" i="1"/>
  <c r="C26" i="1"/>
  <c r="J22" i="1"/>
  <c r="I22" i="1"/>
  <c r="H22" i="1"/>
  <c r="G22" i="1"/>
  <c r="F22" i="1"/>
  <c r="E22" i="1"/>
  <c r="D22" i="1"/>
  <c r="C22" i="1"/>
  <c r="O28" i="1"/>
  <c r="O27" i="1"/>
  <c r="N26" i="1"/>
  <c r="M26" i="1"/>
  <c r="L26" i="1"/>
  <c r="K26" i="1"/>
  <c r="O24" i="1"/>
  <c r="O23" i="1"/>
  <c r="N22" i="1"/>
  <c r="M22" i="1"/>
  <c r="L22" i="1"/>
  <c r="K22" i="1"/>
  <c r="O7" i="2"/>
  <c r="E12" i="1" l="1"/>
  <c r="O20" i="2"/>
  <c r="N30" i="1"/>
  <c r="O22" i="1"/>
  <c r="G30" i="1"/>
  <c r="F12" i="1"/>
  <c r="C12" i="1"/>
  <c r="H30" i="1"/>
  <c r="J30" i="1"/>
  <c r="C30" i="1"/>
  <c r="I30" i="1"/>
  <c r="K30" i="1"/>
  <c r="D30" i="1"/>
  <c r="L30" i="1"/>
  <c r="E30" i="1"/>
  <c r="M30" i="1"/>
  <c r="F30" i="1"/>
  <c r="O26" i="1"/>
  <c r="O10" i="2"/>
  <c r="O9" i="2"/>
  <c r="O8" i="2"/>
  <c r="O10" i="1"/>
  <c r="O9" i="1"/>
  <c r="N8" i="1"/>
  <c r="M8" i="1"/>
  <c r="L8" i="1"/>
  <c r="K8" i="1"/>
  <c r="O6" i="1"/>
  <c r="O5" i="1"/>
  <c r="N4" i="1"/>
  <c r="N12" i="1" s="1"/>
  <c r="M4" i="1"/>
  <c r="L4" i="1"/>
  <c r="K4" i="1"/>
  <c r="O6" i="2" l="1"/>
  <c r="O30" i="1"/>
  <c r="K12" i="1"/>
  <c r="O4" i="1"/>
  <c r="M12" i="1"/>
  <c r="L12" i="1"/>
  <c r="O8" i="1"/>
  <c r="O12" i="1" l="1"/>
</calcChain>
</file>

<file path=xl/sharedStrings.xml><?xml version="1.0" encoding="utf-8"?>
<sst xmlns="http://schemas.openxmlformats.org/spreadsheetml/2006/main" count="123" uniqueCount="43">
  <si>
    <t>Unid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</si>
  <si>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</si>
  <si>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</si>
  <si>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</si>
  <si>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</si>
  <si>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</si>
  <si>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</si>
  <si>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</si>
  <si>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</si>
  <si>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</si>
  <si>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</si>
  <si>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</si>
  <si>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</si>
  <si>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Subsolo - Custo</t>
  </si>
  <si>
    <t>Metro</t>
  </si>
  <si>
    <t>Rampa de acesso</t>
  </si>
  <si>
    <t>Galeria de lavra</t>
  </si>
  <si>
    <t>Subsolo - Investimento</t>
  </si>
  <si>
    <t>Rampa principal</t>
  </si>
  <si>
    <t>Galeria de pesquisa</t>
  </si>
  <si>
    <t>TOTAL - Custo + Investimento</t>
  </si>
  <si>
    <t>Ipueira</t>
  </si>
  <si>
    <t>Lump</t>
  </si>
  <si>
    <t>t</t>
  </si>
  <si>
    <t>Concentrado</t>
  </si>
  <si>
    <t>Areia de Cromita</t>
  </si>
  <si>
    <t>ROM</t>
  </si>
  <si>
    <t>Jan/2024</t>
  </si>
  <si>
    <t>Fev/2024</t>
  </si>
  <si>
    <t>Total 2024</t>
  </si>
  <si>
    <t>Mar/2024</t>
  </si>
  <si>
    <t>Mineração
(t mil) ORÇADO 2024</t>
  </si>
  <si>
    <t xml:space="preserve">METRO AVANÇADO ORÇAMENTO </t>
  </si>
  <si>
    <t>Mineração
(t mil) Forecast 2024</t>
  </si>
  <si>
    <t>METRO AVANÇADO FORECAST 2024</t>
  </si>
  <si>
    <t>t/h</t>
  </si>
  <si>
    <t>h</t>
  </si>
  <si>
    <t>Horas Totais</t>
  </si>
  <si>
    <t>Lump Banca</t>
  </si>
  <si>
    <t>Lump Seleção</t>
  </si>
  <si>
    <t>ump Banca</t>
  </si>
  <si>
    <t>Lump total</t>
  </si>
  <si>
    <t>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</si>
</sst>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_ ;[Red]\-#,##0\ "/>
    <numFmt numFmtId="166" formatCode="#,##0.00_ ;[Red]\-#,##0.00\ "/>
    <numFmt numFmtId="168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name val="Arial"/>
      <family val="2"/>
    </font>
    <font>
      <u/>
      <sz val="1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A500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auto="1"/>
      </left>
      <right style="medium">
        <color indexed="64"/>
      </right>
      <top style="medium">
        <color auto="1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theme="0" tint="-0.24994659260841701"/>
      </left>
      <right/>
      <top/>
      <bottom/>
      <diagonal/>
    </border>
    <border>
      <left style="dotted">
        <color theme="0" tint="-0.24994659260841701"/>
      </left>
      <right style="dotted">
        <color theme="0" tint="-0.24994659260841701"/>
      </right>
      <top/>
      <bottom/>
      <diagonal/>
    </border>
  </borders>
  <cellStyleXfs count="4">
    <xf numFmtId="0" fontId="0" fillId="0" borderId="0"/>
    <xf numFmtId="0" fontId="2" fillId="0" borderId="0" applyNumberFormat="0" applyFont="0" applyFill="0" applyBorder="0" applyAlignment="0" applyProtection="0">
      <alignment vertical="top"/>
      <protection locked="0"/>
    </xf>
    <xf numFmtId="0" fontId="3" fillId="0" borderId="0"/>
    <xf numFmtId="43" fontId="10" fillId="0" borderId="0" applyFont="0" applyFill="0" applyBorder="0" applyAlignment="0" applyProtection="0"/>
  </cellStyleXfs>
  <cellXfs count="44">
    <xf numFmtId="0" fontId="0" fillId="0" borderId="0" xfId="0"/>
    <xf numFmtId="0" fontId="1" fillId="2" borderId="1" xfId="1" applyFont="1" applyFill="1" applyBorder="1" applyAlignment="1" applyProtection="1">
      <alignment vertical="center" wrapText="1"/>
    </xf>
    <xf numFmtId="0" fontId="1" fillId="2" borderId="3" xfId="1" applyFont="1" applyFill="1" applyBorder="1" applyAlignment="1" applyProtection="1">
      <alignment vertical="center" wrapText="1"/>
    </xf>
    <xf numFmtId="0" fontId="1" fillId="2" borderId="5" xfId="1" applyFont="1" applyFill="1" applyBorder="1" applyAlignment="1" applyProtection="1">
      <alignment vertical="center"/>
    </xf>
    <xf numFmtId="0" fontId="1" fillId="2" borderId="6" xfId="1" applyFont="1" applyFill="1" applyBorder="1" applyAlignment="1" applyProtection="1">
      <alignment vertical="center"/>
    </xf>
    <xf numFmtId="0" fontId="0" fillId="0" borderId="4" xfId="0" applyBorder="1"/>
    <xf numFmtId="0" fontId="0" fillId="0" borderId="7" xfId="0" applyBorder="1"/>
    <xf numFmtId="0" fontId="4" fillId="3" borderId="4" xfId="2" applyFont="1" applyFill="1" applyBorder="1" applyAlignment="1">
      <alignment horizontal="left" vertical="center"/>
    </xf>
    <xf numFmtId="0" fontId="4" fillId="3" borderId="0" xfId="2" applyFont="1" applyFill="1" applyAlignment="1">
      <alignment vertical="center"/>
    </xf>
    <xf numFmtId="0" fontId="5" fillId="3" borderId="4" xfId="2" applyFont="1" applyFill="1" applyBorder="1" applyAlignment="1">
      <alignment horizontal="left" vertical="center"/>
    </xf>
    <xf numFmtId="0" fontId="5" fillId="3" borderId="0" xfId="2" applyFont="1" applyFill="1" applyAlignment="1">
      <alignment vertical="center"/>
    </xf>
    <xf numFmtId="0" fontId="0" fillId="0" borderId="5" xfId="0" applyBorder="1"/>
    <xf numFmtId="0" fontId="0" fillId="0" borderId="8" xfId="0" applyBorder="1"/>
    <xf numFmtId="0" fontId="0" fillId="0" borderId="9" xfId="0" applyBorder="1"/>
    <xf numFmtId="0" fontId="6" fillId="4" borderId="4" xfId="2" applyFont="1" applyFill="1" applyBorder="1"/>
    <xf numFmtId="0" fontId="7" fillId="3" borderId="4" xfId="2" applyFont="1" applyFill="1" applyBorder="1" applyAlignment="1">
      <alignment vertical="center"/>
    </xf>
    <xf numFmtId="164" fontId="7" fillId="4" borderId="0" xfId="2" applyNumberFormat="1" applyFont="1" applyFill="1" applyAlignment="1">
      <alignment vertical="center"/>
    </xf>
    <xf numFmtId="164" fontId="0" fillId="0" borderId="7" xfId="0" applyNumberFormat="1" applyBorder="1"/>
    <xf numFmtId="0" fontId="5" fillId="3" borderId="4" xfId="2" applyFont="1" applyFill="1" applyBorder="1" applyAlignment="1">
      <alignment vertical="center"/>
    </xf>
    <xf numFmtId="164" fontId="7" fillId="4" borderId="10" xfId="2" applyNumberFormat="1" applyFont="1" applyFill="1" applyBorder="1" applyAlignment="1">
      <alignment vertical="center"/>
    </xf>
    <xf numFmtId="164" fontId="5" fillId="4" borderId="10" xfId="2" applyNumberFormat="1" applyFont="1" applyFill="1" applyBorder="1" applyAlignment="1">
      <alignment vertical="center"/>
    </xf>
    <xf numFmtId="3" fontId="0" fillId="0" borderId="0" xfId="0" applyNumberFormat="1"/>
    <xf numFmtId="164" fontId="8" fillId="0" borderId="7" xfId="0" applyNumberFormat="1" applyFont="1" applyBorder="1"/>
    <xf numFmtId="164" fontId="5" fillId="4" borderId="11" xfId="2" applyNumberFormat="1" applyFont="1" applyFill="1" applyBorder="1" applyAlignment="1">
      <alignment vertical="center"/>
    </xf>
    <xf numFmtId="164" fontId="7" fillId="4" borderId="11" xfId="2" applyNumberFormat="1" applyFont="1" applyFill="1" applyBorder="1" applyAlignment="1">
      <alignment vertical="center"/>
    </xf>
    <xf numFmtId="0" fontId="1" fillId="2" borderId="1" xfId="1" quotePrefix="1" applyFont="1" applyFill="1" applyBorder="1" applyAlignment="1" applyProtection="1">
      <alignment vertical="center" wrapText="1"/>
    </xf>
    <xf numFmtId="0" fontId="0" fillId="0" borderId="1" xfId="0" applyBorder="1"/>
    <xf numFmtId="164" fontId="7" fillId="4" borderId="4" xfId="2" applyNumberFormat="1" applyFont="1" applyFill="1" applyBorder="1" applyAlignment="1">
      <alignment vertical="center"/>
    </xf>
    <xf numFmtId="0" fontId="1" fillId="2" borderId="3" xfId="1" quotePrefix="1" applyFont="1" applyFill="1" applyBorder="1" applyAlignment="1" applyProtection="1">
      <alignment vertical="center" wrapText="1"/>
    </xf>
    <xf numFmtId="164" fontId="5" fillId="4" borderId="0" xfId="2" applyNumberFormat="1" applyFont="1" applyFill="1" applyAlignment="1">
      <alignment vertical="center"/>
    </xf>
    <xf numFmtId="164" fontId="5" fillId="4" borderId="4" xfId="2" applyNumberFormat="1" applyFont="1" applyFill="1" applyBorder="1" applyAlignment="1">
      <alignment vertical="center"/>
    </xf>
    <xf numFmtId="0" fontId="1" fillId="2" borderId="1" xfId="1" applyFont="1" applyFill="1" applyBorder="1" applyAlignment="1" applyProtection="1">
      <alignment horizontal="center" vertical="center" wrapText="1"/>
    </xf>
    <xf numFmtId="0" fontId="1" fillId="2" borderId="4" xfId="1" applyFont="1" applyFill="1" applyBorder="1" applyAlignment="1" applyProtection="1">
      <alignment horizontal="center" vertical="center" wrapText="1"/>
    </xf>
    <xf numFmtId="0" fontId="1" fillId="2" borderId="2" xfId="1" applyFont="1" applyFill="1" applyBorder="1" applyAlignment="1" applyProtection="1">
      <alignment horizontal="center" vertical="center"/>
    </xf>
    <xf numFmtId="0" fontId="1" fillId="2" borderId="0" xfId="1" applyFont="1" applyFill="1" applyBorder="1" applyAlignment="1" applyProtection="1">
      <alignment horizontal="center" vertical="center"/>
    </xf>
    <xf numFmtId="166" fontId="5" fillId="4" borderId="4" xfId="2" applyNumberFormat="1" applyFont="1" applyFill="1" applyBorder="1" applyAlignment="1">
      <alignment vertical="center"/>
    </xf>
    <xf numFmtId="166" fontId="5" fillId="4" borderId="10" xfId="2" applyNumberFormat="1" applyFont="1" applyFill="1" applyBorder="1" applyAlignment="1">
      <alignment vertical="center"/>
    </xf>
    <xf numFmtId="166" fontId="5" fillId="4" borderId="11" xfId="2" applyNumberFormat="1" applyFont="1" applyFill="1" applyBorder="1" applyAlignment="1">
      <alignment vertical="center"/>
    </xf>
    <xf numFmtId="168" fontId="0" fillId="0" borderId="0" xfId="3" applyNumberFormat="1" applyFont="1"/>
    <xf numFmtId="168" fontId="0" fillId="0" borderId="0" xfId="0" applyNumberFormat="1"/>
    <xf numFmtId="0" fontId="0" fillId="5" borderId="0" xfId="0" applyFill="1"/>
    <xf numFmtId="0" fontId="5" fillId="3" borderId="0" xfId="2" applyFont="1" applyFill="1" applyBorder="1" applyAlignment="1">
      <alignment vertical="center"/>
    </xf>
    <xf numFmtId="166" fontId="5" fillId="6" borderId="10" xfId="2" applyNumberFormat="1" applyFont="1" applyFill="1" applyBorder="1" applyAlignment="1">
      <alignment vertical="center"/>
    </xf>
    <xf numFmtId="166" fontId="5" fillId="6" borderId="11" xfId="2" applyNumberFormat="1" applyFont="1" applyFill="1" applyBorder="1" applyAlignment="1">
      <alignment vertical="center"/>
    </xf>
  </cellXfs>
  <cellStyles count="4">
    <cellStyle name="Hiperlink" xfId="1" builtinId="8"/>
    <cellStyle name="Normal" xfId="0" builtinId="0"/>
    <cellStyle name="Normal 2 2 6 5" xfId="2" xr:uid="{00000000-0005-0000-0000-000002000000}"/>
    <cellStyle name="Vírgula" xfId="3" builtinId="3"/>
  </cellStyles>
  <dxfs count="4">
    <dxf>
      <font>
        <color rgb="FF006600"/>
      </font>
    </dxf>
    <dxf>
      <font>
        <color rgb="FFFF0000"/>
      </font>
    </dxf>
    <dxf>
      <font>
        <color rgb="FF006600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2"/>
  <sheetViews>
    <sheetView showGridLines="0" zoomScaleNormal="100" workbookViewId="0">
      <selection activeCell="C28" sqref="C28"/>
    </sheetView>
  </sheetViews>
  <sheetFormatPr defaultRowHeight="14.4" outlineLevelCol="1" x14ac:dyDescent="0.3"/>
  <cols>
    <col min="1" max="1" width="32.44140625" customWidth="1"/>
    <col min="3" max="4" width="9.88671875" customWidth="1" outlineLevel="1"/>
    <col min="5" max="15" width="9.88671875" customWidth="1"/>
    <col min="20" max="28" width="9.109375" customWidth="1"/>
    <col min="29" max="29" width="12.6640625" customWidth="1"/>
  </cols>
  <sheetData>
    <row r="1" spans="1:15" x14ac:dyDescent="0.3">
      <c r="A1" s="31" t="s">
        <v>32</v>
      </c>
      <c r="B1" s="33" t="s">
        <v>0</v>
      </c>
      <c r="C1" s="25" t="s">
        <v>1</v>
      </c>
      <c r="D1" s="25" t="s">
        <v>2</v>
      </c>
      <c r="E1" s="25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2" t="s">
        <v>29</v>
      </c>
    </row>
    <row r="2" spans="1:15" ht="15" thickBot="1" x14ac:dyDescent="0.35">
      <c r="A2" s="32"/>
      <c r="B2" s="34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4"/>
    </row>
    <row r="3" spans="1:15" ht="4.5" customHeight="1" x14ac:dyDescent="0.3">
      <c r="A3" s="5"/>
      <c r="O3" s="6"/>
    </row>
    <row r="4" spans="1:15" x14ac:dyDescent="0.3">
      <c r="A4" s="7" t="s">
        <v>13</v>
      </c>
      <c r="B4" s="8" t="s">
        <v>14</v>
      </c>
      <c r="C4">
        <f t="shared" ref="C4:J4" si="0">C5+C6</f>
        <v>280</v>
      </c>
      <c r="D4">
        <f t="shared" si="0"/>
        <v>280</v>
      </c>
      <c r="E4">
        <f t="shared" si="0"/>
        <v>280</v>
      </c>
      <c r="F4">
        <f t="shared" si="0"/>
        <v>280</v>
      </c>
      <c r="G4">
        <f t="shared" si="0"/>
        <v>280</v>
      </c>
      <c r="H4">
        <f t="shared" si="0"/>
        <v>280</v>
      </c>
      <c r="I4">
        <f t="shared" si="0"/>
        <v>285</v>
      </c>
      <c r="J4">
        <f t="shared" si="0"/>
        <v>285</v>
      </c>
      <c r="K4">
        <f t="shared" ref="K4:O4" si="1">K5+K6</f>
        <v>285</v>
      </c>
      <c r="L4">
        <f t="shared" si="1"/>
        <v>295</v>
      </c>
      <c r="M4">
        <f t="shared" si="1"/>
        <v>295</v>
      </c>
      <c r="N4">
        <f t="shared" si="1"/>
        <v>0</v>
      </c>
      <c r="O4" s="6">
        <f t="shared" si="1"/>
        <v>3125</v>
      </c>
    </row>
    <row r="5" spans="1:15" x14ac:dyDescent="0.3">
      <c r="A5" s="9" t="s">
        <v>15</v>
      </c>
      <c r="B5" s="10" t="s">
        <v>14</v>
      </c>
      <c r="C5">
        <v>80</v>
      </c>
      <c r="D5">
        <v>80</v>
      </c>
      <c r="E5">
        <v>80</v>
      </c>
      <c r="F5">
        <v>80</v>
      </c>
      <c r="G5">
        <v>80</v>
      </c>
      <c r="H5">
        <v>80</v>
      </c>
      <c r="I5">
        <v>80</v>
      </c>
      <c r="J5">
        <v>80</v>
      </c>
      <c r="K5">
        <v>80</v>
      </c>
      <c r="L5">
        <v>85</v>
      </c>
      <c r="M5">
        <v>85</v>
      </c>
      <c r="O5" s="6">
        <f>SUM(C5:N5)</f>
        <v>890</v>
      </c>
    </row>
    <row r="6" spans="1:15" x14ac:dyDescent="0.3">
      <c r="A6" s="9" t="s">
        <v>16</v>
      </c>
      <c r="B6" s="10" t="s">
        <v>14</v>
      </c>
      <c r="C6">
        <v>200</v>
      </c>
      <c r="D6">
        <v>200</v>
      </c>
      <c r="E6">
        <v>200</v>
      </c>
      <c r="F6">
        <v>200</v>
      </c>
      <c r="G6">
        <v>200</v>
      </c>
      <c r="H6">
        <v>200</v>
      </c>
      <c r="I6">
        <v>205</v>
      </c>
      <c r="J6">
        <v>205</v>
      </c>
      <c r="K6">
        <v>205</v>
      </c>
      <c r="L6">
        <v>210</v>
      </c>
      <c r="M6">
        <v>210</v>
      </c>
      <c r="O6" s="6">
        <f>SUM(C6:N6)</f>
        <v>2235</v>
      </c>
    </row>
    <row r="7" spans="1:15" ht="4.5" customHeight="1" x14ac:dyDescent="0.3">
      <c r="A7" s="9"/>
      <c r="B7" s="10"/>
      <c r="O7" s="6"/>
    </row>
    <row r="8" spans="1:15" x14ac:dyDescent="0.3">
      <c r="A8" s="7" t="s">
        <v>17</v>
      </c>
      <c r="B8" s="8" t="s">
        <v>14</v>
      </c>
      <c r="C8">
        <f t="shared" ref="C8:J8" si="2">C9+C10</f>
        <v>120</v>
      </c>
      <c r="D8">
        <f t="shared" si="2"/>
        <v>120</v>
      </c>
      <c r="E8">
        <f t="shared" si="2"/>
        <v>120</v>
      </c>
      <c r="F8">
        <f t="shared" si="2"/>
        <v>120</v>
      </c>
      <c r="G8">
        <f t="shared" si="2"/>
        <v>120</v>
      </c>
      <c r="H8">
        <f t="shared" si="2"/>
        <v>120</v>
      </c>
      <c r="I8">
        <f t="shared" si="2"/>
        <v>125</v>
      </c>
      <c r="J8">
        <f t="shared" si="2"/>
        <v>125</v>
      </c>
      <c r="K8">
        <f t="shared" ref="K8:O8" si="3">K9+K10</f>
        <v>125</v>
      </c>
      <c r="L8">
        <f t="shared" si="3"/>
        <v>125</v>
      </c>
      <c r="M8">
        <f t="shared" si="3"/>
        <v>125</v>
      </c>
      <c r="N8">
        <f t="shared" si="3"/>
        <v>0</v>
      </c>
      <c r="O8" s="6">
        <f t="shared" si="3"/>
        <v>1345</v>
      </c>
    </row>
    <row r="9" spans="1:15" x14ac:dyDescent="0.3">
      <c r="A9" s="9" t="s">
        <v>18</v>
      </c>
      <c r="B9" s="10" t="s">
        <v>14</v>
      </c>
      <c r="C9">
        <v>80</v>
      </c>
      <c r="D9">
        <v>80</v>
      </c>
      <c r="E9">
        <v>80</v>
      </c>
      <c r="F9">
        <v>80</v>
      </c>
      <c r="G9">
        <v>80</v>
      </c>
      <c r="H9">
        <v>80</v>
      </c>
      <c r="I9">
        <v>85</v>
      </c>
      <c r="J9">
        <v>85</v>
      </c>
      <c r="K9">
        <v>85</v>
      </c>
      <c r="L9">
        <v>85</v>
      </c>
      <c r="M9">
        <v>85</v>
      </c>
      <c r="O9" s="6">
        <f>SUM(C9:N9)</f>
        <v>905</v>
      </c>
    </row>
    <row r="10" spans="1:15" x14ac:dyDescent="0.3">
      <c r="A10" s="9" t="s">
        <v>19</v>
      </c>
      <c r="B10" s="10" t="s">
        <v>14</v>
      </c>
      <c r="C10">
        <v>40</v>
      </c>
      <c r="D10">
        <v>40</v>
      </c>
      <c r="E10">
        <v>40</v>
      </c>
      <c r="F10">
        <v>40</v>
      </c>
      <c r="G10">
        <v>40</v>
      </c>
      <c r="H10">
        <v>40</v>
      </c>
      <c r="I10">
        <v>40</v>
      </c>
      <c r="J10">
        <v>40</v>
      </c>
      <c r="K10">
        <v>40</v>
      </c>
      <c r="L10">
        <v>40</v>
      </c>
      <c r="M10">
        <v>40</v>
      </c>
      <c r="O10" s="6">
        <f>SUM(C10:N10)</f>
        <v>440</v>
      </c>
    </row>
    <row r="11" spans="1:15" ht="4.5" customHeight="1" x14ac:dyDescent="0.3">
      <c r="A11" s="9"/>
      <c r="B11" s="10"/>
      <c r="O11" s="6"/>
    </row>
    <row r="12" spans="1:15" x14ac:dyDescent="0.3">
      <c r="A12" s="7" t="s">
        <v>20</v>
      </c>
      <c r="B12" s="8" t="s">
        <v>14</v>
      </c>
      <c r="C12">
        <f t="shared" ref="C12:J12" si="4">C8+C4</f>
        <v>400</v>
      </c>
      <c r="D12">
        <f t="shared" si="4"/>
        <v>400</v>
      </c>
      <c r="E12">
        <f t="shared" si="4"/>
        <v>400</v>
      </c>
      <c r="F12">
        <f t="shared" si="4"/>
        <v>400</v>
      </c>
      <c r="G12">
        <f t="shared" si="4"/>
        <v>400</v>
      </c>
      <c r="H12">
        <f t="shared" si="4"/>
        <v>400</v>
      </c>
      <c r="I12">
        <f t="shared" si="4"/>
        <v>410</v>
      </c>
      <c r="J12">
        <f t="shared" si="4"/>
        <v>410</v>
      </c>
      <c r="K12">
        <f t="shared" ref="K12:O12" si="5">K8+K4</f>
        <v>410</v>
      </c>
      <c r="L12">
        <f t="shared" si="5"/>
        <v>420</v>
      </c>
      <c r="M12">
        <f t="shared" si="5"/>
        <v>420</v>
      </c>
      <c r="N12">
        <f t="shared" si="5"/>
        <v>0</v>
      </c>
      <c r="O12" s="6">
        <f t="shared" si="5"/>
        <v>4470</v>
      </c>
    </row>
    <row r="13" spans="1:15" ht="4.5" customHeight="1" x14ac:dyDescent="0.3">
      <c r="A13" s="9"/>
      <c r="B13" s="10"/>
      <c r="O13" s="6"/>
    </row>
    <row r="14" spans="1:15" ht="4.5" customHeight="1" thickBot="1" x14ac:dyDescent="0.35">
      <c r="A14" s="11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3"/>
    </row>
    <row r="18" spans="1:15" ht="15" thickBot="1" x14ac:dyDescent="0.35"/>
    <row r="19" spans="1:15" x14ac:dyDescent="0.3">
      <c r="A19" s="31" t="s">
        <v>34</v>
      </c>
      <c r="B19" s="33" t="s">
        <v>0</v>
      </c>
      <c r="C19" s="25" t="s">
        <v>1</v>
      </c>
      <c r="D19" s="25" t="s">
        <v>2</v>
      </c>
      <c r="E19" s="25" t="s">
        <v>3</v>
      </c>
      <c r="F19" s="1" t="s">
        <v>4</v>
      </c>
      <c r="G19" s="1" t="s">
        <v>5</v>
      </c>
      <c r="H19" s="1" t="s">
        <v>6</v>
      </c>
      <c r="I19" s="1" t="s">
        <v>7</v>
      </c>
      <c r="J19" s="1" t="s">
        <v>8</v>
      </c>
      <c r="K19" s="1" t="s">
        <v>9</v>
      </c>
      <c r="L19" s="1" t="s">
        <v>10</v>
      </c>
      <c r="M19" s="1" t="s">
        <v>11</v>
      </c>
      <c r="N19" s="1" t="s">
        <v>12</v>
      </c>
      <c r="O19" s="2" t="s">
        <v>29</v>
      </c>
    </row>
    <row r="20" spans="1:15" ht="15" thickBot="1" x14ac:dyDescent="0.35">
      <c r="A20" s="32"/>
      <c r="B20" s="34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4"/>
    </row>
    <row r="21" spans="1:15" x14ac:dyDescent="0.3">
      <c r="A21" s="5"/>
      <c r="C21" s="26"/>
      <c r="O21" s="6"/>
    </row>
    <row r="22" spans="1:15" x14ac:dyDescent="0.3">
      <c r="A22" s="7" t="s">
        <v>13</v>
      </c>
      <c r="B22" s="8" t="s">
        <v>14</v>
      </c>
      <c r="C22" s="5">
        <f t="shared" ref="C22:J22" si="6">C23+C24</f>
        <v>221</v>
      </c>
      <c r="D22">
        <f t="shared" si="6"/>
        <v>246</v>
      </c>
      <c r="E22">
        <f t="shared" si="6"/>
        <v>280</v>
      </c>
      <c r="F22">
        <f t="shared" si="6"/>
        <v>285</v>
      </c>
      <c r="G22">
        <f t="shared" si="6"/>
        <v>294</v>
      </c>
      <c r="H22">
        <f t="shared" si="6"/>
        <v>290</v>
      </c>
      <c r="I22">
        <f t="shared" si="6"/>
        <v>295</v>
      </c>
      <c r="J22">
        <f t="shared" si="6"/>
        <v>295</v>
      </c>
      <c r="K22">
        <f t="shared" ref="K22:O22" si="7">K23+K24</f>
        <v>300</v>
      </c>
      <c r="L22">
        <f t="shared" si="7"/>
        <v>305</v>
      </c>
      <c r="M22">
        <f t="shared" si="7"/>
        <v>305</v>
      </c>
      <c r="N22">
        <f t="shared" si="7"/>
        <v>305</v>
      </c>
      <c r="O22" s="6">
        <f t="shared" si="7"/>
        <v>3421</v>
      </c>
    </row>
    <row r="23" spans="1:15" x14ac:dyDescent="0.3">
      <c r="A23" s="9" t="s">
        <v>15</v>
      </c>
      <c r="B23" s="10" t="s">
        <v>14</v>
      </c>
      <c r="C23" s="5">
        <v>62</v>
      </c>
      <c r="D23">
        <v>61</v>
      </c>
      <c r="E23">
        <v>95</v>
      </c>
      <c r="F23">
        <v>85</v>
      </c>
      <c r="G23">
        <v>93</v>
      </c>
      <c r="H23">
        <v>80</v>
      </c>
      <c r="I23">
        <v>80</v>
      </c>
      <c r="J23">
        <v>80</v>
      </c>
      <c r="K23">
        <v>85</v>
      </c>
      <c r="L23">
        <v>85</v>
      </c>
      <c r="M23">
        <v>85</v>
      </c>
      <c r="N23">
        <v>85</v>
      </c>
      <c r="O23" s="6">
        <f>SUM(C23:N23)</f>
        <v>976</v>
      </c>
    </row>
    <row r="24" spans="1:15" x14ac:dyDescent="0.3">
      <c r="A24" s="9" t="s">
        <v>16</v>
      </c>
      <c r="B24" s="10" t="s">
        <v>14</v>
      </c>
      <c r="C24" s="5">
        <v>159</v>
      </c>
      <c r="D24">
        <v>185</v>
      </c>
      <c r="E24">
        <v>185</v>
      </c>
      <c r="F24">
        <v>200</v>
      </c>
      <c r="G24">
        <v>201</v>
      </c>
      <c r="H24">
        <v>210</v>
      </c>
      <c r="I24">
        <v>215</v>
      </c>
      <c r="J24">
        <v>215</v>
      </c>
      <c r="K24">
        <v>215</v>
      </c>
      <c r="L24">
        <v>220</v>
      </c>
      <c r="M24">
        <v>220</v>
      </c>
      <c r="N24">
        <v>220</v>
      </c>
      <c r="O24" s="6">
        <f>SUM(C24:N24)</f>
        <v>2445</v>
      </c>
    </row>
    <row r="25" spans="1:15" x14ac:dyDescent="0.3">
      <c r="A25" s="9"/>
      <c r="B25" s="10"/>
      <c r="C25" s="5"/>
      <c r="O25" s="6"/>
    </row>
    <row r="26" spans="1:15" x14ac:dyDescent="0.3">
      <c r="A26" s="7" t="s">
        <v>17</v>
      </c>
      <c r="B26" s="8" t="s">
        <v>14</v>
      </c>
      <c r="C26" s="5">
        <f t="shared" ref="C26:J26" si="8">C27+C28</f>
        <v>167</v>
      </c>
      <c r="D26">
        <f t="shared" si="8"/>
        <v>128</v>
      </c>
      <c r="E26">
        <f t="shared" si="8"/>
        <v>120</v>
      </c>
      <c r="F26">
        <f t="shared" si="8"/>
        <v>115</v>
      </c>
      <c r="G26">
        <f t="shared" si="8"/>
        <v>109</v>
      </c>
      <c r="H26">
        <f t="shared" si="8"/>
        <v>115</v>
      </c>
      <c r="I26">
        <f t="shared" si="8"/>
        <v>120</v>
      </c>
      <c r="J26">
        <f t="shared" si="8"/>
        <v>120</v>
      </c>
      <c r="K26">
        <f t="shared" ref="K26:O26" si="9">K27+K28</f>
        <v>115</v>
      </c>
      <c r="L26">
        <f t="shared" si="9"/>
        <v>120</v>
      </c>
      <c r="M26">
        <f t="shared" si="9"/>
        <v>120</v>
      </c>
      <c r="N26">
        <f t="shared" si="9"/>
        <v>120</v>
      </c>
      <c r="O26" s="6">
        <f t="shared" si="9"/>
        <v>1469</v>
      </c>
    </row>
    <row r="27" spans="1:15" x14ac:dyDescent="0.3">
      <c r="A27" s="9" t="s">
        <v>18</v>
      </c>
      <c r="B27" s="10" t="s">
        <v>14</v>
      </c>
      <c r="C27" s="5">
        <v>132</v>
      </c>
      <c r="D27">
        <v>92</v>
      </c>
      <c r="E27">
        <v>80</v>
      </c>
      <c r="F27">
        <v>75</v>
      </c>
      <c r="G27">
        <v>69</v>
      </c>
      <c r="H27">
        <v>75</v>
      </c>
      <c r="I27">
        <v>80</v>
      </c>
      <c r="J27">
        <v>80</v>
      </c>
      <c r="K27">
        <v>75</v>
      </c>
      <c r="L27">
        <v>75</v>
      </c>
      <c r="M27">
        <v>80</v>
      </c>
      <c r="N27">
        <v>77</v>
      </c>
      <c r="O27" s="6">
        <f>SUM(C27:N27)</f>
        <v>990</v>
      </c>
    </row>
    <row r="28" spans="1:15" x14ac:dyDescent="0.3">
      <c r="A28" s="9" t="s">
        <v>19</v>
      </c>
      <c r="B28" s="10" t="s">
        <v>14</v>
      </c>
      <c r="C28" s="5">
        <v>35</v>
      </c>
      <c r="D28">
        <v>36</v>
      </c>
      <c r="E28">
        <v>40</v>
      </c>
      <c r="F28">
        <v>40</v>
      </c>
      <c r="G28">
        <v>40</v>
      </c>
      <c r="H28">
        <v>40</v>
      </c>
      <c r="I28">
        <v>40</v>
      </c>
      <c r="J28">
        <v>40</v>
      </c>
      <c r="K28">
        <v>40</v>
      </c>
      <c r="L28">
        <v>45</v>
      </c>
      <c r="M28">
        <v>40</v>
      </c>
      <c r="N28">
        <v>43</v>
      </c>
      <c r="O28" s="6">
        <f>SUM(C28:N28)</f>
        <v>479</v>
      </c>
    </row>
    <row r="29" spans="1:15" x14ac:dyDescent="0.3">
      <c r="A29" s="9"/>
      <c r="B29" s="10"/>
      <c r="C29" s="5"/>
      <c r="O29" s="6"/>
    </row>
    <row r="30" spans="1:15" x14ac:dyDescent="0.3">
      <c r="A30" s="7" t="s">
        <v>20</v>
      </c>
      <c r="B30" s="8" t="s">
        <v>14</v>
      </c>
      <c r="C30" s="5">
        <f t="shared" ref="C30:J30" si="10">C26+C22</f>
        <v>388</v>
      </c>
      <c r="D30">
        <f t="shared" si="10"/>
        <v>374</v>
      </c>
      <c r="E30">
        <f t="shared" si="10"/>
        <v>400</v>
      </c>
      <c r="F30">
        <f t="shared" si="10"/>
        <v>400</v>
      </c>
      <c r="G30">
        <f t="shared" si="10"/>
        <v>403</v>
      </c>
      <c r="H30">
        <f t="shared" si="10"/>
        <v>405</v>
      </c>
      <c r="I30">
        <f t="shared" si="10"/>
        <v>415</v>
      </c>
      <c r="J30">
        <f t="shared" si="10"/>
        <v>415</v>
      </c>
      <c r="K30">
        <f t="shared" ref="K30:O30" si="11">K26+K22</f>
        <v>415</v>
      </c>
      <c r="L30">
        <f t="shared" si="11"/>
        <v>425</v>
      </c>
      <c r="M30">
        <f t="shared" si="11"/>
        <v>425</v>
      </c>
      <c r="N30">
        <f t="shared" si="11"/>
        <v>425</v>
      </c>
      <c r="O30" s="6">
        <f t="shared" si="11"/>
        <v>4890</v>
      </c>
    </row>
    <row r="31" spans="1:15" x14ac:dyDescent="0.3">
      <c r="A31" s="9"/>
      <c r="B31" s="10"/>
      <c r="C31" s="5"/>
      <c r="O31" s="6"/>
    </row>
    <row r="32" spans="1:15" ht="15" thickBot="1" x14ac:dyDescent="0.35">
      <c r="A32" s="11"/>
      <c r="B32" s="12"/>
      <c r="C32" s="11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3"/>
    </row>
  </sheetData>
  <mergeCells count="4">
    <mergeCell ref="A1:A2"/>
    <mergeCell ref="B1:B2"/>
    <mergeCell ref="A19:A20"/>
    <mergeCell ref="B19:B20"/>
  </mergeCells>
  <phoneticPr fontId="9" type="noConversion"/>
  <conditionalFormatting sqref="A11:B11">
    <cfRule type="cellIs" dxfId="3" priority="3" stopIfTrue="1" operator="lessThan">
      <formula>0</formula>
    </cfRule>
    <cfRule type="cellIs" dxfId="2" priority="4" stopIfTrue="1" operator="greaterThanOrEqual">
      <formula>0</formula>
    </cfRule>
  </conditionalFormatting>
  <conditionalFormatting sqref="A29:B29">
    <cfRule type="cellIs" dxfId="1" priority="1" stopIfTrue="1" operator="lessThan">
      <formula>0</formula>
    </cfRule>
    <cfRule type="cellIs" dxfId="0" priority="2" stopIfTrue="1" operator="greaterThanOrEqual">
      <formula>0</formula>
    </cfRule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O38"/>
  <sheetViews>
    <sheetView showGridLines="0" tabSelected="1" topLeftCell="A18" workbookViewId="0">
      <selection activeCell="F32" sqref="F32"/>
    </sheetView>
  </sheetViews>
  <sheetFormatPr defaultRowHeight="14.4" outlineLevelCol="1" x14ac:dyDescent="0.3"/>
  <cols>
    <col min="1" max="1" width="26.109375" customWidth="1"/>
    <col min="2" max="2" width="6.33203125" customWidth="1"/>
    <col min="3" max="4" width="11.77734375" bestFit="1" customWidth="1" outlineLevel="1"/>
    <col min="5" max="14" width="11.77734375" bestFit="1" customWidth="1"/>
    <col min="15" max="15" width="9.6640625" bestFit="1" customWidth="1"/>
    <col min="17" max="28" width="9.109375" customWidth="1"/>
    <col min="29" max="29" width="9.88671875" customWidth="1"/>
    <col min="30" max="34" width="9.109375" customWidth="1"/>
  </cols>
  <sheetData>
    <row r="2" spans="1:15" ht="15" thickBot="1" x14ac:dyDescent="0.35"/>
    <row r="3" spans="1:15" ht="28.8" x14ac:dyDescent="0.3">
      <c r="A3" s="1" t="s">
        <v>31</v>
      </c>
      <c r="B3" s="1" t="s">
        <v>0</v>
      </c>
      <c r="C3" s="25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25" t="s">
        <v>12</v>
      </c>
      <c r="O3" s="28" t="s">
        <v>29</v>
      </c>
    </row>
    <row r="4" spans="1:15" ht="15" thickBot="1" x14ac:dyDescent="0.3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4"/>
    </row>
    <row r="5" spans="1:15" ht="4.5" customHeight="1" x14ac:dyDescent="0.3">
      <c r="A5" s="14"/>
      <c r="C5" s="26"/>
      <c r="O5" s="6"/>
    </row>
    <row r="6" spans="1:15" x14ac:dyDescent="0.3">
      <c r="A6" s="15" t="s">
        <v>21</v>
      </c>
      <c r="C6" s="27">
        <f t="shared" ref="C6:O6" si="0">SUM(C7:C11)</f>
        <v>145081</v>
      </c>
      <c r="D6" s="16">
        <f t="shared" si="0"/>
        <v>139345</v>
      </c>
      <c r="E6" s="16">
        <f t="shared" si="0"/>
        <v>140114</v>
      </c>
      <c r="F6" s="16">
        <f t="shared" si="0"/>
        <v>144697</v>
      </c>
      <c r="G6" s="16">
        <f t="shared" si="0"/>
        <v>140114</v>
      </c>
      <c r="H6" s="16">
        <f t="shared" si="0"/>
        <v>128298</v>
      </c>
      <c r="I6" s="16">
        <f t="shared" si="0"/>
        <v>143581</v>
      </c>
      <c r="J6" s="16">
        <f t="shared" si="0"/>
        <v>148549</v>
      </c>
      <c r="K6" s="16">
        <f t="shared" si="0"/>
        <v>133263</v>
      </c>
      <c r="L6" s="16">
        <f t="shared" si="0"/>
        <v>143581</v>
      </c>
      <c r="M6" s="16">
        <f t="shared" si="0"/>
        <v>133263</v>
      </c>
      <c r="N6" s="16">
        <f t="shared" si="0"/>
        <v>138614</v>
      </c>
      <c r="O6" s="22">
        <f t="shared" si="0"/>
        <v>1678500</v>
      </c>
    </row>
    <row r="7" spans="1:15" ht="15.75" customHeight="1" x14ac:dyDescent="0.3">
      <c r="A7" s="18" t="s">
        <v>26</v>
      </c>
      <c r="B7" t="s">
        <v>23</v>
      </c>
      <c r="C7" s="30">
        <v>103311</v>
      </c>
      <c r="D7" s="29">
        <v>99338</v>
      </c>
      <c r="E7" s="29">
        <v>99338</v>
      </c>
      <c r="F7" s="29">
        <v>103311</v>
      </c>
      <c r="G7" s="29">
        <v>99338</v>
      </c>
      <c r="H7" s="29">
        <v>91391</v>
      </c>
      <c r="I7" s="29">
        <v>103311</v>
      </c>
      <c r="J7" s="29">
        <v>107285</v>
      </c>
      <c r="K7" s="29">
        <v>95364</v>
      </c>
      <c r="L7" s="29">
        <v>103311</v>
      </c>
      <c r="M7" s="29">
        <v>95364</v>
      </c>
      <c r="N7" s="29">
        <v>99338</v>
      </c>
      <c r="O7" s="17">
        <f>SUM(C7:N7)</f>
        <v>1200000</v>
      </c>
    </row>
    <row r="8" spans="1:15" x14ac:dyDescent="0.3">
      <c r="A8" s="18" t="s">
        <v>22</v>
      </c>
      <c r="B8" t="s">
        <v>23</v>
      </c>
      <c r="C8" s="30">
        <v>30628</v>
      </c>
      <c r="D8" s="20">
        <v>29634</v>
      </c>
      <c r="E8" s="20">
        <v>29634</v>
      </c>
      <c r="F8" s="20">
        <v>30628</v>
      </c>
      <c r="G8" s="20">
        <v>29634</v>
      </c>
      <c r="H8" s="20">
        <v>26149</v>
      </c>
      <c r="I8" s="20">
        <v>29128</v>
      </c>
      <c r="J8" s="20">
        <v>30121</v>
      </c>
      <c r="K8" s="20">
        <v>27141</v>
      </c>
      <c r="L8" s="20">
        <v>29128</v>
      </c>
      <c r="M8" s="20">
        <v>27141</v>
      </c>
      <c r="N8" s="23">
        <v>28134</v>
      </c>
      <c r="O8" s="17">
        <f>SUM(C8:N8)</f>
        <v>347100</v>
      </c>
    </row>
    <row r="9" spans="1:15" x14ac:dyDescent="0.3">
      <c r="A9" s="18" t="s">
        <v>24</v>
      </c>
      <c r="B9" t="s">
        <v>23</v>
      </c>
      <c r="C9" s="30">
        <v>9158</v>
      </c>
      <c r="D9" s="20">
        <v>8526</v>
      </c>
      <c r="E9" s="20">
        <v>9158</v>
      </c>
      <c r="F9" s="20">
        <v>8842</v>
      </c>
      <c r="G9" s="20">
        <v>9158</v>
      </c>
      <c r="H9" s="20">
        <v>8842</v>
      </c>
      <c r="I9" s="20">
        <v>9158</v>
      </c>
      <c r="J9" s="20">
        <v>9158</v>
      </c>
      <c r="K9" s="20">
        <v>8842</v>
      </c>
      <c r="L9" s="20">
        <v>9158</v>
      </c>
      <c r="M9" s="20">
        <v>8842</v>
      </c>
      <c r="N9" s="23">
        <v>9158</v>
      </c>
      <c r="O9" s="17">
        <f>SUM(C9:N9)</f>
        <v>108000</v>
      </c>
    </row>
    <row r="10" spans="1:15" x14ac:dyDescent="0.3">
      <c r="A10" s="18" t="s">
        <v>25</v>
      </c>
      <c r="B10" t="s">
        <v>23</v>
      </c>
      <c r="C10" s="30">
        <v>1984</v>
      </c>
      <c r="D10" s="20">
        <v>1847</v>
      </c>
      <c r="E10" s="20">
        <v>1984</v>
      </c>
      <c r="F10" s="20">
        <v>1916</v>
      </c>
      <c r="G10" s="20">
        <v>1984</v>
      </c>
      <c r="H10" s="20">
        <v>1916</v>
      </c>
      <c r="I10" s="20">
        <v>1984</v>
      </c>
      <c r="J10" s="20">
        <v>1985</v>
      </c>
      <c r="K10" s="20">
        <v>1916</v>
      </c>
      <c r="L10" s="20">
        <v>1984</v>
      </c>
      <c r="M10" s="20">
        <v>1916</v>
      </c>
      <c r="N10" s="23">
        <v>1984</v>
      </c>
      <c r="O10" s="17">
        <f>SUM(C10:N10)</f>
        <v>23400</v>
      </c>
    </row>
    <row r="11" spans="1:15" ht="4.5" customHeight="1" x14ac:dyDescent="0.3">
      <c r="A11" s="15"/>
      <c r="C11" s="27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24"/>
      <c r="O11" s="17"/>
    </row>
    <row r="12" spans="1:15" ht="4.5" customHeight="1" thickBot="1" x14ac:dyDescent="0.35">
      <c r="A12" s="12"/>
      <c r="B12" s="12"/>
      <c r="C12" s="11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3"/>
    </row>
    <row r="15" spans="1:15" x14ac:dyDescent="0.3">
      <c r="I15" s="21"/>
      <c r="J15" s="21"/>
      <c r="K15" s="21"/>
      <c r="L15" s="21"/>
      <c r="M15" s="21"/>
      <c r="N15" s="21"/>
    </row>
    <row r="16" spans="1:15" ht="15" thickBot="1" x14ac:dyDescent="0.35">
      <c r="I16" s="21"/>
      <c r="J16" s="21"/>
      <c r="K16" s="21"/>
      <c r="L16" s="21"/>
      <c r="M16" s="21"/>
      <c r="N16" s="21"/>
    </row>
    <row r="17" spans="1:15" ht="28.8" x14ac:dyDescent="0.3">
      <c r="A17" s="1" t="s">
        <v>33</v>
      </c>
      <c r="B17" s="1" t="s">
        <v>0</v>
      </c>
      <c r="C17" s="25" t="s">
        <v>27</v>
      </c>
      <c r="D17" s="25" t="s">
        <v>28</v>
      </c>
      <c r="E17" s="25" t="s">
        <v>30</v>
      </c>
      <c r="F17" s="1" t="s">
        <v>4</v>
      </c>
      <c r="G17" s="1" t="s">
        <v>5</v>
      </c>
      <c r="H17" s="1" t="s">
        <v>6</v>
      </c>
      <c r="I17" s="1" t="s">
        <v>7</v>
      </c>
      <c r="J17" s="1" t="s">
        <v>8</v>
      </c>
      <c r="K17" s="1" t="s">
        <v>9</v>
      </c>
      <c r="L17" s="1" t="s">
        <v>10</v>
      </c>
      <c r="M17" s="1" t="s">
        <v>11</v>
      </c>
      <c r="N17" s="25" t="s">
        <v>12</v>
      </c>
      <c r="O17" s="2" t="s">
        <v>29</v>
      </c>
    </row>
    <row r="18" spans="1:15" ht="15" thickBot="1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4"/>
    </row>
    <row r="19" spans="1:15" x14ac:dyDescent="0.3">
      <c r="A19" s="14"/>
      <c r="C19" s="26"/>
      <c r="O19" s="6"/>
    </row>
    <row r="20" spans="1:15" x14ac:dyDescent="0.3">
      <c r="A20" s="15" t="s">
        <v>21</v>
      </c>
      <c r="C20" s="27">
        <f t="shared" ref="C20:O20" si="1">SUM(C21:C25)</f>
        <v>124865</v>
      </c>
      <c r="D20" s="16">
        <f t="shared" si="1"/>
        <v>132617</v>
      </c>
      <c r="E20" s="16">
        <f t="shared" si="1"/>
        <v>127407</v>
      </c>
      <c r="F20" s="16">
        <f t="shared" si="1"/>
        <v>141335</v>
      </c>
      <c r="G20" s="16">
        <f t="shared" si="1"/>
        <v>143259</v>
      </c>
      <c r="H20" s="16">
        <f t="shared" si="1"/>
        <v>134192</v>
      </c>
      <c r="I20" s="16">
        <f t="shared" si="1"/>
        <v>149573</v>
      </c>
      <c r="J20" s="16">
        <f t="shared" si="1"/>
        <v>154083</v>
      </c>
      <c r="K20" s="16">
        <f t="shared" si="1"/>
        <v>138363</v>
      </c>
      <c r="L20" s="16">
        <f t="shared" si="1"/>
        <v>148700</v>
      </c>
      <c r="M20" s="16">
        <f t="shared" si="1"/>
        <v>139289</v>
      </c>
      <c r="N20" s="16">
        <f t="shared" si="1"/>
        <v>144619</v>
      </c>
      <c r="O20" s="22">
        <f t="shared" si="1"/>
        <v>1678302</v>
      </c>
    </row>
    <row r="21" spans="1:15" x14ac:dyDescent="0.3">
      <c r="A21" s="18" t="s">
        <v>26</v>
      </c>
      <c r="B21" t="s">
        <v>23</v>
      </c>
      <c r="C21" s="30">
        <v>87107</v>
      </c>
      <c r="D21" s="29">
        <v>94426</v>
      </c>
      <c r="E21" s="29">
        <v>89172</v>
      </c>
      <c r="F21" s="29">
        <v>100621</v>
      </c>
      <c r="G21" s="29">
        <v>101854</v>
      </c>
      <c r="H21" s="29">
        <v>96106</v>
      </c>
      <c r="I21" s="29">
        <v>108026</v>
      </c>
      <c r="J21" s="29">
        <v>111631</v>
      </c>
      <c r="K21" s="29">
        <v>99444</v>
      </c>
      <c r="L21" s="29">
        <v>107406</v>
      </c>
      <c r="M21" s="29">
        <v>100185</v>
      </c>
      <c r="N21" s="29">
        <v>104066</v>
      </c>
      <c r="O21" s="17">
        <f>SUM(C21:N21)</f>
        <v>1200044</v>
      </c>
    </row>
    <row r="22" spans="1:15" x14ac:dyDescent="0.3">
      <c r="A22" s="18" t="s">
        <v>22</v>
      </c>
      <c r="B22" t="s">
        <v>23</v>
      </c>
      <c r="C22" s="30">
        <v>26451</v>
      </c>
      <c r="D22" s="20">
        <v>28169</v>
      </c>
      <c r="E22" s="20">
        <v>27093</v>
      </c>
      <c r="F22" s="20">
        <v>29956</v>
      </c>
      <c r="G22" s="20">
        <v>30263</v>
      </c>
      <c r="H22" s="20">
        <v>27328</v>
      </c>
      <c r="I22" s="20">
        <v>30405</v>
      </c>
      <c r="J22" s="20">
        <v>31309</v>
      </c>
      <c r="K22" s="20">
        <v>28161</v>
      </c>
      <c r="L22" s="20">
        <v>30152</v>
      </c>
      <c r="M22" s="20">
        <v>28346</v>
      </c>
      <c r="N22" s="23">
        <v>29411</v>
      </c>
      <c r="O22" s="17">
        <f>SUM(C22:N22)</f>
        <v>347044</v>
      </c>
    </row>
    <row r="23" spans="1:15" x14ac:dyDescent="0.3">
      <c r="A23" s="18" t="s">
        <v>24</v>
      </c>
      <c r="B23" t="s">
        <v>23</v>
      </c>
      <c r="C23" s="30">
        <v>9368</v>
      </c>
      <c r="D23" s="20">
        <v>8538</v>
      </c>
      <c r="E23" s="20">
        <v>9158</v>
      </c>
      <c r="F23" s="20">
        <v>8842</v>
      </c>
      <c r="G23" s="20">
        <v>9158</v>
      </c>
      <c r="H23" s="20">
        <v>8842</v>
      </c>
      <c r="I23" s="20">
        <v>9158</v>
      </c>
      <c r="J23" s="20">
        <v>9158</v>
      </c>
      <c r="K23" s="20">
        <v>8842</v>
      </c>
      <c r="L23" s="20">
        <v>9158</v>
      </c>
      <c r="M23" s="20">
        <v>8842</v>
      </c>
      <c r="N23" s="23">
        <v>9158</v>
      </c>
      <c r="O23" s="17">
        <f>SUM(C23:N23)</f>
        <v>108222</v>
      </c>
    </row>
    <row r="24" spans="1:15" x14ac:dyDescent="0.3">
      <c r="A24" s="18" t="s">
        <v>25</v>
      </c>
      <c r="B24" t="s">
        <v>23</v>
      </c>
      <c r="C24" s="30">
        <v>1939</v>
      </c>
      <c r="D24" s="20">
        <v>1484</v>
      </c>
      <c r="E24" s="20">
        <v>1984</v>
      </c>
      <c r="F24" s="20">
        <v>1916</v>
      </c>
      <c r="G24" s="20">
        <v>1984</v>
      </c>
      <c r="H24" s="20">
        <v>1916</v>
      </c>
      <c r="I24" s="20">
        <v>1984</v>
      </c>
      <c r="J24" s="20">
        <v>1985</v>
      </c>
      <c r="K24" s="20">
        <v>1916</v>
      </c>
      <c r="L24" s="20">
        <v>1984</v>
      </c>
      <c r="M24" s="20">
        <v>1916</v>
      </c>
      <c r="N24" s="23">
        <v>1984</v>
      </c>
      <c r="O24" s="17">
        <f>SUM(C24:N24)</f>
        <v>22992</v>
      </c>
    </row>
    <row r="25" spans="1:15" ht="4.5" customHeight="1" x14ac:dyDescent="0.3">
      <c r="A25" s="15"/>
      <c r="C25" s="27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24"/>
      <c r="O25" s="17"/>
    </row>
    <row r="26" spans="1:15" ht="4.5" customHeight="1" thickBot="1" x14ac:dyDescent="0.35">
      <c r="A26" s="12"/>
      <c r="B26" s="12"/>
      <c r="C26" s="11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3"/>
    </row>
    <row r="28" spans="1:15" x14ac:dyDescent="0.3">
      <c r="A28" t="s">
        <v>38</v>
      </c>
      <c r="B28" t="s">
        <v>23</v>
      </c>
      <c r="C28" s="38">
        <v>3300</v>
      </c>
      <c r="D28" s="38">
        <v>3300</v>
      </c>
      <c r="E28" s="38">
        <v>3300</v>
      </c>
      <c r="F28" s="38">
        <v>3300</v>
      </c>
      <c r="G28" s="38">
        <v>3300</v>
      </c>
      <c r="H28" s="38">
        <v>3300</v>
      </c>
      <c r="I28" s="38">
        <v>3300</v>
      </c>
      <c r="J28" s="38">
        <v>3300</v>
      </c>
      <c r="K28" s="38">
        <v>3300</v>
      </c>
      <c r="L28" s="38">
        <v>3300</v>
      </c>
      <c r="M28" s="38">
        <v>3300</v>
      </c>
      <c r="N28" s="38">
        <v>3300</v>
      </c>
    </row>
    <row r="29" spans="1:15" x14ac:dyDescent="0.3">
      <c r="A29" t="s">
        <v>39</v>
      </c>
      <c r="B29" t="s">
        <v>23</v>
      </c>
      <c r="C29" s="39">
        <f>C22-C28</f>
        <v>23151</v>
      </c>
      <c r="D29" s="39">
        <f t="shared" ref="D29:N29" si="2">D22-D28</f>
        <v>24869</v>
      </c>
      <c r="E29" s="39">
        <f t="shared" si="2"/>
        <v>23793</v>
      </c>
      <c r="F29" s="39">
        <f t="shared" si="2"/>
        <v>26656</v>
      </c>
      <c r="G29" s="39">
        <f t="shared" si="2"/>
        <v>26963</v>
      </c>
      <c r="H29" s="39">
        <f t="shared" si="2"/>
        <v>24028</v>
      </c>
      <c r="I29" s="39">
        <f t="shared" si="2"/>
        <v>27105</v>
      </c>
      <c r="J29" s="39">
        <f t="shared" si="2"/>
        <v>28009</v>
      </c>
      <c r="K29" s="39">
        <f t="shared" si="2"/>
        <v>24861</v>
      </c>
      <c r="L29" s="39">
        <f t="shared" si="2"/>
        <v>26852</v>
      </c>
      <c r="M29" s="39">
        <f t="shared" si="2"/>
        <v>25046</v>
      </c>
      <c r="N29" s="39">
        <f t="shared" si="2"/>
        <v>26111</v>
      </c>
    </row>
    <row r="31" spans="1:15" x14ac:dyDescent="0.3">
      <c r="A31" s="40" t="s">
        <v>37</v>
      </c>
      <c r="B31" s="40" t="s">
        <v>36</v>
      </c>
      <c r="C31" s="40">
        <v>744</v>
      </c>
      <c r="D31" s="40">
        <v>696</v>
      </c>
      <c r="E31" s="40">
        <v>744</v>
      </c>
      <c r="F31" s="40">
        <v>720</v>
      </c>
      <c r="G31" s="40">
        <v>744</v>
      </c>
      <c r="H31" s="40">
        <v>720</v>
      </c>
      <c r="I31" s="40">
        <v>744</v>
      </c>
      <c r="J31" s="40">
        <v>744</v>
      </c>
      <c r="K31" s="40">
        <v>720</v>
      </c>
      <c r="L31" s="40">
        <v>744</v>
      </c>
      <c r="M31" s="40">
        <v>720</v>
      </c>
      <c r="N31" s="40">
        <v>744</v>
      </c>
    </row>
    <row r="32" spans="1:15" x14ac:dyDescent="0.3">
      <c r="A32" s="18" t="s">
        <v>39</v>
      </c>
      <c r="B32" t="s">
        <v>35</v>
      </c>
      <c r="C32" s="35">
        <f>C29/C$31</f>
        <v>31.116935483870968</v>
      </c>
      <c r="D32" s="36">
        <f t="shared" ref="D32:N32" si="3">D29/D$31</f>
        <v>35.731321839080458</v>
      </c>
      <c r="E32" s="36">
        <f t="shared" si="3"/>
        <v>31.97983870967742</v>
      </c>
      <c r="F32" s="42">
        <f t="shared" si="3"/>
        <v>37.022222222222226</v>
      </c>
      <c r="G32" s="42">
        <f t="shared" si="3"/>
        <v>36.240591397849464</v>
      </c>
      <c r="H32" s="42">
        <f t="shared" si="3"/>
        <v>33.37222222222222</v>
      </c>
      <c r="I32" s="42">
        <f t="shared" si="3"/>
        <v>36.431451612903224</v>
      </c>
      <c r="J32" s="42">
        <f t="shared" si="3"/>
        <v>37.646505376344088</v>
      </c>
      <c r="K32" s="42">
        <f t="shared" si="3"/>
        <v>34.529166666666669</v>
      </c>
      <c r="L32" s="42">
        <f t="shared" si="3"/>
        <v>36.091397849462368</v>
      </c>
      <c r="M32" s="42">
        <f t="shared" si="3"/>
        <v>34.786111111111111</v>
      </c>
      <c r="N32" s="43">
        <f t="shared" si="3"/>
        <v>35.09543010752688</v>
      </c>
    </row>
    <row r="33" spans="1:14" x14ac:dyDescent="0.3">
      <c r="A33" s="18" t="s">
        <v>40</v>
      </c>
      <c r="B33" t="s">
        <v>35</v>
      </c>
      <c r="C33" s="35">
        <f>C28/C$31</f>
        <v>4.435483870967742</v>
      </c>
      <c r="D33" s="36">
        <f t="shared" ref="D33:N33" si="4">D28/D$31</f>
        <v>4.7413793103448274</v>
      </c>
      <c r="E33" s="36">
        <f t="shared" si="4"/>
        <v>4.435483870967742</v>
      </c>
      <c r="F33" s="42">
        <f t="shared" si="4"/>
        <v>4.583333333333333</v>
      </c>
      <c r="G33" s="42">
        <f t="shared" si="4"/>
        <v>4.435483870967742</v>
      </c>
      <c r="H33" s="42">
        <f t="shared" si="4"/>
        <v>4.583333333333333</v>
      </c>
      <c r="I33" s="42">
        <f t="shared" si="4"/>
        <v>4.435483870967742</v>
      </c>
      <c r="J33" s="42">
        <f t="shared" si="4"/>
        <v>4.435483870967742</v>
      </c>
      <c r="K33" s="42">
        <f t="shared" si="4"/>
        <v>4.583333333333333</v>
      </c>
      <c r="L33" s="42">
        <f t="shared" si="4"/>
        <v>4.435483870967742</v>
      </c>
      <c r="M33" s="42">
        <f t="shared" si="4"/>
        <v>4.583333333333333</v>
      </c>
      <c r="N33" s="43">
        <f t="shared" si="4"/>
        <v>4.435483870967742</v>
      </c>
    </row>
    <row r="34" spans="1:14" x14ac:dyDescent="0.3">
      <c r="A34" s="18" t="s">
        <v>24</v>
      </c>
      <c r="B34" t="s">
        <v>35</v>
      </c>
      <c r="C34" s="35">
        <f t="shared" ref="C34:N34" si="5">C23/C$31</f>
        <v>12.591397849462366</v>
      </c>
      <c r="D34" s="36">
        <f t="shared" ref="D34:N34" si="6">D23/D$31</f>
        <v>12.267241379310345</v>
      </c>
      <c r="E34" s="36">
        <f t="shared" si="6"/>
        <v>12.309139784946236</v>
      </c>
      <c r="F34" s="42">
        <f t="shared" si="6"/>
        <v>12.280555555555555</v>
      </c>
      <c r="G34" s="42">
        <f t="shared" si="6"/>
        <v>12.309139784946236</v>
      </c>
      <c r="H34" s="42">
        <f t="shared" si="6"/>
        <v>12.280555555555555</v>
      </c>
      <c r="I34" s="42">
        <f t="shared" si="6"/>
        <v>12.309139784946236</v>
      </c>
      <c r="J34" s="42">
        <f t="shared" si="6"/>
        <v>12.309139784946236</v>
      </c>
      <c r="K34" s="42">
        <f t="shared" si="6"/>
        <v>12.280555555555555</v>
      </c>
      <c r="L34" s="42">
        <f t="shared" si="6"/>
        <v>12.309139784946236</v>
      </c>
      <c r="M34" s="42">
        <f t="shared" si="6"/>
        <v>12.280555555555555</v>
      </c>
      <c r="N34" s="43">
        <f t="shared" si="6"/>
        <v>12.309139784946236</v>
      </c>
    </row>
    <row r="35" spans="1:14" x14ac:dyDescent="0.3">
      <c r="A35" s="18" t="s">
        <v>25</v>
      </c>
      <c r="B35" t="s">
        <v>35</v>
      </c>
      <c r="C35" s="35">
        <f t="shared" ref="C35:N35" si="7">C24/C$31</f>
        <v>2.6061827956989245</v>
      </c>
      <c r="D35" s="36">
        <f t="shared" ref="D35:N35" si="8">D24/D$31</f>
        <v>2.132183908045977</v>
      </c>
      <c r="E35" s="36">
        <f t="shared" si="8"/>
        <v>2.6666666666666665</v>
      </c>
      <c r="F35" s="42">
        <f t="shared" si="8"/>
        <v>2.661111111111111</v>
      </c>
      <c r="G35" s="42">
        <f t="shared" si="8"/>
        <v>2.6666666666666665</v>
      </c>
      <c r="H35" s="42">
        <f t="shared" si="8"/>
        <v>2.661111111111111</v>
      </c>
      <c r="I35" s="42">
        <f t="shared" si="8"/>
        <v>2.6666666666666665</v>
      </c>
      <c r="J35" s="42">
        <f t="shared" si="8"/>
        <v>2.668010752688172</v>
      </c>
      <c r="K35" s="42">
        <f t="shared" si="8"/>
        <v>2.661111111111111</v>
      </c>
      <c r="L35" s="42">
        <f t="shared" si="8"/>
        <v>2.6666666666666665</v>
      </c>
      <c r="M35" s="42">
        <f t="shared" si="8"/>
        <v>2.661111111111111</v>
      </c>
      <c r="N35" s="43">
        <f t="shared" si="8"/>
        <v>2.6666666666666665</v>
      </c>
    </row>
    <row r="37" spans="1:14" x14ac:dyDescent="0.3">
      <c r="A37" s="41" t="s">
        <v>41</v>
      </c>
      <c r="B37" t="s">
        <v>35</v>
      </c>
      <c r="C37" s="35">
        <f t="shared" ref="C37:N37" si="9">C22/C31</f>
        <v>35.552419354838712</v>
      </c>
      <c r="D37" s="36">
        <f>D22/D31</f>
        <v>40.472701149425291</v>
      </c>
      <c r="E37" s="36">
        <f t="shared" ref="E37:N37" si="10">E22/E31</f>
        <v>36.41532258064516</v>
      </c>
      <c r="F37" s="36">
        <f t="shared" si="10"/>
        <v>41.605555555555554</v>
      </c>
      <c r="G37" s="36">
        <f t="shared" si="10"/>
        <v>40.676075268817208</v>
      </c>
      <c r="H37" s="36">
        <f t="shared" si="10"/>
        <v>37.955555555555556</v>
      </c>
      <c r="I37" s="36">
        <f t="shared" si="10"/>
        <v>40.866935483870968</v>
      </c>
      <c r="J37" s="36">
        <f t="shared" si="10"/>
        <v>42.081989247311824</v>
      </c>
      <c r="K37" s="36">
        <f t="shared" si="10"/>
        <v>39.112499999999997</v>
      </c>
      <c r="L37" s="36">
        <f t="shared" si="10"/>
        <v>40.526881720430104</v>
      </c>
      <c r="M37" s="36">
        <f t="shared" si="10"/>
        <v>39.369444444444447</v>
      </c>
      <c r="N37" s="37">
        <f t="shared" si="10"/>
        <v>39.530913978494624</v>
      </c>
    </row>
    <row r="38" spans="1:14" x14ac:dyDescent="0.3">
      <c r="A38" s="41" t="s">
        <v>42</v>
      </c>
      <c r="C38" t="b">
        <f>C37=SUM(C32:C33)</f>
        <v>1</v>
      </c>
      <c r="D38" t="b">
        <f t="shared" ref="D38:N38" si="11">D37=SUM(D32:D33)</f>
        <v>1</v>
      </c>
      <c r="E38" t="b">
        <f t="shared" si="11"/>
        <v>1</v>
      </c>
      <c r="F38" t="b">
        <f t="shared" si="11"/>
        <v>1</v>
      </c>
      <c r="G38" t="b">
        <f t="shared" si="11"/>
        <v>1</v>
      </c>
      <c r="H38" t="b">
        <f t="shared" si="11"/>
        <v>1</v>
      </c>
      <c r="I38" t="b">
        <f t="shared" si="11"/>
        <v>1</v>
      </c>
      <c r="J38" t="b">
        <f t="shared" si="11"/>
        <v>1</v>
      </c>
      <c r="K38" t="b">
        <f t="shared" si="11"/>
        <v>1</v>
      </c>
      <c r="L38" t="b">
        <f t="shared" si="11"/>
        <v>1</v>
      </c>
      <c r="M38" t="b">
        <f t="shared" si="11"/>
        <v>1</v>
      </c>
      <c r="N38" t="b">
        <f t="shared" si="11"/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Metro Avançado</vt:lpstr>
      <vt:lpstr>Produção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Afonso Guimarães Carmanini</dc:creator>
  <cp:lastModifiedBy>Rubem Fernando Argolo Lima</cp:lastModifiedBy>
  <dcterms:created xsi:type="dcterms:W3CDTF">2023-08-08T11:46:54Z</dcterms:created>
  <dcterms:modified xsi:type="dcterms:W3CDTF">2024-04-02T13:01:00Z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MultiFormExcelAuto">
    <vt:lpwstr>0</vt:lpwstr>
  </property>
  <property fmtid="{D5CDD505-2E9C-101B-9397-08002B2CF9AE}" pid="3" name="AutoOpenUrl">
    <vt:lpwstr>0</vt:lpwstr>
  </property>
  <property fmtid="{D5CDD505-2E9C-101B-9397-08002B2CF9AE}" pid="4" name="AutoLoginExecuted">
    <vt:lpwstr>0</vt:lpwstr>
  </property>
  <property fmtid="{D5CDD505-2E9C-101B-9397-08002B2CF9AE}" pid="5" name="ExcelMultiForm">
    <vt:lpwstr>0</vt:lpwstr>
  </property>
  <property fmtid="{D5CDD505-2E9C-101B-9397-08002B2CF9AE}" pid="6" name="Application">
    <vt:lpwstr>0</vt:lpwstr>
  </property>
  <property fmtid="{D5CDD505-2E9C-101B-9397-08002B2CF9AE}" pid="7" name="MultiformPassword">
    <vt:lpwstr>0</vt:lpwstr>
  </property>
</Properties>
</file>