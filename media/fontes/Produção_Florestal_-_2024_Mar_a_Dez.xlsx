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G:\Diretoria Presidente\Gerencia de Controladoria\Coordenação de Orcamento\3 - Execução Orçamentária\2024\Modelagem - SPS\1.Abr-Dez.24\BD\"/>
    </mc:Choice>
  </mc:AlternateContent>
  <xr:revisionPtr revIDLastSave="0" documentId="13_ncr:1_{D7482C08-7712-4D23-89AB-5D00FA5042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lorest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  <c r="H27" i="1"/>
  <c r="I27" i="1"/>
  <c r="J27" i="1"/>
  <c r="K27" i="1"/>
  <c r="L27" i="1"/>
  <c r="M27" i="1"/>
  <c r="N27" i="1"/>
  <c r="F27" i="1"/>
  <c r="G24" i="1" l="1"/>
  <c r="O24" i="1" l="1"/>
  <c r="K20" i="1" l="1"/>
  <c r="J20" i="1"/>
  <c r="I20" i="1"/>
  <c r="H20" i="1"/>
  <c r="G20" i="1"/>
  <c r="F20" i="1"/>
  <c r="O20" i="1" l="1"/>
  <c r="O22" i="1"/>
  <c r="O21" i="1"/>
  <c r="O11" i="1"/>
  <c r="O7" i="1"/>
  <c r="O9" i="1" l="1"/>
  <c r="O8" i="1"/>
</calcChain>
</file>

<file path=xl/sharedStrings.xml><?xml version="1.0" encoding="utf-8"?>
<sst xmlns="http://schemas.openxmlformats.org/spreadsheetml/2006/main" count="52" uniqueCount="27">
  <si>
    <t>Unid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</si>
  <si>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</si>
  <si>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</si>
  <si>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</si>
  <si>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</si>
  <si>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</si>
  <si>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</si>
  <si>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</si>
  <si>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</si>
  <si>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</si>
  <si>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</si>
  <si>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</si>
  <si>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</si>
  <si>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</si>
  <si>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RECURSOS FLORESTAIS</t>
  </si>
  <si>
    <t>Madeira Campo</t>
  </si>
  <si>
    <t>m³ Mil</t>
  </si>
  <si>
    <t>Madeira Transportada</t>
  </si>
  <si>
    <t>Bioredutor (Próprio)</t>
  </si>
  <si>
    <t>t Mil</t>
  </si>
  <si>
    <t>Bioredutor Terceiros (compra)</t>
  </si>
  <si>
    <t>Produção Recursos Florestais - ORÇAMENTO 2024</t>
  </si>
  <si>
    <t xml:space="preserve">Produção Recursos Florestais - FORECAST 2024 </t>
  </si>
  <si>
    <t>Horas Totais</t>
  </si>
  <si>
    <t>h</t>
  </si>
  <si>
    <t>Produtividade</t>
  </si>
  <si>
    <t>t/h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</si>
</sst>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b/>
      <sz val="10"/>
      <color theme="0"/>
      <name val="Calibri"/>
      <family val="2"/>
      <scheme val="minor"/>
    </font>
    <font>
      <sz val="10"/>
      <name val="Arial"/>
      <family val="2"/>
    </font>
    <font>
      <b/>
      <u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1" tint="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0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/>
      <top/>
      <bottom style="thin">
        <color rgb="FFA5002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>
      <alignment vertical="top"/>
      <protection locked="0"/>
    </xf>
    <xf numFmtId="0" fontId="5" fillId="0" borderId="0"/>
  </cellStyleXfs>
  <cellXfs count="48">
    <xf numFmtId="0" fontId="0" fillId="0" borderId="0" xfId="0"/>
    <xf numFmtId="0" fontId="2" fillId="2" borderId="1" xfId="2" applyFont="1" applyFill="1" applyBorder="1" applyAlignment="1" applyProtection="1">
      <alignment vertical="center" wrapText="1"/>
    </xf>
    <xf numFmtId="0" fontId="2" fillId="2" borderId="4" xfId="2" applyFont="1" applyFill="1" applyBorder="1" applyAlignment="1" applyProtection="1">
      <alignment vertical="center"/>
    </xf>
    <xf numFmtId="0" fontId="2" fillId="2" borderId="5" xfId="2" applyFont="1" applyFill="1" applyBorder="1" applyAlignment="1" applyProtection="1">
      <alignment vertical="center"/>
    </xf>
    <xf numFmtId="0" fontId="0" fillId="0" borderId="6" xfId="0" applyBorder="1"/>
    <xf numFmtId="0" fontId="0" fillId="0" borderId="7" xfId="0" applyBorder="1"/>
    <xf numFmtId="0" fontId="6" fillId="3" borderId="6" xfId="3" applyFont="1" applyFill="1" applyBorder="1" applyAlignment="1">
      <alignment horizontal="left" vertical="center"/>
    </xf>
    <xf numFmtId="0" fontId="7" fillId="3" borderId="0" xfId="0" applyFont="1" applyFill="1"/>
    <xf numFmtId="0" fontId="7" fillId="3" borderId="6" xfId="0" applyFont="1" applyFill="1" applyBorder="1" applyAlignment="1">
      <alignment horizontal="left"/>
    </xf>
    <xf numFmtId="164" fontId="0" fillId="0" borderId="0" xfId="1" applyNumberFormat="1" applyFont="1" applyBorder="1"/>
    <xf numFmtId="164" fontId="0" fillId="0" borderId="7" xfId="1" applyNumberFormat="1" applyFont="1" applyBorder="1"/>
    <xf numFmtId="0" fontId="7" fillId="0" borderId="6" xfId="0" applyFont="1" applyBorder="1" applyAlignment="1">
      <alignment horizontal="left"/>
    </xf>
    <xf numFmtId="0" fontId="7" fillId="0" borderId="0" xfId="0" applyFont="1"/>
    <xf numFmtId="0" fontId="2" fillId="2" borderId="1" xfId="2" applyFont="1" applyFill="1" applyBorder="1" applyAlignment="1" applyProtection="1">
      <alignment horizontal="center" vertical="center" wrapText="1"/>
    </xf>
    <xf numFmtId="0" fontId="2" fillId="2" borderId="2" xfId="2" applyFont="1" applyFill="1" applyBorder="1" applyAlignment="1" applyProtection="1">
      <alignment horizontal="center" vertical="center" wrapText="1"/>
    </xf>
    <xf numFmtId="43" fontId="0" fillId="0" borderId="0" xfId="0" applyNumberFormat="1"/>
    <xf numFmtId="0" fontId="7" fillId="3" borderId="4" xfId="0" applyFont="1" applyFill="1" applyBorder="1" applyAlignment="1">
      <alignment horizontal="left"/>
    </xf>
    <xf numFmtId="0" fontId="7" fillId="3" borderId="8" xfId="0" applyFont="1" applyFill="1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0" fontId="0" fillId="0" borderId="1" xfId="0" applyBorder="1"/>
    <xf numFmtId="164" fontId="0" fillId="0" borderId="6" xfId="1" applyNumberFormat="1" applyFont="1" applyBorder="1"/>
    <xf numFmtId="164" fontId="0" fillId="0" borderId="4" xfId="1" applyNumberFormat="1" applyFont="1" applyBorder="1"/>
    <xf numFmtId="0" fontId="2" fillId="2" borderId="1" xfId="2" quotePrefix="1" applyFont="1" applyFill="1" applyBorder="1" applyAlignment="1" applyProtection="1">
      <alignment horizontal="center" vertical="center" wrapText="1"/>
    </xf>
    <xf numFmtId="164" fontId="8" fillId="0" borderId="6" xfId="1" applyNumberFormat="1" applyFont="1" applyBorder="1"/>
    <xf numFmtId="164" fontId="8" fillId="0" borderId="0" xfId="1" applyNumberFormat="1" applyFont="1" applyBorder="1"/>
    <xf numFmtId="164" fontId="8" fillId="0" borderId="4" xfId="1" applyNumberFormat="1" applyFont="1" applyBorder="1"/>
    <xf numFmtId="164" fontId="8" fillId="0" borderId="8" xfId="1" applyNumberFormat="1" applyFont="1" applyBorder="1"/>
    <xf numFmtId="164" fontId="10" fillId="0" borderId="0" xfId="1" applyNumberFormat="1" applyFont="1" applyBorder="1"/>
    <xf numFmtId="164" fontId="10" fillId="0" borderId="7" xfId="1" applyNumberFormat="1" applyFont="1" applyBorder="1"/>
    <xf numFmtId="164" fontId="9" fillId="0" borderId="0" xfId="1" applyNumberFormat="1" applyFont="1"/>
    <xf numFmtId="164" fontId="10" fillId="4" borderId="0" xfId="1" applyNumberFormat="1" applyFont="1" applyFill="1" applyBorder="1"/>
    <xf numFmtId="164" fontId="10" fillId="4" borderId="7" xfId="1" applyNumberFormat="1" applyFont="1" applyFill="1" applyBorder="1"/>
    <xf numFmtId="164" fontId="10" fillId="4" borderId="8" xfId="1" applyNumberFormat="1" applyFont="1" applyFill="1" applyBorder="1"/>
    <xf numFmtId="164" fontId="10" fillId="4" borderId="9" xfId="1" applyNumberFormat="1" applyFont="1" applyFill="1" applyBorder="1"/>
    <xf numFmtId="0" fontId="4" fillId="2" borderId="1" xfId="2" applyFont="1" applyFill="1" applyBorder="1" applyAlignment="1" applyProtection="1">
      <alignment horizontal="left" vertical="center" wrapText="1"/>
    </xf>
    <xf numFmtId="0" fontId="4" fillId="2" borderId="3" xfId="2" applyFont="1" applyFill="1" applyBorder="1" applyAlignment="1" applyProtection="1">
      <alignment horizontal="left" vertical="center" wrapText="1"/>
    </xf>
    <xf numFmtId="0" fontId="2" fillId="2" borderId="2" xfId="2" applyFont="1" applyFill="1" applyBorder="1" applyAlignment="1" applyProtection="1">
      <alignment horizontal="center" vertical="center"/>
    </xf>
    <xf numFmtId="0" fontId="2" fillId="2" borderId="5" xfId="2" applyFont="1" applyFill="1" applyBorder="1" applyAlignment="1" applyProtection="1">
      <alignment horizontal="center" vertical="center"/>
    </xf>
    <xf numFmtId="0" fontId="7" fillId="3" borderId="10" xfId="0" applyFont="1" applyFill="1" applyBorder="1" applyAlignment="1">
      <alignment horizontal="left"/>
    </xf>
    <xf numFmtId="0" fontId="7" fillId="3" borderId="11" xfId="0" applyFont="1" applyFill="1" applyBorder="1"/>
    <xf numFmtId="0" fontId="7" fillId="3" borderId="12" xfId="0" applyFont="1" applyFill="1" applyBorder="1" applyAlignment="1">
      <alignment horizontal="left"/>
    </xf>
    <xf numFmtId="0" fontId="7" fillId="3" borderId="13" xfId="0" applyFont="1" applyFill="1" applyBorder="1"/>
    <xf numFmtId="164" fontId="8" fillId="5" borderId="14" xfId="1" applyNumberFormat="1" applyFont="1" applyFill="1" applyBorder="1"/>
    <xf numFmtId="164" fontId="10" fillId="5" borderId="14" xfId="1" applyNumberFormat="1" applyFont="1" applyFill="1" applyBorder="1"/>
    <xf numFmtId="164" fontId="8" fillId="5" borderId="15" xfId="1" applyNumberFormat="1" applyFont="1" applyFill="1" applyBorder="1"/>
    <xf numFmtId="164" fontId="10" fillId="5" borderId="15" xfId="1" applyNumberFormat="1" applyFont="1" applyFill="1" applyBorder="1"/>
    <xf numFmtId="43" fontId="10" fillId="5" borderId="15" xfId="1" applyNumberFormat="1" applyFont="1" applyFill="1" applyBorder="1"/>
  </cellXfs>
  <cellStyles count="4">
    <cellStyle name="Hiperlink" xfId="2" builtinId="8"/>
    <cellStyle name="Normal" xfId="0" builtinId="0"/>
    <cellStyle name="Normal 2 2 6 5" xfId="3" xr:uid="{00000000-0005-0000-0000-000002000000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30"/>
  <sheetViews>
    <sheetView showGridLines="0" tabSelected="1" topLeftCell="A3" zoomScale="110" zoomScaleNormal="110" workbookViewId="0">
      <selection activeCell="F27" sqref="F27:N27"/>
    </sheetView>
  </sheetViews>
  <sheetFormatPr defaultRowHeight="14.4" x14ac:dyDescent="0.3"/>
  <cols>
    <col min="1" max="1" width="32.109375" bestFit="1" customWidth="1"/>
    <col min="2" max="2" width="6.109375" bestFit="1" customWidth="1"/>
    <col min="3" max="15" width="10.5546875" customWidth="1"/>
    <col min="17" max="32" width="9.109375" customWidth="1"/>
  </cols>
  <sheetData>
    <row r="2" spans="1:15" ht="15" thickBot="1" x14ac:dyDescent="0.35"/>
    <row r="3" spans="1:15" x14ac:dyDescent="0.3">
      <c r="A3" s="35" t="s">
        <v>21</v>
      </c>
      <c r="B3" s="37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3" t="s">
        <v>9</v>
      </c>
      <c r="L3" s="13" t="s">
        <v>10</v>
      </c>
      <c r="M3" s="13" t="s">
        <v>11</v>
      </c>
      <c r="N3" s="23" t="s">
        <v>12</v>
      </c>
      <c r="O3" s="14" t="s">
        <v>13</v>
      </c>
    </row>
    <row r="4" spans="1:15" ht="15" thickBot="1" x14ac:dyDescent="0.35">
      <c r="A4" s="36"/>
      <c r="B4" s="38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</row>
    <row r="5" spans="1:15" ht="4.5" customHeight="1" x14ac:dyDescent="0.3">
      <c r="A5" s="4"/>
      <c r="C5" s="20"/>
      <c r="O5" s="5"/>
    </row>
    <row r="6" spans="1:15" x14ac:dyDescent="0.3">
      <c r="A6" s="6" t="s">
        <v>14</v>
      </c>
      <c r="B6" s="7"/>
      <c r="C6" s="4"/>
      <c r="O6" s="5"/>
    </row>
    <row r="7" spans="1:15" x14ac:dyDescent="0.3">
      <c r="A7" s="8" t="s">
        <v>15</v>
      </c>
      <c r="B7" s="7" t="s">
        <v>16</v>
      </c>
      <c r="C7" s="21">
        <v>75785.136548000009</v>
      </c>
      <c r="D7" s="9">
        <v>55113.589581000007</v>
      </c>
      <c r="E7" s="9">
        <v>70673.143782999992</v>
      </c>
      <c r="F7" s="9">
        <v>65589.466075000004</v>
      </c>
      <c r="G7" s="9">
        <v>62667.942770000001</v>
      </c>
      <c r="H7" s="9">
        <v>61525.092957000001</v>
      </c>
      <c r="I7" s="9">
        <v>68902.14493699999</v>
      </c>
      <c r="J7" s="9">
        <v>70441.89149899999</v>
      </c>
      <c r="K7" s="9">
        <v>66550.692590999999</v>
      </c>
      <c r="L7" s="9">
        <v>61740.087405999999</v>
      </c>
      <c r="M7" s="9">
        <v>69740.214704999991</v>
      </c>
      <c r="N7" s="9">
        <v>72017.374437000006</v>
      </c>
      <c r="O7" s="10">
        <f>SUM(C7:N7)</f>
        <v>800746.77728899999</v>
      </c>
    </row>
    <row r="8" spans="1:15" x14ac:dyDescent="0.3">
      <c r="A8" s="8" t="s">
        <v>17</v>
      </c>
      <c r="B8" s="7" t="s">
        <v>16</v>
      </c>
      <c r="C8" s="21">
        <v>64443.432220499453</v>
      </c>
      <c r="D8" s="9">
        <v>60270.086244196675</v>
      </c>
      <c r="E8" s="9">
        <v>64432.704112849613</v>
      </c>
      <c r="F8" s="9">
        <v>62505.07764185789</v>
      </c>
      <c r="G8" s="9">
        <v>64420.026441092079</v>
      </c>
      <c r="H8" s="9">
        <v>62329.270567354106</v>
      </c>
      <c r="I8" s="9">
        <v>64434.282767531142</v>
      </c>
      <c r="J8" s="9">
        <v>64407.015997188384</v>
      </c>
      <c r="K8" s="9">
        <v>62329.517527828328</v>
      </c>
      <c r="L8" s="9">
        <v>64407.502795671535</v>
      </c>
      <c r="M8" s="9">
        <v>62329.545739645575</v>
      </c>
      <c r="N8" s="9">
        <v>64519.316859283776</v>
      </c>
      <c r="O8" s="10">
        <f>SUM(C8:N8)</f>
        <v>760827.77891499875</v>
      </c>
    </row>
    <row r="9" spans="1:15" x14ac:dyDescent="0.3">
      <c r="A9" s="8" t="s">
        <v>18</v>
      </c>
      <c r="B9" s="7" t="s">
        <v>19</v>
      </c>
      <c r="C9" s="21">
        <v>10929.879711</v>
      </c>
      <c r="D9" s="9">
        <v>10224.726181</v>
      </c>
      <c r="E9" s="9">
        <v>10929.879711</v>
      </c>
      <c r="F9" s="9">
        <v>10577.302944999999</v>
      </c>
      <c r="G9" s="9">
        <v>10929.879711</v>
      </c>
      <c r="H9" s="9">
        <v>10577.302944999999</v>
      </c>
      <c r="I9" s="9">
        <v>10929.879711</v>
      </c>
      <c r="J9" s="9">
        <v>10929.879711</v>
      </c>
      <c r="K9" s="9">
        <v>10577.302944999999</v>
      </c>
      <c r="L9" s="9">
        <v>10929.879711</v>
      </c>
      <c r="M9" s="9">
        <v>10577.302944999999</v>
      </c>
      <c r="N9" s="9">
        <v>10929.879711</v>
      </c>
      <c r="O9" s="10">
        <f>SUM(C9:N9)</f>
        <v>129043.09593800001</v>
      </c>
    </row>
    <row r="10" spans="1:15" ht="4.5" customHeight="1" x14ac:dyDescent="0.3">
      <c r="A10" s="11"/>
      <c r="B10" s="12"/>
      <c r="C10" s="21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</row>
    <row r="11" spans="1:15" ht="15" thickBot="1" x14ac:dyDescent="0.35">
      <c r="A11" s="16" t="s">
        <v>20</v>
      </c>
      <c r="B11" s="17" t="s">
        <v>19</v>
      </c>
      <c r="C11" s="22">
        <v>5500</v>
      </c>
      <c r="D11" s="18">
        <v>5000</v>
      </c>
      <c r="E11" s="18">
        <v>4500</v>
      </c>
      <c r="F11" s="18">
        <v>4500</v>
      </c>
      <c r="G11" s="18">
        <v>4500</v>
      </c>
      <c r="H11" s="18">
        <v>4500</v>
      </c>
      <c r="I11" s="18">
        <v>4500</v>
      </c>
      <c r="J11" s="18">
        <v>5000</v>
      </c>
      <c r="K11" s="18">
        <v>5000</v>
      </c>
      <c r="L11" s="18">
        <v>5000</v>
      </c>
      <c r="M11" s="18">
        <v>5000</v>
      </c>
      <c r="N11" s="18">
        <v>5000</v>
      </c>
      <c r="O11" s="19">
        <f>SUM(C11:N11)</f>
        <v>58000</v>
      </c>
    </row>
    <row r="12" spans="1:15" x14ac:dyDescent="0.3">
      <c r="K12" s="15"/>
      <c r="L12" s="15"/>
      <c r="M12" s="15"/>
      <c r="N12" s="15"/>
      <c r="O12" s="15"/>
    </row>
    <row r="13" spans="1:15" x14ac:dyDescent="0.3">
      <c r="K13" s="15"/>
      <c r="L13" s="15"/>
      <c r="M13" s="15"/>
      <c r="N13" s="15"/>
      <c r="O13" s="15"/>
    </row>
    <row r="15" spans="1:15" ht="15" thickBot="1" x14ac:dyDescent="0.35"/>
    <row r="16" spans="1:15" x14ac:dyDescent="0.3">
      <c r="A16" s="35" t="s">
        <v>22</v>
      </c>
      <c r="B16" s="37" t="s">
        <v>0</v>
      </c>
      <c r="C16" s="13" t="s">
        <v>1</v>
      </c>
      <c r="D16" s="13" t="s">
        <v>2</v>
      </c>
      <c r="E16" s="13" t="s">
        <v>3</v>
      </c>
      <c r="F16" s="13" t="s">
        <v>4</v>
      </c>
      <c r="G16" s="13" t="s">
        <v>5</v>
      </c>
      <c r="H16" s="13" t="s">
        <v>6</v>
      </c>
      <c r="I16" s="13" t="s">
        <v>7</v>
      </c>
      <c r="J16" s="13" t="s">
        <v>8</v>
      </c>
      <c r="K16" s="13" t="s">
        <v>9</v>
      </c>
      <c r="L16" s="13" t="s">
        <v>10</v>
      </c>
      <c r="M16" s="13" t="s">
        <v>11</v>
      </c>
      <c r="N16" s="13" t="s">
        <v>12</v>
      </c>
      <c r="O16" s="14" t="s">
        <v>13</v>
      </c>
    </row>
    <row r="17" spans="1:15" ht="15" thickBot="1" x14ac:dyDescent="0.35">
      <c r="A17" s="36"/>
      <c r="B17" s="3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3"/>
    </row>
    <row r="18" spans="1:15" x14ac:dyDescent="0.3">
      <c r="A18" s="4"/>
      <c r="C18" s="20"/>
      <c r="O18" s="5"/>
    </row>
    <row r="19" spans="1:15" x14ac:dyDescent="0.3">
      <c r="A19" s="6" t="s">
        <v>14</v>
      </c>
      <c r="B19" s="7"/>
      <c r="C19" s="4"/>
      <c r="O19" s="5"/>
    </row>
    <row r="20" spans="1:15" x14ac:dyDescent="0.3">
      <c r="A20" s="8" t="s">
        <v>15</v>
      </c>
      <c r="B20" s="7" t="s">
        <v>16</v>
      </c>
      <c r="C20" s="24">
        <v>53179</v>
      </c>
      <c r="D20" s="25">
        <v>106853.7046</v>
      </c>
      <c r="E20" s="31">
        <v>73000</v>
      </c>
      <c r="F20" s="31">
        <f>F7-4066</f>
        <v>61523.466075000004</v>
      </c>
      <c r="G20" s="31">
        <f>G7-4060</f>
        <v>58607.942770000001</v>
      </c>
      <c r="H20" s="31">
        <f>H7-4060</f>
        <v>57465.092957000001</v>
      </c>
      <c r="I20" s="31">
        <f t="shared" ref="I20:K20" si="0">I7-4060</f>
        <v>64842.14493699999</v>
      </c>
      <c r="J20" s="31">
        <f t="shared" si="0"/>
        <v>66381.89149899999</v>
      </c>
      <c r="K20" s="31">
        <f t="shared" si="0"/>
        <v>62490.692590999999</v>
      </c>
      <c r="L20" s="31">
        <v>61740.087405999999</v>
      </c>
      <c r="M20" s="31">
        <v>67414.214705000006</v>
      </c>
      <c r="N20" s="31">
        <v>70546</v>
      </c>
      <c r="O20" s="32">
        <f>SUM(C20:N20)</f>
        <v>804044.23754000012</v>
      </c>
    </row>
    <row r="21" spans="1:15" x14ac:dyDescent="0.3">
      <c r="A21" s="8" t="s">
        <v>17</v>
      </c>
      <c r="B21" s="7" t="s">
        <v>16</v>
      </c>
      <c r="C21" s="24">
        <v>68723</v>
      </c>
      <c r="D21" s="25">
        <v>58740.961499999998</v>
      </c>
      <c r="E21" s="28">
        <v>64432.704112849613</v>
      </c>
      <c r="F21" s="28">
        <v>62505.07764185789</v>
      </c>
      <c r="G21" s="28">
        <v>64420.026441092079</v>
      </c>
      <c r="H21" s="28">
        <v>62329.270567354106</v>
      </c>
      <c r="I21" s="28">
        <v>64434.282767531142</v>
      </c>
      <c r="J21" s="28">
        <v>64407.015997188384</v>
      </c>
      <c r="K21" s="28">
        <v>62329.517527828328</v>
      </c>
      <c r="L21" s="28">
        <v>64407.502795671535</v>
      </c>
      <c r="M21" s="28">
        <v>62329.545739645575</v>
      </c>
      <c r="N21" s="28">
        <v>64519.316859283776</v>
      </c>
      <c r="O21" s="29">
        <f>SUM(C21:N21)</f>
        <v>763578.2219503026</v>
      </c>
    </row>
    <row r="22" spans="1:15" x14ac:dyDescent="0.3">
      <c r="A22" s="8" t="s">
        <v>18</v>
      </c>
      <c r="B22" s="7" t="s">
        <v>19</v>
      </c>
      <c r="C22" s="24">
        <v>11041.429999999998</v>
      </c>
      <c r="D22" s="25">
        <v>10236.719999999998</v>
      </c>
      <c r="E22" s="31">
        <v>10929.879711</v>
      </c>
      <c r="F22" s="31">
        <v>10577.302944999999</v>
      </c>
      <c r="G22" s="31">
        <v>10929.879711</v>
      </c>
      <c r="H22" s="31">
        <v>10577.302944999999</v>
      </c>
      <c r="I22" s="31">
        <v>10929.879711</v>
      </c>
      <c r="J22" s="31">
        <v>10929.879711</v>
      </c>
      <c r="K22" s="31">
        <v>10577.302944999999</v>
      </c>
      <c r="L22" s="31">
        <v>10929.879711</v>
      </c>
      <c r="M22" s="31">
        <v>10577.302944999999</v>
      </c>
      <c r="N22" s="31">
        <v>10929.879711</v>
      </c>
      <c r="O22" s="32">
        <f>SUM(C22:N22)</f>
        <v>129166.64004600001</v>
      </c>
    </row>
    <row r="23" spans="1:15" x14ac:dyDescent="0.3">
      <c r="A23" s="11"/>
      <c r="B23" s="12"/>
      <c r="C23" s="24"/>
      <c r="D23" s="25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9"/>
    </row>
    <row r="24" spans="1:15" ht="15" thickBot="1" x14ac:dyDescent="0.35">
      <c r="A24" s="16" t="s">
        <v>20</v>
      </c>
      <c r="B24" s="17" t="s">
        <v>19</v>
      </c>
      <c r="C24" s="26">
        <v>4055.47</v>
      </c>
      <c r="D24" s="27">
        <v>4782.2700000000004</v>
      </c>
      <c r="E24" s="33">
        <v>4330</v>
      </c>
      <c r="F24" s="33">
        <v>4500</v>
      </c>
      <c r="G24" s="33">
        <f>4500+832</f>
        <v>5332</v>
      </c>
      <c r="H24" s="33">
        <v>5000</v>
      </c>
      <c r="I24" s="33">
        <v>5000</v>
      </c>
      <c r="J24" s="33">
        <v>5000</v>
      </c>
      <c r="K24" s="33">
        <v>5000</v>
      </c>
      <c r="L24" s="33">
        <v>5000</v>
      </c>
      <c r="M24" s="33">
        <v>5000</v>
      </c>
      <c r="N24" s="33">
        <v>5000</v>
      </c>
      <c r="O24" s="34">
        <f>SUM(C24:N24)</f>
        <v>57999.74</v>
      </c>
    </row>
    <row r="26" spans="1:15" ht="15" thickBot="1" x14ac:dyDescent="0.35">
      <c r="A26" s="39" t="s">
        <v>23</v>
      </c>
      <c r="B26" s="40" t="s">
        <v>24</v>
      </c>
      <c r="C26" s="43">
        <v>744</v>
      </c>
      <c r="D26" s="43">
        <v>696</v>
      </c>
      <c r="E26" s="44">
        <v>744</v>
      </c>
      <c r="F26" s="44">
        <v>720</v>
      </c>
      <c r="G26" s="44">
        <v>744</v>
      </c>
      <c r="H26" s="44">
        <v>720</v>
      </c>
      <c r="I26" s="44">
        <v>744</v>
      </c>
      <c r="J26" s="44">
        <v>744</v>
      </c>
      <c r="K26" s="44">
        <v>720</v>
      </c>
      <c r="L26" s="44">
        <v>744</v>
      </c>
      <c r="M26" s="44">
        <v>720</v>
      </c>
      <c r="N26" s="44">
        <v>744</v>
      </c>
    </row>
    <row r="27" spans="1:15" x14ac:dyDescent="0.3">
      <c r="A27" s="41" t="s">
        <v>25</v>
      </c>
      <c r="B27" s="42" t="s">
        <v>26</v>
      </c>
      <c r="C27" s="45"/>
      <c r="D27" s="45"/>
      <c r="E27" s="46"/>
      <c r="F27" s="47">
        <f>F22/F26</f>
        <v>14.690698534722221</v>
      </c>
      <c r="G27" s="47">
        <f t="shared" ref="G27:O27" si="1">G22/G26</f>
        <v>14.690698536290322</v>
      </c>
      <c r="H27" s="47">
        <f t="shared" si="1"/>
        <v>14.690698534722221</v>
      </c>
      <c r="I27" s="47">
        <f t="shared" si="1"/>
        <v>14.690698536290322</v>
      </c>
      <c r="J27" s="47">
        <f t="shared" si="1"/>
        <v>14.690698536290322</v>
      </c>
      <c r="K27" s="47">
        <f t="shared" si="1"/>
        <v>14.690698534722221</v>
      </c>
      <c r="L27" s="47">
        <f t="shared" si="1"/>
        <v>14.690698536290322</v>
      </c>
      <c r="M27" s="47">
        <f t="shared" si="1"/>
        <v>14.690698534722221</v>
      </c>
      <c r="N27" s="47">
        <f t="shared" si="1"/>
        <v>14.690698536290322</v>
      </c>
    </row>
    <row r="28" spans="1:15" x14ac:dyDescent="0.3">
      <c r="D28" s="30"/>
    </row>
    <row r="29" spans="1:15" x14ac:dyDescent="0.3">
      <c r="D29" s="30"/>
    </row>
    <row r="30" spans="1:15" x14ac:dyDescent="0.3">
      <c r="D30" s="30"/>
    </row>
  </sheetData>
  <mergeCells count="4">
    <mergeCell ref="A3:A4"/>
    <mergeCell ref="B3:B4"/>
    <mergeCell ref="A16:A17"/>
    <mergeCell ref="B16:B1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Florestal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Afonso Guimarães Carmanini</dc:creator>
  <cp:lastModifiedBy>Rubem Fernando Argolo Lima</cp:lastModifiedBy>
  <dcterms:created xsi:type="dcterms:W3CDTF">2023-08-08T12:28:45Z</dcterms:created>
  <dcterms:modified xsi:type="dcterms:W3CDTF">2024-04-02T11:48:24Z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