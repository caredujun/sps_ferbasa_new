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iretoria Presidente\Gerencia de Controladoria\Coordenação de Orcamento\3 - Execução Orçamentária\2024\Modelagem - SPS\1.Abr-Dez.24\BD\"/>
    </mc:Choice>
  </mc:AlternateContent>
  <xr:revisionPtr revIDLastSave="0" documentId="13_ncr:1_{05A886FC-5B90-4A8B-8C58-C127E6274A3C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rodução Pedrinhas_Jan" sheetId="2" r:id="rId1"/>
    <sheet name="Produção Pedrihas_Fev" sheetId="1" r:id="rId2"/>
  </sheets>
  <definedNames>
    <definedName name="_xlnm.Print_Area" localSheetId="1">'Produção Pedrihas_Fev'!$B$2:$P$23</definedName>
    <definedName name="_xlnm.Print_Area" localSheetId="0">'Produção Pedrinhas_Jan'!$A$1:$P$24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F27" i="1"/>
  <c r="G27" i="1"/>
  <c r="H27" i="1"/>
  <c r="I27" i="1"/>
  <c r="J27" i="1"/>
  <c r="K27" i="1"/>
  <c r="L27" i="1"/>
  <c r="M27" i="1"/>
  <c r="N27" i="1"/>
  <c r="O27" i="1"/>
  <c r="E28" i="1"/>
  <c r="F28" i="1"/>
  <c r="G28" i="1"/>
  <c r="H28" i="1"/>
  <c r="I28" i="1"/>
  <c r="J28" i="1"/>
  <c r="K28" i="1"/>
  <c r="L28" i="1"/>
  <c r="M28" i="1"/>
  <c r="N28" i="1"/>
  <c r="O28" i="1"/>
  <c r="D28" i="1"/>
  <c r="D27" i="1"/>
  <c r="J26" i="2" l="1"/>
  <c r="I26" i="2"/>
  <c r="H26" i="2"/>
  <c r="G26" i="2"/>
  <c r="P25" i="2"/>
  <c r="P26" i="2" s="1"/>
  <c r="O25" i="2"/>
  <c r="O26" i="2" s="1"/>
  <c r="N25" i="2"/>
  <c r="N26" i="2" s="1"/>
  <c r="M25" i="2"/>
  <c r="M26" i="2" s="1"/>
  <c r="L25" i="2"/>
  <c r="L26" i="2" s="1"/>
  <c r="K25" i="2"/>
  <c r="K26" i="2" s="1"/>
  <c r="J25" i="2"/>
  <c r="I25" i="2"/>
  <c r="H25" i="2"/>
  <c r="G25" i="2"/>
  <c r="F25" i="2"/>
  <c r="F26" i="2" s="1"/>
  <c r="E25" i="2"/>
  <c r="E26" i="2" s="1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P10" i="2"/>
  <c r="P8" i="2"/>
  <c r="P7" i="2"/>
  <c r="O6" i="2"/>
  <c r="N6" i="2"/>
  <c r="M6" i="2"/>
  <c r="L6" i="2"/>
  <c r="K6" i="2"/>
  <c r="J6" i="2"/>
  <c r="I6" i="2"/>
  <c r="H6" i="2"/>
  <c r="G6" i="2"/>
  <c r="P6" i="2" s="1"/>
  <c r="F6" i="2"/>
  <c r="E6" i="2"/>
  <c r="D6" i="2"/>
  <c r="K18" i="1" l="1"/>
  <c r="P10" i="1"/>
  <c r="K6" i="1"/>
  <c r="P7" i="1"/>
  <c r="P8" i="1" l="1"/>
  <c r="O6" i="1"/>
  <c r="N6" i="1"/>
  <c r="M6" i="1"/>
  <c r="L6" i="1"/>
  <c r="J6" i="1"/>
  <c r="I6" i="1"/>
  <c r="H6" i="1"/>
  <c r="G6" i="1"/>
  <c r="F6" i="1"/>
  <c r="E6" i="1"/>
  <c r="D6" i="1"/>
  <c r="P22" i="1"/>
  <c r="P20" i="1"/>
  <c r="P19" i="1"/>
  <c r="O18" i="1"/>
  <c r="N18" i="1"/>
  <c r="M18" i="1"/>
  <c r="L18" i="1"/>
  <c r="J18" i="1"/>
  <c r="I18" i="1"/>
  <c r="H18" i="1"/>
  <c r="G18" i="1"/>
  <c r="F18" i="1"/>
  <c r="E18" i="1"/>
  <c r="D18" i="1"/>
  <c r="P6" i="1" l="1"/>
  <c r="P18" i="1"/>
</calcChain>
</file>

<file path=xl/sharedStrings.xml><?xml version="1.0" encoding="utf-8"?>
<sst xmlns="http://schemas.openxmlformats.org/spreadsheetml/2006/main" count="96" uniqueCount="27">
  <si>
    <t>Unid</t>
  </si>
  <si>
    <t>Jan</t>
  </si>
  <si>
    <t>Fev</t>
  </si>
  <si>
    <t>Mar</t>
  </si>
  <si>
    <t>Abr</t>
  </si>
  <si>
    <t>Mai</t>
  </si>
  <si>
    <t>Jun</t>
  </si>
  <si>
    <t>Jul</t>
  </si>
  <si>
    <t>Set</t>
  </si>
  <si>
    <t>Out</t>
  </si>
  <si>
    <t>Nov</t>
  </si>
  <si>
    <t>Total</t>
  </si>
  <si>
    <t>Lump</t>
  </si>
  <si>
    <t>t</t>
  </si>
  <si>
    <t>Concentrado</t>
  </si>
  <si>
    <t>Lump + Concentrado</t>
  </si>
  <si>
    <t>ROM</t>
  </si>
  <si>
    <t>Dez/2023</t>
  </si>
  <si>
    <t>Mineração PEDRINHAS
(t mil) ORÇAMENTO 2024</t>
  </si>
  <si>
    <t>Dez</t>
  </si>
  <si>
    <t>Mineração PEDRINHAS
(t mil) Forecast 2024</t>
  </si>
  <si>
    <t>Ago</t>
  </si>
  <si>
    <t>Linha 25</t>
  </si>
  <si>
    <t>Linha 26</t>
  </si>
  <si>
    <t>Horas Totais</t>
  </si>
  <si>
    <t>h</t>
  </si>
  <si>
    <t>t/h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</si>
</sst>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_ ;[Red]\-#,##0\ "/>
    <numFmt numFmtId="165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u/>
      <sz val="11"/>
      <color theme="4" tint="-0.499984740745262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0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tted">
        <color theme="0" tint="-0.2499465926084170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theme="0" tint="-0.24994659260841701"/>
      </left>
      <right style="dotted">
        <color theme="0" tint="-0.24994659260841701"/>
      </right>
      <top/>
      <bottom/>
      <diagonal/>
    </border>
    <border>
      <left/>
      <right/>
      <top style="medium">
        <color theme="0"/>
      </top>
      <bottom style="medium">
        <color theme="0"/>
      </bottom>
      <diagonal/>
    </border>
  </borders>
  <cellStyleXfs count="5">
    <xf numFmtId="0" fontId="0" fillId="0" borderId="0"/>
    <xf numFmtId="0" fontId="2" fillId="0" borderId="0" applyNumberFormat="0" applyFont="0" applyFill="0" applyBorder="0" applyAlignment="0" applyProtection="0">
      <alignment vertical="top"/>
      <protection locked="0"/>
    </xf>
    <xf numFmtId="0" fontId="3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1" fillId="2" borderId="1" xfId="1" applyFont="1" applyFill="1" applyBorder="1" applyAlignment="1" applyProtection="1">
      <alignment vertical="center" wrapText="1"/>
    </xf>
    <xf numFmtId="0" fontId="1" fillId="2" borderId="3" xfId="1" applyFont="1" applyFill="1" applyBorder="1" applyAlignment="1" applyProtection="1">
      <alignment vertical="center"/>
    </xf>
    <xf numFmtId="0" fontId="1" fillId="2" borderId="4" xfId="1" applyFont="1" applyFill="1" applyBorder="1" applyAlignment="1" applyProtection="1">
      <alignment vertical="center"/>
    </xf>
    <xf numFmtId="0" fontId="4" fillId="3" borderId="5" xfId="2" applyFont="1" applyFill="1" applyBorder="1"/>
    <xf numFmtId="0" fontId="0" fillId="0" borderId="6" xfId="0" applyBorder="1"/>
    <xf numFmtId="164" fontId="0" fillId="0" borderId="6" xfId="0" applyNumberFormat="1" applyBorder="1"/>
    <xf numFmtId="0" fontId="5" fillId="4" borderId="5" xfId="2" applyFont="1" applyFill="1" applyBorder="1" applyAlignment="1">
      <alignment vertical="center"/>
    </xf>
    <xf numFmtId="164" fontId="5" fillId="3" borderId="7" xfId="2" applyNumberFormat="1" applyFont="1" applyFill="1" applyBorder="1" applyAlignment="1">
      <alignment vertical="center"/>
    </xf>
    <xf numFmtId="0" fontId="0" fillId="0" borderId="8" xfId="0" applyBorder="1"/>
    <xf numFmtId="0" fontId="0" fillId="0" borderId="9" xfId="0" applyBorder="1"/>
    <xf numFmtId="164" fontId="5" fillId="3" borderId="0" xfId="2" applyNumberFormat="1" applyFont="1" applyFill="1" applyAlignment="1">
      <alignment vertical="center"/>
    </xf>
    <xf numFmtId="0" fontId="6" fillId="4" borderId="5" xfId="2" applyFont="1" applyFill="1" applyBorder="1" applyAlignment="1">
      <alignment vertical="center"/>
    </xf>
    <xf numFmtId="164" fontId="6" fillId="3" borderId="7" xfId="2" applyNumberFormat="1" applyFont="1" applyFill="1" applyBorder="1" applyAlignment="1">
      <alignment vertical="center"/>
    </xf>
    <xf numFmtId="164" fontId="7" fillId="0" borderId="6" xfId="0" applyNumberFormat="1" applyFont="1" applyBorder="1"/>
    <xf numFmtId="0" fontId="1" fillId="2" borderId="1" xfId="1" applyFont="1" applyFill="1" applyBorder="1" applyAlignment="1" applyProtection="1">
      <alignment horizontal="center" vertical="center" wrapText="1"/>
    </xf>
    <xf numFmtId="0" fontId="1" fillId="2" borderId="2" xfId="1" applyFont="1" applyFill="1" applyBorder="1" applyAlignment="1" applyProtection="1">
      <alignment horizontal="center" vertical="center" wrapText="1"/>
    </xf>
    <xf numFmtId="0" fontId="7" fillId="0" borderId="0" xfId="0" applyFont="1"/>
    <xf numFmtId="0" fontId="5" fillId="3" borderId="5" xfId="2" applyFont="1" applyFill="1" applyBorder="1" applyAlignment="1">
      <alignment vertical="center"/>
    </xf>
    <xf numFmtId="0" fontId="0" fillId="0" borderId="3" xfId="0" applyBorder="1"/>
    <xf numFmtId="0" fontId="1" fillId="2" borderId="1" xfId="1" quotePrefix="1" applyFont="1" applyFill="1" applyBorder="1" applyAlignment="1" applyProtection="1">
      <alignment horizontal="center" vertical="center" wrapText="1"/>
    </xf>
    <xf numFmtId="164" fontId="6" fillId="3" borderId="10" xfId="2" applyNumberFormat="1" applyFont="1" applyFill="1" applyBorder="1" applyAlignment="1">
      <alignment vertical="center"/>
    </xf>
    <xf numFmtId="164" fontId="5" fillId="3" borderId="10" xfId="2" applyNumberFormat="1" applyFont="1" applyFill="1" applyBorder="1" applyAlignment="1">
      <alignment vertical="center"/>
    </xf>
    <xf numFmtId="0" fontId="0" fillId="0" borderId="1" xfId="0" applyBorder="1"/>
    <xf numFmtId="164" fontId="6" fillId="3" borderId="5" xfId="2" applyNumberFormat="1" applyFont="1" applyFill="1" applyBorder="1" applyAlignment="1">
      <alignment vertical="center"/>
    </xf>
    <xf numFmtId="164" fontId="5" fillId="3" borderId="5" xfId="2" applyNumberFormat="1" applyFont="1" applyFill="1" applyBorder="1" applyAlignment="1">
      <alignment vertical="center"/>
    </xf>
    <xf numFmtId="164" fontId="9" fillId="3" borderId="7" xfId="2" applyNumberFormat="1" applyFont="1" applyFill="1" applyBorder="1" applyAlignment="1">
      <alignment vertical="center"/>
    </xf>
    <xf numFmtId="164" fontId="10" fillId="3" borderId="7" xfId="2" applyNumberFormat="1" applyFont="1" applyFill="1" applyBorder="1" applyAlignment="1">
      <alignment vertical="center"/>
    </xf>
    <xf numFmtId="164" fontId="10" fillId="3" borderId="0" xfId="2" applyNumberFormat="1" applyFont="1" applyFill="1" applyAlignment="1">
      <alignment vertical="center"/>
    </xf>
    <xf numFmtId="164" fontId="11" fillId="3" borderId="10" xfId="2" applyNumberFormat="1" applyFont="1" applyFill="1" applyBorder="1" applyAlignment="1">
      <alignment vertical="center"/>
    </xf>
    <xf numFmtId="164" fontId="11" fillId="3" borderId="7" xfId="2" applyNumberFormat="1" applyFont="1" applyFill="1" applyBorder="1" applyAlignment="1">
      <alignment vertical="center"/>
    </xf>
    <xf numFmtId="164" fontId="12" fillId="3" borderId="10" xfId="2" applyNumberFormat="1" applyFont="1" applyFill="1" applyBorder="1" applyAlignment="1">
      <alignment vertical="center"/>
    </xf>
    <xf numFmtId="164" fontId="12" fillId="3" borderId="7" xfId="2" applyNumberFormat="1" applyFont="1" applyFill="1" applyBorder="1" applyAlignment="1">
      <alignment vertical="center"/>
    </xf>
    <xf numFmtId="164" fontId="12" fillId="0" borderId="6" xfId="0" applyNumberFormat="1" applyFont="1" applyBorder="1"/>
    <xf numFmtId="164" fontId="11" fillId="0" borderId="6" xfId="0" applyNumberFormat="1" applyFont="1" applyBorder="1"/>
    <xf numFmtId="164" fontId="11" fillId="3" borderId="0" xfId="2" applyNumberFormat="1" applyFont="1" applyFill="1" applyAlignment="1">
      <alignment vertical="center"/>
    </xf>
    <xf numFmtId="164" fontId="0" fillId="0" borderId="0" xfId="0" applyNumberFormat="1"/>
    <xf numFmtId="0" fontId="1" fillId="2" borderId="3" xfId="1" applyFont="1" applyFill="1" applyBorder="1" applyAlignment="1" applyProtection="1">
      <alignment horizontal="center" vertical="center"/>
    </xf>
    <xf numFmtId="0" fontId="13" fillId="2" borderId="1" xfId="1" quotePrefix="1" applyFont="1" applyFill="1" applyBorder="1" applyAlignment="1" applyProtection="1">
      <alignment horizontal="center" vertical="center" wrapText="1"/>
    </xf>
    <xf numFmtId="165" fontId="0" fillId="0" borderId="0" xfId="4" applyNumberFormat="1" applyFont="1"/>
    <xf numFmtId="0" fontId="0" fillId="0" borderId="0" xfId="0" applyBorder="1"/>
    <xf numFmtId="164" fontId="11" fillId="0" borderId="0" xfId="0" applyNumberFormat="1" applyFont="1" applyBorder="1"/>
    <xf numFmtId="164" fontId="0" fillId="0" borderId="0" xfId="0" applyNumberFormat="1" applyBorder="1"/>
    <xf numFmtId="0" fontId="5" fillId="5" borderId="11" xfId="2" applyFont="1" applyFill="1" applyBorder="1" applyAlignment="1">
      <alignment vertical="center"/>
    </xf>
    <xf numFmtId="0" fontId="0" fillId="0" borderId="11" xfId="0" applyBorder="1"/>
    <xf numFmtId="164" fontId="10" fillId="3" borderId="11" xfId="2" applyNumberFormat="1" applyFont="1" applyFill="1" applyBorder="1" applyAlignment="1">
      <alignment vertical="center"/>
    </xf>
    <xf numFmtId="164" fontId="11" fillId="3" borderId="11" xfId="2" applyNumberFormat="1" applyFont="1" applyFill="1" applyBorder="1" applyAlignment="1">
      <alignment vertical="center"/>
    </xf>
    <xf numFmtId="0" fontId="0" fillId="5" borderId="11" xfId="0" applyFill="1" applyBorder="1"/>
    <xf numFmtId="2" fontId="0" fillId="0" borderId="11" xfId="0" applyNumberFormat="1" applyBorder="1"/>
  </cellXfs>
  <cellStyles count="5">
    <cellStyle name="Hiperlink" xfId="1" builtinId="8"/>
    <cellStyle name="Normal" xfId="0" builtinId="0"/>
    <cellStyle name="Normal 2 2 6 5" xfId="2" xr:uid="{00000000-0005-0000-0000-000002000000}"/>
    <cellStyle name="Vírgula" xfId="4" builtinId="3"/>
    <cellStyle name="Vírgula 10 10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26"/>
  <sheetViews>
    <sheetView showGridLines="0" topLeftCell="A4" zoomScale="85" zoomScaleNormal="85" workbookViewId="0">
      <selection activeCell="T21" sqref="T21"/>
    </sheetView>
  </sheetViews>
  <sheetFormatPr defaultRowHeight="14.4" x14ac:dyDescent="0.3"/>
  <cols>
    <col min="1" max="1" width="1.5546875" customWidth="1"/>
    <col min="2" max="2" width="26.109375" customWidth="1"/>
    <col min="3" max="3" width="5.6640625" customWidth="1"/>
    <col min="4" max="4" width="7.5546875" bestFit="1" customWidth="1"/>
    <col min="5" max="15" width="10.5546875" bestFit="1" customWidth="1"/>
    <col min="16" max="16" width="11.5546875" bestFit="1" customWidth="1"/>
    <col min="18" max="19" width="9.109375" customWidth="1"/>
    <col min="20" max="20" width="9.6640625" customWidth="1"/>
    <col min="21" max="33" width="9.109375" customWidth="1"/>
  </cols>
  <sheetData>
    <row r="2" spans="2:16" ht="15" thickBot="1" x14ac:dyDescent="0.35"/>
    <row r="3" spans="2:16" ht="28.8" x14ac:dyDescent="0.3">
      <c r="B3" s="1" t="s">
        <v>18</v>
      </c>
      <c r="C3" s="15" t="s">
        <v>0</v>
      </c>
      <c r="D3" s="15" t="s">
        <v>1</v>
      </c>
      <c r="E3" s="15" t="s">
        <v>2</v>
      </c>
      <c r="F3" s="15" t="s">
        <v>3</v>
      </c>
      <c r="G3" s="15" t="s">
        <v>4</v>
      </c>
      <c r="H3" s="15" t="s">
        <v>5</v>
      </c>
      <c r="I3" s="15" t="s">
        <v>6</v>
      </c>
      <c r="J3" s="15" t="s">
        <v>7</v>
      </c>
      <c r="K3" s="15" t="s">
        <v>21</v>
      </c>
      <c r="L3" s="15" t="s">
        <v>8</v>
      </c>
      <c r="M3" s="15" t="s">
        <v>9</v>
      </c>
      <c r="N3" s="15" t="s">
        <v>10</v>
      </c>
      <c r="O3" s="20" t="s">
        <v>19</v>
      </c>
      <c r="P3" s="16" t="s">
        <v>11</v>
      </c>
    </row>
    <row r="4" spans="2:16" ht="15" thickBot="1" x14ac:dyDescent="0.35">
      <c r="B4" s="2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"/>
    </row>
    <row r="5" spans="2:16" x14ac:dyDescent="0.3">
      <c r="B5" s="4"/>
      <c r="D5" s="23"/>
      <c r="P5" s="5"/>
    </row>
    <row r="6" spans="2:16" x14ac:dyDescent="0.3">
      <c r="B6" s="12" t="s">
        <v>15</v>
      </c>
      <c r="C6" s="17"/>
      <c r="D6" s="24">
        <f t="shared" ref="D6:O6" si="0">SUM(D7:D8)</f>
        <v>6519.8425196850394</v>
      </c>
      <c r="E6" s="13">
        <f t="shared" si="0"/>
        <v>6222.0314960629921</v>
      </c>
      <c r="F6" s="21">
        <f t="shared" si="0"/>
        <v>6591.2204724409457</v>
      </c>
      <c r="G6" s="13">
        <f t="shared" si="0"/>
        <v>6186.8425196850394</v>
      </c>
      <c r="H6" s="13">
        <f t="shared" si="0"/>
        <v>6687.8425196850394</v>
      </c>
      <c r="I6" s="21">
        <f t="shared" si="0"/>
        <v>5826.5984251968512</v>
      </c>
      <c r="J6" s="13">
        <f t="shared" si="0"/>
        <v>7057.9043678981534</v>
      </c>
      <c r="K6" s="13">
        <f t="shared" si="0"/>
        <v>7669.8425196850394</v>
      </c>
      <c r="L6" s="13">
        <f t="shared" si="0"/>
        <v>7128.0314960629921</v>
      </c>
      <c r="M6" s="13">
        <f t="shared" si="0"/>
        <v>7181.6535433070867</v>
      </c>
      <c r="N6" s="13">
        <f t="shared" si="0"/>
        <v>6794.2823206540597</v>
      </c>
      <c r="O6" s="21">
        <f t="shared" si="0"/>
        <v>7338.0314960629921</v>
      </c>
      <c r="P6" s="14">
        <f>SUM(D6:O6)</f>
        <v>81204.123696426235</v>
      </c>
    </row>
    <row r="7" spans="2:16" x14ac:dyDescent="0.3">
      <c r="B7" s="7" t="s">
        <v>12</v>
      </c>
      <c r="C7" t="s">
        <v>13</v>
      </c>
      <c r="D7" s="25">
        <v>2899.8425196850394</v>
      </c>
      <c r="E7" s="8">
        <v>2768.0314960629921</v>
      </c>
      <c r="F7" s="22">
        <v>2636.2204724409453</v>
      </c>
      <c r="G7" s="8">
        <v>2899.8425196850394</v>
      </c>
      <c r="H7" s="8">
        <v>2899.8425196850394</v>
      </c>
      <c r="I7" s="22">
        <v>2372.5984251968507</v>
      </c>
      <c r="J7" s="8">
        <v>2899.8425196850394</v>
      </c>
      <c r="K7" s="8">
        <v>2899.8425196850394</v>
      </c>
      <c r="L7" s="8">
        <v>2768.0314960629921</v>
      </c>
      <c r="M7" s="8">
        <v>3031.6535433070867</v>
      </c>
      <c r="N7" s="8">
        <v>2636.2204724409453</v>
      </c>
      <c r="O7" s="22">
        <v>2768.0314960629921</v>
      </c>
      <c r="P7" s="6">
        <f>SUM(D7:O7)</f>
        <v>33480.000000000007</v>
      </c>
    </row>
    <row r="8" spans="2:16" x14ac:dyDescent="0.3">
      <c r="B8" s="7" t="s">
        <v>14</v>
      </c>
      <c r="C8" t="s">
        <v>13</v>
      </c>
      <c r="D8" s="25">
        <v>3620</v>
      </c>
      <c r="E8" s="8">
        <v>3454</v>
      </c>
      <c r="F8" s="22">
        <v>3955</v>
      </c>
      <c r="G8" s="8">
        <v>3287</v>
      </c>
      <c r="H8" s="8">
        <v>3788</v>
      </c>
      <c r="I8" s="22">
        <v>3454</v>
      </c>
      <c r="J8" s="8">
        <v>4158.061848213114</v>
      </c>
      <c r="K8" s="8">
        <v>4770</v>
      </c>
      <c r="L8" s="8">
        <v>4360</v>
      </c>
      <c r="M8" s="8">
        <v>4150</v>
      </c>
      <c r="N8" s="8">
        <v>4158.061848213114</v>
      </c>
      <c r="O8" s="22">
        <v>4570</v>
      </c>
      <c r="P8" s="6">
        <f>SUM(D8:O8)</f>
        <v>47724.123696426221</v>
      </c>
    </row>
    <row r="9" spans="2:16" x14ac:dyDescent="0.3">
      <c r="B9" s="18"/>
      <c r="D9" s="25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6"/>
    </row>
    <row r="10" spans="2:16" x14ac:dyDescent="0.3">
      <c r="B10" s="7" t="s">
        <v>16</v>
      </c>
      <c r="C10" t="s">
        <v>13</v>
      </c>
      <c r="D10" s="25">
        <v>32241.540812850464</v>
      </c>
      <c r="E10" s="8">
        <v>31538.639863667071</v>
      </c>
      <c r="F10" s="22">
        <v>26385.811467719665</v>
      </c>
      <c r="G10" s="8">
        <v>25963.150963402004</v>
      </c>
      <c r="H10" s="8">
        <v>23777.183175023776</v>
      </c>
      <c r="I10" s="22">
        <v>22435.769908225418</v>
      </c>
      <c r="J10" s="8">
        <v>22435.769908225418</v>
      </c>
      <c r="K10" s="8">
        <v>22435.769908225418</v>
      </c>
      <c r="L10" s="8">
        <v>23041.890007457092</v>
      </c>
      <c r="M10" s="8">
        <v>24235.494248444153</v>
      </c>
      <c r="N10" s="8">
        <v>35449.97117585918</v>
      </c>
      <c r="O10" s="22">
        <v>36242.577113320491</v>
      </c>
      <c r="P10" s="6">
        <f>SUM(D10:O10)</f>
        <v>326183.56855242013</v>
      </c>
    </row>
    <row r="11" spans="2:16" ht="15" thickBot="1" x14ac:dyDescent="0.35">
      <c r="B11" s="19"/>
      <c r="C11" s="9"/>
      <c r="D11" s="1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0"/>
    </row>
    <row r="14" spans="2:16" ht="15" thickBot="1" x14ac:dyDescent="0.35"/>
    <row r="15" spans="2:16" ht="28.8" x14ac:dyDescent="0.3">
      <c r="B15" s="1" t="s">
        <v>20</v>
      </c>
      <c r="C15" s="15" t="s">
        <v>0</v>
      </c>
      <c r="D15" s="15" t="s">
        <v>1</v>
      </c>
      <c r="E15" s="15" t="s">
        <v>2</v>
      </c>
      <c r="F15" s="15" t="s">
        <v>3</v>
      </c>
      <c r="G15" s="15" t="s">
        <v>4</v>
      </c>
      <c r="H15" s="15" t="s">
        <v>5</v>
      </c>
      <c r="I15" s="15" t="s">
        <v>6</v>
      </c>
      <c r="J15" s="15" t="s">
        <v>7</v>
      </c>
      <c r="K15" s="15" t="s">
        <v>21</v>
      </c>
      <c r="L15" s="15" t="s">
        <v>8</v>
      </c>
      <c r="M15" s="15" t="s">
        <v>9</v>
      </c>
      <c r="N15" s="15" t="s">
        <v>10</v>
      </c>
      <c r="O15" s="38" t="s">
        <v>17</v>
      </c>
      <c r="P15" s="16" t="s">
        <v>11</v>
      </c>
    </row>
    <row r="16" spans="2:16" ht="15" thickBot="1" x14ac:dyDescent="0.3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3"/>
    </row>
    <row r="17" spans="2:19" x14ac:dyDescent="0.3">
      <c r="B17" s="4"/>
      <c r="P17" s="5"/>
    </row>
    <row r="18" spans="2:19" x14ac:dyDescent="0.3">
      <c r="B18" s="12" t="s">
        <v>15</v>
      </c>
      <c r="C18" s="17"/>
      <c r="D18" s="26">
        <f t="shared" ref="D18:P18" si="1">SUM(D19:D20)</f>
        <v>5781</v>
      </c>
      <c r="E18" s="32">
        <f t="shared" si="1"/>
        <v>6022.0314960629894</v>
      </c>
      <c r="F18" s="31">
        <f t="shared" si="1"/>
        <v>6391.2204724409494</v>
      </c>
      <c r="G18" s="32">
        <f t="shared" si="1"/>
        <v>5986.8425196850403</v>
      </c>
      <c r="H18" s="32">
        <f t="shared" si="1"/>
        <v>6487.8425196850403</v>
      </c>
      <c r="I18" s="31">
        <f t="shared" si="1"/>
        <v>6038.0284251968496</v>
      </c>
      <c r="J18" s="32">
        <f t="shared" si="1"/>
        <v>7279.3343678981537</v>
      </c>
      <c r="K18" s="32">
        <f t="shared" si="1"/>
        <v>7891.2725196850397</v>
      </c>
      <c r="L18" s="32">
        <f t="shared" si="1"/>
        <v>7349.4614960629897</v>
      </c>
      <c r="M18" s="32">
        <f t="shared" si="1"/>
        <v>7403.0835433070897</v>
      </c>
      <c r="N18" s="32">
        <f t="shared" si="1"/>
        <v>7015.7123206540637</v>
      </c>
      <c r="O18" s="31">
        <f t="shared" si="1"/>
        <v>7559.4614960629897</v>
      </c>
      <c r="P18" s="33">
        <f t="shared" si="1"/>
        <v>81205.291176741186</v>
      </c>
    </row>
    <row r="19" spans="2:19" x14ac:dyDescent="0.3">
      <c r="B19" s="7" t="s">
        <v>12</v>
      </c>
      <c r="C19" t="s">
        <v>13</v>
      </c>
      <c r="D19" s="27">
        <v>2160</v>
      </c>
      <c r="E19" s="30">
        <v>2568.0314960629898</v>
      </c>
      <c r="F19" s="29">
        <v>2436.2204724409498</v>
      </c>
      <c r="G19" s="30">
        <v>2699.8425196850399</v>
      </c>
      <c r="H19" s="30">
        <v>2699.8425196850399</v>
      </c>
      <c r="I19" s="29">
        <v>2584.0284251968496</v>
      </c>
      <c r="J19" s="30">
        <v>3121.2725196850397</v>
      </c>
      <c r="K19" s="30">
        <v>3121.2725196850397</v>
      </c>
      <c r="L19" s="30">
        <v>2989.4614960629897</v>
      </c>
      <c r="M19" s="30">
        <v>3253.0835433070897</v>
      </c>
      <c r="N19" s="30">
        <v>2857.6504724409497</v>
      </c>
      <c r="O19" s="29">
        <v>2989.4614960629897</v>
      </c>
      <c r="P19" s="34">
        <v>33480.167480314965</v>
      </c>
      <c r="Q19" s="36"/>
    </row>
    <row r="20" spans="2:19" x14ac:dyDescent="0.3">
      <c r="B20" s="7" t="s">
        <v>14</v>
      </c>
      <c r="C20" t="s">
        <v>13</v>
      </c>
      <c r="D20" s="27">
        <v>3621</v>
      </c>
      <c r="E20" s="30">
        <v>3454</v>
      </c>
      <c r="F20" s="29">
        <v>3955</v>
      </c>
      <c r="G20" s="30">
        <v>3287</v>
      </c>
      <c r="H20" s="30">
        <v>3788</v>
      </c>
      <c r="I20" s="29">
        <v>3454</v>
      </c>
      <c r="J20" s="30">
        <v>4158.061848213114</v>
      </c>
      <c r="K20" s="30">
        <v>4770</v>
      </c>
      <c r="L20" s="30">
        <v>4360</v>
      </c>
      <c r="M20" s="30">
        <v>4150</v>
      </c>
      <c r="N20" s="30">
        <v>4158.061848213114</v>
      </c>
      <c r="O20" s="29">
        <v>4570</v>
      </c>
      <c r="P20" s="34">
        <v>47725.123696426221</v>
      </c>
      <c r="Q20" s="36"/>
    </row>
    <row r="21" spans="2:19" x14ac:dyDescent="0.3">
      <c r="B21" s="18"/>
      <c r="D21" s="28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4"/>
      <c r="S21" s="36"/>
    </row>
    <row r="22" spans="2:19" x14ac:dyDescent="0.3">
      <c r="B22" s="7" t="s">
        <v>16</v>
      </c>
      <c r="C22" t="s">
        <v>13</v>
      </c>
      <c r="D22" s="27">
        <v>48365</v>
      </c>
      <c r="E22" s="30">
        <v>31538.639863667071</v>
      </c>
      <c r="F22" s="29">
        <v>26385.811467719665</v>
      </c>
      <c r="G22" s="30">
        <v>25963.150963402004</v>
      </c>
      <c r="H22" s="30">
        <v>23777.183175023776</v>
      </c>
      <c r="I22" s="29">
        <v>22435.769908225418</v>
      </c>
      <c r="J22" s="30">
        <v>22435.769908225418</v>
      </c>
      <c r="K22" s="30">
        <v>22435.769908225418</v>
      </c>
      <c r="L22" s="30">
        <v>23041.890007457092</v>
      </c>
      <c r="M22" s="30">
        <v>24235.494248444153</v>
      </c>
      <c r="N22" s="30">
        <v>35449.97117585918</v>
      </c>
      <c r="O22" s="29">
        <v>36242.577113320491</v>
      </c>
      <c r="P22" s="34">
        <v>342307.02773956966</v>
      </c>
      <c r="Q22" s="36"/>
    </row>
    <row r="23" spans="2:19" ht="15" thickBot="1" x14ac:dyDescent="0.35">
      <c r="B23" s="1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10"/>
    </row>
    <row r="25" spans="2:19" x14ac:dyDescent="0.3">
      <c r="C25" t="s">
        <v>22</v>
      </c>
      <c r="E25" s="39">
        <f t="shared" ref="E25:I25" si="2">E20*4.8</f>
        <v>16579.2</v>
      </c>
      <c r="F25" s="39">
        <f t="shared" si="2"/>
        <v>18984</v>
      </c>
      <c r="G25" s="39">
        <f t="shared" si="2"/>
        <v>15777.599999999999</v>
      </c>
      <c r="H25" s="39">
        <f t="shared" si="2"/>
        <v>18182.399999999998</v>
      </c>
      <c r="I25" s="39">
        <f t="shared" si="2"/>
        <v>16579.2</v>
      </c>
      <c r="J25" s="39">
        <f>J20*4.8</f>
        <v>19958.696871422948</v>
      </c>
      <c r="K25" s="39">
        <f t="shared" ref="K25:P25" si="3">K20*4.8</f>
        <v>22896</v>
      </c>
      <c r="L25" s="39">
        <f t="shared" si="3"/>
        <v>20928</v>
      </c>
      <c r="M25" s="39">
        <f t="shared" si="3"/>
        <v>19920</v>
      </c>
      <c r="N25" s="39">
        <f t="shared" si="3"/>
        <v>19958.696871422948</v>
      </c>
      <c r="O25" s="39">
        <f t="shared" si="3"/>
        <v>21936</v>
      </c>
      <c r="P25" s="39">
        <f t="shared" si="3"/>
        <v>229080.59374284584</v>
      </c>
    </row>
    <row r="26" spans="2:19" x14ac:dyDescent="0.3">
      <c r="C26" t="s">
        <v>23</v>
      </c>
      <c r="E26" s="36">
        <f>E22-E25</f>
        <v>14959.43986366707</v>
      </c>
      <c r="F26" s="36">
        <f t="shared" ref="F26:P26" si="4">F22-F25</f>
        <v>7401.8114677196645</v>
      </c>
      <c r="G26" s="36">
        <f t="shared" si="4"/>
        <v>10185.550963402005</v>
      </c>
      <c r="H26" s="36">
        <f t="shared" si="4"/>
        <v>5594.7831750237783</v>
      </c>
      <c r="I26" s="36">
        <f t="shared" si="4"/>
        <v>5856.5699082254177</v>
      </c>
      <c r="J26" s="36">
        <f t="shared" si="4"/>
        <v>2477.0730368024706</v>
      </c>
      <c r="K26" s="36">
        <f t="shared" si="4"/>
        <v>-460.23009177458152</v>
      </c>
      <c r="L26" s="36">
        <f t="shared" si="4"/>
        <v>2113.890007457092</v>
      </c>
      <c r="M26" s="36">
        <f t="shared" si="4"/>
        <v>4315.4942484441526</v>
      </c>
      <c r="N26" s="36">
        <f t="shared" si="4"/>
        <v>15491.274304436232</v>
      </c>
      <c r="O26" s="36">
        <f t="shared" si="4"/>
        <v>14306.577113320491</v>
      </c>
      <c r="P26" s="36">
        <f t="shared" si="4"/>
        <v>113226.43399672382</v>
      </c>
    </row>
  </sheetData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28"/>
  <sheetViews>
    <sheetView showGridLines="0" tabSelected="1" topLeftCell="A11" zoomScaleNormal="100" workbookViewId="0">
      <selection activeCell="F27" sqref="F27:N27"/>
    </sheetView>
  </sheetViews>
  <sheetFormatPr defaultRowHeight="14.4" outlineLevelCol="1" x14ac:dyDescent="0.3"/>
  <cols>
    <col min="1" max="1" width="1.5546875" customWidth="1"/>
    <col min="2" max="2" width="26.109375" customWidth="1"/>
    <col min="3" max="3" width="5.6640625" customWidth="1"/>
    <col min="4" max="5" width="7" bestFit="1" customWidth="1" outlineLevel="1"/>
    <col min="6" max="10" width="7" bestFit="1" customWidth="1"/>
    <col min="11" max="11" width="7" customWidth="1"/>
    <col min="12" max="14" width="7" bestFit="1" customWidth="1"/>
    <col min="15" max="15" width="9.109375" bestFit="1" customWidth="1"/>
    <col min="16" max="16" width="8" bestFit="1" customWidth="1"/>
    <col min="18" max="19" width="9.109375" customWidth="1"/>
    <col min="20" max="20" width="9.6640625" customWidth="1"/>
    <col min="21" max="33" width="9.109375" customWidth="1"/>
  </cols>
  <sheetData>
    <row r="2" spans="2:16" ht="15" thickBot="1" x14ac:dyDescent="0.35"/>
    <row r="3" spans="2:16" ht="28.8" x14ac:dyDescent="0.3">
      <c r="B3" s="1" t="s">
        <v>18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21</v>
      </c>
      <c r="L3" s="15" t="s">
        <v>8</v>
      </c>
      <c r="M3" s="15" t="s">
        <v>9</v>
      </c>
      <c r="N3" s="15" t="s">
        <v>10</v>
      </c>
      <c r="O3" s="20" t="s">
        <v>19</v>
      </c>
      <c r="P3" s="16" t="s">
        <v>11</v>
      </c>
    </row>
    <row r="4" spans="2:16" ht="15" thickBot="1" x14ac:dyDescent="0.3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3"/>
    </row>
    <row r="5" spans="2:16" x14ac:dyDescent="0.3">
      <c r="B5" s="4"/>
      <c r="D5" s="23"/>
      <c r="P5" s="5"/>
    </row>
    <row r="6" spans="2:16" x14ac:dyDescent="0.3">
      <c r="B6" s="12" t="s">
        <v>15</v>
      </c>
      <c r="C6" s="17"/>
      <c r="D6" s="24">
        <f t="shared" ref="D6:O6" si="0">SUM(D7:D8)</f>
        <v>6519.8425196850394</v>
      </c>
      <c r="E6" s="13">
        <f t="shared" si="0"/>
        <v>6222.0314960629921</v>
      </c>
      <c r="F6" s="21">
        <f t="shared" si="0"/>
        <v>6591.2204724409457</v>
      </c>
      <c r="G6" s="13">
        <f t="shared" si="0"/>
        <v>6186.8425196850394</v>
      </c>
      <c r="H6" s="13">
        <f t="shared" si="0"/>
        <v>6687.8425196850394</v>
      </c>
      <c r="I6" s="21">
        <f t="shared" si="0"/>
        <v>5826.5984251968512</v>
      </c>
      <c r="J6" s="13">
        <f t="shared" si="0"/>
        <v>7057.9043678981534</v>
      </c>
      <c r="K6" s="13">
        <f t="shared" si="0"/>
        <v>7669.8425196850394</v>
      </c>
      <c r="L6" s="13">
        <f t="shared" si="0"/>
        <v>7128.0314960629921</v>
      </c>
      <c r="M6" s="13">
        <f t="shared" si="0"/>
        <v>7181.6535433070867</v>
      </c>
      <c r="N6" s="13">
        <f t="shared" si="0"/>
        <v>6794.2823206540597</v>
      </c>
      <c r="O6" s="21">
        <f t="shared" si="0"/>
        <v>7338.0314960629921</v>
      </c>
      <c r="P6" s="14">
        <f>SUM(D6:O6)</f>
        <v>81204.123696426235</v>
      </c>
    </row>
    <row r="7" spans="2:16" x14ac:dyDescent="0.3">
      <c r="B7" s="7" t="s">
        <v>12</v>
      </c>
      <c r="C7" t="s">
        <v>13</v>
      </c>
      <c r="D7" s="25">
        <v>2899.8425196850394</v>
      </c>
      <c r="E7" s="8">
        <v>2768.0314960629921</v>
      </c>
      <c r="F7" s="22">
        <v>2636.2204724409453</v>
      </c>
      <c r="G7" s="8">
        <v>2899.8425196850394</v>
      </c>
      <c r="H7" s="8">
        <v>2899.8425196850394</v>
      </c>
      <c r="I7" s="22">
        <v>2372.5984251968507</v>
      </c>
      <c r="J7" s="8">
        <v>2899.8425196850394</v>
      </c>
      <c r="K7" s="8">
        <v>2899.8425196850394</v>
      </c>
      <c r="L7" s="8">
        <v>2768.0314960629921</v>
      </c>
      <c r="M7" s="8">
        <v>3031.6535433070867</v>
      </c>
      <c r="N7" s="8">
        <v>2636.2204724409453</v>
      </c>
      <c r="O7" s="22">
        <v>2768.0314960629921</v>
      </c>
      <c r="P7" s="6">
        <f>SUM(D7:O7)</f>
        <v>33480.000000000007</v>
      </c>
    </row>
    <row r="8" spans="2:16" x14ac:dyDescent="0.3">
      <c r="B8" s="7" t="s">
        <v>14</v>
      </c>
      <c r="C8" t="s">
        <v>13</v>
      </c>
      <c r="D8" s="25">
        <v>3620</v>
      </c>
      <c r="E8" s="8">
        <v>3454</v>
      </c>
      <c r="F8" s="22">
        <v>3955</v>
      </c>
      <c r="G8" s="8">
        <v>3287</v>
      </c>
      <c r="H8" s="8">
        <v>3788</v>
      </c>
      <c r="I8" s="22">
        <v>3454</v>
      </c>
      <c r="J8" s="8">
        <v>4158.061848213114</v>
      </c>
      <c r="K8" s="8">
        <v>4770</v>
      </c>
      <c r="L8" s="8">
        <v>4360</v>
      </c>
      <c r="M8" s="8">
        <v>4150</v>
      </c>
      <c r="N8" s="8">
        <v>4158.061848213114</v>
      </c>
      <c r="O8" s="22">
        <v>4570</v>
      </c>
      <c r="P8" s="6">
        <f>SUM(D8:O8)</f>
        <v>47724.123696426221</v>
      </c>
    </row>
    <row r="9" spans="2:16" x14ac:dyDescent="0.3">
      <c r="B9" s="18"/>
      <c r="D9" s="25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6"/>
    </row>
    <row r="10" spans="2:16" x14ac:dyDescent="0.3">
      <c r="B10" s="7" t="s">
        <v>16</v>
      </c>
      <c r="C10" t="s">
        <v>13</v>
      </c>
      <c r="D10" s="25">
        <v>32241.540812850464</v>
      </c>
      <c r="E10" s="8">
        <v>31538.639863667071</v>
      </c>
      <c r="F10" s="22">
        <v>26385.811467719665</v>
      </c>
      <c r="G10" s="8">
        <v>25963.150963402004</v>
      </c>
      <c r="H10" s="8">
        <v>23777.183175023776</v>
      </c>
      <c r="I10" s="22">
        <v>22435.769908225418</v>
      </c>
      <c r="J10" s="8">
        <v>22435.769908225418</v>
      </c>
      <c r="K10" s="8">
        <v>22435.769908225418</v>
      </c>
      <c r="L10" s="8">
        <v>23041.890007457092</v>
      </c>
      <c r="M10" s="8">
        <v>24235.494248444153</v>
      </c>
      <c r="N10" s="8">
        <v>35449.97117585918</v>
      </c>
      <c r="O10" s="22">
        <v>36242.577113320491</v>
      </c>
      <c r="P10" s="6">
        <f>SUM(D10:O10)</f>
        <v>326183.56855242013</v>
      </c>
    </row>
    <row r="11" spans="2:16" ht="15" thickBot="1" x14ac:dyDescent="0.35">
      <c r="B11" s="19"/>
      <c r="C11" s="9"/>
      <c r="D11" s="1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0"/>
    </row>
    <row r="14" spans="2:16" ht="15" thickBot="1" x14ac:dyDescent="0.35"/>
    <row r="15" spans="2:16" ht="28.8" x14ac:dyDescent="0.3">
      <c r="B15" s="1" t="s">
        <v>20</v>
      </c>
      <c r="C15" s="1" t="s">
        <v>0</v>
      </c>
      <c r="D15" s="1" t="s">
        <v>1</v>
      </c>
      <c r="E15" s="1" t="s">
        <v>2</v>
      </c>
      <c r="F15" s="1" t="s">
        <v>3</v>
      </c>
      <c r="G15" s="1" t="s">
        <v>4</v>
      </c>
      <c r="H15" s="1" t="s">
        <v>5</v>
      </c>
      <c r="I15" s="1" t="s">
        <v>6</v>
      </c>
      <c r="J15" s="1" t="s">
        <v>7</v>
      </c>
      <c r="K15" s="1" t="s">
        <v>21</v>
      </c>
      <c r="L15" s="15" t="s">
        <v>8</v>
      </c>
      <c r="M15" s="15" t="s">
        <v>9</v>
      </c>
      <c r="N15" s="15" t="s">
        <v>10</v>
      </c>
      <c r="O15" s="20" t="s">
        <v>17</v>
      </c>
      <c r="P15" s="16" t="s">
        <v>11</v>
      </c>
    </row>
    <row r="16" spans="2:16" ht="15" thickBot="1" x14ac:dyDescent="0.3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3"/>
    </row>
    <row r="17" spans="2:16" x14ac:dyDescent="0.3">
      <c r="B17" s="4"/>
      <c r="P17" s="5"/>
    </row>
    <row r="18" spans="2:16" x14ac:dyDescent="0.3">
      <c r="B18" s="12" t="s">
        <v>15</v>
      </c>
      <c r="C18" s="17"/>
      <c r="D18" s="26">
        <f t="shared" ref="D18:O18" si="1">SUM(D19:D20)</f>
        <v>5781</v>
      </c>
      <c r="E18" s="26">
        <f t="shared" si="1"/>
        <v>5937</v>
      </c>
      <c r="F18" s="31">
        <f t="shared" si="1"/>
        <v>6409.7080000000005</v>
      </c>
      <c r="G18" s="32">
        <f t="shared" si="1"/>
        <v>6005.5505196850399</v>
      </c>
      <c r="H18" s="32">
        <f t="shared" si="1"/>
        <v>6506.5505196850399</v>
      </c>
      <c r="I18" s="31">
        <f t="shared" si="1"/>
        <v>6056.7364251968502</v>
      </c>
      <c r="J18" s="32">
        <f t="shared" si="1"/>
        <v>7298.0423678981542</v>
      </c>
      <c r="K18" s="32">
        <f t="shared" si="1"/>
        <v>7909.9805196850402</v>
      </c>
      <c r="L18" s="32">
        <f t="shared" si="1"/>
        <v>7368.1694960629902</v>
      </c>
      <c r="M18" s="32">
        <f t="shared" si="1"/>
        <v>7421.7915433070903</v>
      </c>
      <c r="N18" s="32">
        <f t="shared" si="1"/>
        <v>7034.4203206540642</v>
      </c>
      <c r="O18" s="31">
        <f t="shared" si="1"/>
        <v>7578.1694960629902</v>
      </c>
      <c r="P18" s="33">
        <f>SUM(D18:O18)</f>
        <v>81307.119208237273</v>
      </c>
    </row>
    <row r="19" spans="2:16" x14ac:dyDescent="0.3">
      <c r="B19" s="7" t="s">
        <v>12</v>
      </c>
      <c r="C19" t="s">
        <v>13</v>
      </c>
      <c r="D19" s="27">
        <v>2160</v>
      </c>
      <c r="E19" s="27">
        <v>2381</v>
      </c>
      <c r="F19" s="29">
        <v>2454.7080000000001</v>
      </c>
      <c r="G19" s="30">
        <v>2718.5505196850399</v>
      </c>
      <c r="H19" s="30">
        <v>2718.5505196850399</v>
      </c>
      <c r="I19" s="29">
        <v>2602.7364251968502</v>
      </c>
      <c r="J19" s="30">
        <v>3139.9805196850402</v>
      </c>
      <c r="K19" s="30">
        <v>3139.9805196850402</v>
      </c>
      <c r="L19" s="30">
        <v>3008.1694960629902</v>
      </c>
      <c r="M19" s="30">
        <v>3271.7915433070903</v>
      </c>
      <c r="N19" s="30">
        <v>2876.3584724409502</v>
      </c>
      <c r="O19" s="29">
        <v>3008.1694960629902</v>
      </c>
      <c r="P19" s="34">
        <f>SUM(D19:O19)</f>
        <v>33479.99551181103</v>
      </c>
    </row>
    <row r="20" spans="2:16" x14ac:dyDescent="0.3">
      <c r="B20" s="7" t="s">
        <v>14</v>
      </c>
      <c r="C20" t="s">
        <v>13</v>
      </c>
      <c r="D20" s="27">
        <v>3621</v>
      </c>
      <c r="E20" s="27">
        <v>3556</v>
      </c>
      <c r="F20" s="29">
        <v>3955</v>
      </c>
      <c r="G20" s="30">
        <v>3287</v>
      </c>
      <c r="H20" s="30">
        <v>3788</v>
      </c>
      <c r="I20" s="29">
        <v>3454</v>
      </c>
      <c r="J20" s="30">
        <v>4158.061848213114</v>
      </c>
      <c r="K20" s="30">
        <v>4770</v>
      </c>
      <c r="L20" s="30">
        <v>4360</v>
      </c>
      <c r="M20" s="30">
        <v>4150</v>
      </c>
      <c r="N20" s="30">
        <v>4158.061848213114</v>
      </c>
      <c r="O20" s="29">
        <v>4570</v>
      </c>
      <c r="P20" s="34">
        <f>SUM(D20:O20)</f>
        <v>47827.123696426221</v>
      </c>
    </row>
    <row r="21" spans="2:16" x14ac:dyDescent="0.3">
      <c r="B21" s="18"/>
      <c r="D21" s="28"/>
      <c r="E21" s="28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4"/>
    </row>
    <row r="22" spans="2:16" x14ac:dyDescent="0.3">
      <c r="B22" s="7" t="s">
        <v>16</v>
      </c>
      <c r="C22" t="s">
        <v>13</v>
      </c>
      <c r="D22" s="27">
        <v>48365</v>
      </c>
      <c r="E22" s="27">
        <v>28397</v>
      </c>
      <c r="F22" s="29">
        <v>26385.811467719665</v>
      </c>
      <c r="G22" s="30">
        <v>25963.150963402004</v>
      </c>
      <c r="H22" s="30">
        <v>23777.183175023776</v>
      </c>
      <c r="I22" s="29">
        <v>22435.769908225418</v>
      </c>
      <c r="J22" s="30">
        <v>22435.769908225418</v>
      </c>
      <c r="K22" s="30">
        <v>22435.769908225418</v>
      </c>
      <c r="L22" s="30">
        <v>23041.890007457092</v>
      </c>
      <c r="M22" s="30">
        <v>24235.494248444153</v>
      </c>
      <c r="N22" s="30">
        <v>35449.97117585918</v>
      </c>
      <c r="O22" s="29">
        <v>36242.577113320491</v>
      </c>
      <c r="P22" s="34">
        <f>SUM(D22:O22)</f>
        <v>339165.38787590258</v>
      </c>
    </row>
    <row r="23" spans="2:16" ht="15" thickBot="1" x14ac:dyDescent="0.35">
      <c r="B23" s="1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10"/>
    </row>
    <row r="25" spans="2:16" ht="15" thickBot="1" x14ac:dyDescent="0.35">
      <c r="E25" s="36"/>
    </row>
    <row r="26" spans="2:16" ht="15" thickBot="1" x14ac:dyDescent="0.35">
      <c r="B26" s="43" t="s">
        <v>24</v>
      </c>
      <c r="C26" s="44" t="s">
        <v>25</v>
      </c>
      <c r="D26" s="45">
        <v>744</v>
      </c>
      <c r="E26" s="45">
        <v>696</v>
      </c>
      <c r="F26" s="46">
        <v>744</v>
      </c>
      <c r="G26" s="46">
        <v>720</v>
      </c>
      <c r="H26" s="46">
        <v>744</v>
      </c>
      <c r="I26" s="46">
        <v>720</v>
      </c>
      <c r="J26" s="46">
        <v>744</v>
      </c>
      <c r="K26" s="46">
        <v>744</v>
      </c>
      <c r="L26" s="46">
        <v>720</v>
      </c>
      <c r="M26" s="46">
        <v>744</v>
      </c>
      <c r="N26" s="46">
        <v>720</v>
      </c>
      <c r="O26" s="46">
        <v>744</v>
      </c>
      <c r="P26" s="41"/>
    </row>
    <row r="27" spans="2:16" ht="15" thickBot="1" x14ac:dyDescent="0.35">
      <c r="B27" s="47" t="s">
        <v>12</v>
      </c>
      <c r="C27" s="44" t="s">
        <v>26</v>
      </c>
      <c r="D27" s="48">
        <f>D19/D26</f>
        <v>2.903225806451613</v>
      </c>
      <c r="E27" s="48">
        <f t="shared" ref="E27:O27" si="2">E19/E26</f>
        <v>3.4209770114942528</v>
      </c>
      <c r="F27" s="48">
        <f t="shared" si="2"/>
        <v>3.2993387096774196</v>
      </c>
      <c r="G27" s="48">
        <f t="shared" si="2"/>
        <v>3.7757646106736664</v>
      </c>
      <c r="H27" s="48">
        <f t="shared" si="2"/>
        <v>3.6539657522648388</v>
      </c>
      <c r="I27" s="48">
        <f t="shared" si="2"/>
        <v>3.614911701662292</v>
      </c>
      <c r="J27" s="48">
        <f t="shared" si="2"/>
        <v>4.2204039243078499</v>
      </c>
      <c r="K27" s="48">
        <f t="shared" si="2"/>
        <v>4.2204039243078499</v>
      </c>
      <c r="L27" s="48">
        <f t="shared" si="2"/>
        <v>4.178013188976375</v>
      </c>
      <c r="M27" s="48">
        <f t="shared" si="2"/>
        <v>4.3975692786385618</v>
      </c>
      <c r="N27" s="48">
        <f t="shared" si="2"/>
        <v>3.9949423228346532</v>
      </c>
      <c r="O27" s="48">
        <f t="shared" si="2"/>
        <v>4.0432385699771372</v>
      </c>
      <c r="P27" s="40"/>
    </row>
    <row r="28" spans="2:16" ht="15" thickBot="1" x14ac:dyDescent="0.35">
      <c r="B28" s="47" t="s">
        <v>14</v>
      </c>
      <c r="C28" s="44" t="s">
        <v>26</v>
      </c>
      <c r="D28" s="48">
        <f>D20/D26</f>
        <v>4.866935483870968</v>
      </c>
      <c r="E28" s="48">
        <f t="shared" ref="E28:O28" si="3">E20/E26</f>
        <v>5.1091954022988508</v>
      </c>
      <c r="F28" s="48">
        <f t="shared" si="3"/>
        <v>5.315860215053763</v>
      </c>
      <c r="G28" s="48">
        <f t="shared" si="3"/>
        <v>4.5652777777777782</v>
      </c>
      <c r="H28" s="48">
        <f t="shared" si="3"/>
        <v>5.091397849462366</v>
      </c>
      <c r="I28" s="48">
        <f t="shared" si="3"/>
        <v>4.7972222222222225</v>
      </c>
      <c r="J28" s="48">
        <f t="shared" si="3"/>
        <v>5.5887928067380566</v>
      </c>
      <c r="K28" s="48">
        <f t="shared" si="3"/>
        <v>6.411290322580645</v>
      </c>
      <c r="L28" s="48">
        <f t="shared" si="3"/>
        <v>6.0555555555555554</v>
      </c>
      <c r="M28" s="48">
        <f t="shared" si="3"/>
        <v>5.577956989247312</v>
      </c>
      <c r="N28" s="48">
        <f t="shared" si="3"/>
        <v>5.7750859002959913</v>
      </c>
      <c r="O28" s="48">
        <f t="shared" si="3"/>
        <v>6.14247311827957</v>
      </c>
      <c r="P28" s="42"/>
    </row>
  </sheetData>
  <pageMargins left="0.511811024" right="0.511811024" top="0.78740157499999996" bottom="0.78740157499999996" header="0.31496062000000002" footer="0.3149606200000000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Produção Pedrinhas_Jan</vt:lpstr>
      <vt:lpstr>Produção Pedrihas_Fev</vt:lpstr>
      <vt:lpstr>'Produção Pedrihas_Fev'!Area_de_impressao</vt:lpstr>
      <vt:lpstr>'Produção Pedrinhas_Jan'!Area_de_impressao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Afonso Guimarães Carmanini</dc:creator>
  <cp:lastModifiedBy>Rubem Fernando Argolo Lima</cp:lastModifiedBy>
  <cp:lastPrinted>2024-03-11T16:50:23Z</cp:lastPrinted>
  <dcterms:created xsi:type="dcterms:W3CDTF">2023-08-08T11:48:20Z</dcterms:created>
  <dcterms:modified xsi:type="dcterms:W3CDTF">2024-04-02T12:28:53Z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